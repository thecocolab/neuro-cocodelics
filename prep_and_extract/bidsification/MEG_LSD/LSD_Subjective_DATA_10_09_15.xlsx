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4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5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16.xml" ContentType="application/vnd.openxmlformats-officedocument.drawing+xml"/>
  <Override PartName="/xl/charts/chart68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69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70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7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72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73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74.xml" ContentType="application/vnd.openxmlformats-officedocument.drawingml.chart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75.xml" ContentType="application/vnd.openxmlformats-officedocument.drawingml.chart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76.xml" ContentType="application/vnd.openxmlformats-officedocument.drawingml.chart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77.xml" ContentType="application/vnd.openxmlformats-officedocument.drawingml.chart+xml"/>
  <Override PartName="/xl/drawings/drawing35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drawings/drawing36.xml" ContentType="application/vnd.openxmlformats-officedocument.drawing+xml"/>
  <Override PartName="/xl/charts/chart100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101.xml" ContentType="application/vnd.openxmlformats-officedocument.drawingml.chart+xml"/>
  <Override PartName="/xl/drawings/drawing39.xml" ContentType="application/vnd.openxmlformats-officedocument.drawing+xml"/>
  <Override PartName="/xl/charts/chart102.xml" ContentType="application/vnd.openxmlformats-officedocument.drawingml.chart+xml"/>
  <Override PartName="/xl/drawings/drawing40.xml" ContentType="application/vnd.openxmlformats-officedocument.drawing+xml"/>
  <Override PartName="/xl/charts/chart103.xml" ContentType="application/vnd.openxmlformats-officedocument.drawingml.chart+xml"/>
  <Override PartName="/xl/drawings/drawing41.xml" ContentType="application/vnd.openxmlformats-officedocument.drawing+xml"/>
  <Override PartName="/xl/charts/chart104.xml" ContentType="application/vnd.openxmlformats-officedocument.drawingml.chart+xml"/>
  <Override PartName="/xl/drawings/drawing42.xml" ContentType="application/vnd.openxmlformats-officedocument.drawing+xml"/>
  <Override PartName="/xl/charts/chart105.xml" ContentType="application/vnd.openxmlformats-officedocument.drawingml.chart+xml"/>
  <Override PartName="/xl/drawings/drawing43.xml" ContentType="application/vnd.openxmlformats-officedocument.drawing+xml"/>
  <Override PartName="/xl/charts/chart10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01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sdmuthu/Dropbox/MEG_STUDIES/LSD/"/>
    </mc:Choice>
  </mc:AlternateContent>
  <bookViews>
    <workbookView xWindow="3420" yWindow="1740" windowWidth="30900" windowHeight="17600" firstSheet="25" activeTab="36"/>
  </bookViews>
  <sheets>
    <sheet name="MRI_PQ" sheetId="1" r:id="rId1"/>
    <sheet name="MRI_PQ_chart" sheetId="6" r:id="rId2"/>
    <sheet name="MEG_PQ" sheetId="2" r:id="rId3"/>
    <sheet name="MEG_PQ_chart" sheetId="7" r:id="rId4"/>
    <sheet name="ASC_11_Chart_Nature" sheetId="64" r:id="rId5"/>
    <sheet name="ASC_11_Chart" sheetId="26" r:id="rId6"/>
    <sheet name="ASC_11" sheetId="3" r:id="rId7"/>
    <sheet name="PSI" sheetId="4" r:id="rId8"/>
    <sheet name="PSI_Chart" sheetId="13" r:id="rId9"/>
    <sheet name="5DASC_5F" sheetId="9" r:id="rId10"/>
    <sheet name="RAT" sheetId="22" r:id="rId11"/>
    <sheet name="VFT" sheetId="24" r:id="rId12"/>
    <sheet name="CFT" sheetId="23" r:id="rId13"/>
    <sheet name="TTCT" sheetId="21" r:id="rId14"/>
    <sheet name="MASTER_DATA" sheetId="20" r:id="rId15"/>
    <sheet name="MASTER_DATA_2" sheetId="25" r:id="rId16"/>
    <sheet name="MASTER_DATA_2_fig3" sheetId="71" r:id="rId17"/>
    <sheet name="MASTER_DATA_3" sheetId="65" r:id="rId18"/>
    <sheet name="CBf_v_alpha" sheetId="91" r:id="rId19"/>
    <sheet name="alpha_v_V1_RSFC" sheetId="92" r:id="rId20"/>
    <sheet name="Int_v_Var" sheetId="93" r:id="rId21"/>
    <sheet name="Int_v_Power" sheetId="96" r:id="rId22"/>
    <sheet name="Int_v_Seg" sheetId="97" r:id="rId23"/>
    <sheet name="Power_v_Seg (2)" sheetId="98" r:id="rId24"/>
    <sheet name="EGO_DMN_chart" sheetId="112" r:id="rId25"/>
    <sheet name="JANA_DMN_chart" sheetId="121" r:id="rId26"/>
    <sheet name="Insight_DESEG_chart" sheetId="113" r:id="rId27"/>
    <sheet name="Optimism_ego" sheetId="118" r:id="rId28"/>
    <sheet name="MASTER_DATA_4_IMAGING" sheetId="70" r:id="rId29"/>
    <sheet name="Ego_Neurot" sheetId="15" r:id="rId30"/>
    <sheet name="LOTR_v_agree_chart" sheetId="17" r:id="rId31"/>
    <sheet name="Ego_PSI" sheetId="16" r:id="rId32"/>
    <sheet name="5DASC_chart" sheetId="5" r:id="rId33"/>
    <sheet name="5DASC_factors_chart" sheetId="12" r:id="rId34"/>
    <sheet name="Ego_Ocean" sheetId="14" r:id="rId35"/>
    <sheet name="MASTER_5_n=19" sheetId="120" r:id="rId36"/>
    <sheet name="GSS_results" sheetId="122" r:id="rId3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2" i="120" l="1"/>
  <c r="O22" i="120"/>
  <c r="B26" i="22"/>
  <c r="M22" i="120"/>
  <c r="AW3" i="25"/>
  <c r="AX3" i="25"/>
  <c r="AY3" i="25"/>
  <c r="AW4" i="25"/>
  <c r="AX4" i="25"/>
  <c r="AY4" i="25"/>
  <c r="AW5" i="25"/>
  <c r="AX5" i="25"/>
  <c r="AY5" i="25"/>
  <c r="AW6" i="25"/>
  <c r="AX6" i="25"/>
  <c r="AY6" i="25"/>
  <c r="AW7" i="25"/>
  <c r="AX7" i="25"/>
  <c r="AY7" i="25"/>
  <c r="AW8" i="25"/>
  <c r="AX8" i="25"/>
  <c r="AY8" i="25"/>
  <c r="AW9" i="25"/>
  <c r="AX9" i="25"/>
  <c r="AY9" i="25"/>
  <c r="AW10" i="25"/>
  <c r="AX10" i="25"/>
  <c r="AY10" i="25"/>
  <c r="AW11" i="25"/>
  <c r="AX11" i="25"/>
  <c r="AY11" i="25"/>
  <c r="AW12" i="25"/>
  <c r="AX12" i="25"/>
  <c r="AY12" i="25"/>
  <c r="AW13" i="25"/>
  <c r="AX13" i="25"/>
  <c r="AY13" i="25"/>
  <c r="AW14" i="25"/>
  <c r="AX14" i="25"/>
  <c r="AY14" i="25"/>
  <c r="AW15" i="25"/>
  <c r="AX15" i="25"/>
  <c r="AY15" i="25"/>
  <c r="AW16" i="25"/>
  <c r="AX16" i="25"/>
  <c r="AY16" i="25"/>
  <c r="AW17" i="25"/>
  <c r="AX17" i="25"/>
  <c r="AY17" i="25"/>
  <c r="AW18" i="25"/>
  <c r="AX18" i="25"/>
  <c r="AY18" i="25"/>
  <c r="AW19" i="25"/>
  <c r="AX19" i="25"/>
  <c r="AY19" i="25"/>
  <c r="AW20" i="25"/>
  <c r="AX20" i="25"/>
  <c r="AY20" i="25"/>
  <c r="AW21" i="25"/>
  <c r="AX21" i="25"/>
  <c r="AY21" i="25"/>
  <c r="AW22" i="25"/>
  <c r="AX22" i="25"/>
  <c r="AY22" i="25"/>
  <c r="AV4" i="25"/>
  <c r="AV5" i="25"/>
  <c r="AV6" i="25"/>
  <c r="AV7" i="25"/>
  <c r="AV8" i="25"/>
  <c r="AV9" i="25"/>
  <c r="AV10" i="25"/>
  <c r="AV11" i="25"/>
  <c r="AV12" i="25"/>
  <c r="AV13" i="25"/>
  <c r="AV14" i="25"/>
  <c r="AV15" i="25"/>
  <c r="AV16" i="25"/>
  <c r="AV17" i="25"/>
  <c r="AV18" i="25"/>
  <c r="AV19" i="25"/>
  <c r="AV20" i="25"/>
  <c r="AV21" i="25"/>
  <c r="AV22" i="25"/>
  <c r="AV3" i="25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6" i="21"/>
  <c r="AJ25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25" i="21"/>
  <c r="AL5" i="2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L25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M25" i="21"/>
  <c r="AK26" i="21"/>
  <c r="AL26" i="21"/>
  <c r="AM26" i="21"/>
  <c r="AJ27" i="21"/>
  <c r="AK27" i="21"/>
  <c r="AL27" i="21"/>
  <c r="AM27" i="21"/>
  <c r="L5" i="21"/>
  <c r="L7" i="21"/>
  <c r="L8" i="21"/>
  <c r="L9" i="21"/>
  <c r="L10" i="21"/>
  <c r="L11" i="21"/>
  <c r="L13" i="21"/>
  <c r="L14" i="21"/>
  <c r="L15" i="21"/>
  <c r="L16" i="21"/>
  <c r="L18" i="21"/>
  <c r="L19" i="21"/>
  <c r="L20" i="21"/>
  <c r="L22" i="21"/>
  <c r="L23" i="21"/>
  <c r="L24" i="21"/>
  <c r="L25" i="21"/>
  <c r="P5" i="21"/>
  <c r="Q5" i="21"/>
  <c r="P7" i="21"/>
  <c r="Q7" i="21"/>
  <c r="P8" i="21"/>
  <c r="P9" i="21"/>
  <c r="P10" i="21"/>
  <c r="P11" i="21"/>
  <c r="P13" i="21"/>
  <c r="P14" i="21"/>
  <c r="P15" i="21"/>
  <c r="P16" i="21"/>
  <c r="P18" i="21"/>
  <c r="P19" i="21"/>
  <c r="P20" i="21"/>
  <c r="P22" i="21"/>
  <c r="P23" i="21"/>
  <c r="P24" i="21"/>
  <c r="Q8" i="21"/>
  <c r="Q9" i="21"/>
  <c r="Q10" i="21"/>
  <c r="Q11" i="21"/>
  <c r="Q13" i="21"/>
  <c r="Q14" i="21"/>
  <c r="Q15" i="21"/>
  <c r="Q16" i="21"/>
  <c r="Q18" i="21"/>
  <c r="Q19" i="21"/>
  <c r="Q20" i="21"/>
  <c r="Q22" i="21"/>
  <c r="Q23" i="21"/>
  <c r="Q24" i="21"/>
  <c r="R28" i="21"/>
  <c r="CC26" i="122"/>
  <c r="L22" i="120"/>
  <c r="H22" i="120"/>
  <c r="I22" i="120"/>
  <c r="J22" i="120"/>
  <c r="K22" i="120"/>
  <c r="G24" i="122"/>
  <c r="G25" i="122"/>
  <c r="E24" i="122"/>
  <c r="E25" i="122"/>
  <c r="G23" i="122"/>
  <c r="E23" i="122"/>
  <c r="CG23" i="122"/>
  <c r="CG24" i="122"/>
  <c r="C22" i="120"/>
  <c r="D22" i="120"/>
  <c r="E22" i="120"/>
  <c r="F3" i="120"/>
  <c r="F4" i="120"/>
  <c r="F5" i="120"/>
  <c r="F6" i="120"/>
  <c r="F7" i="120"/>
  <c r="F8" i="120"/>
  <c r="F9" i="120"/>
  <c r="F10" i="120"/>
  <c r="F11" i="120"/>
  <c r="F12" i="120"/>
  <c r="F13" i="120"/>
  <c r="F14" i="120"/>
  <c r="F15" i="120"/>
  <c r="F16" i="120"/>
  <c r="F17" i="120"/>
  <c r="F18" i="120"/>
  <c r="F19" i="120"/>
  <c r="F20" i="120"/>
  <c r="F21" i="120"/>
  <c r="F22" i="120"/>
  <c r="G22" i="120"/>
  <c r="B22" i="120"/>
  <c r="FC7" i="70"/>
  <c r="FB19" i="70"/>
  <c r="FB20" i="70"/>
  <c r="FC3" i="70"/>
  <c r="FC4" i="70"/>
  <c r="FC5" i="70"/>
  <c r="FC6" i="70"/>
  <c r="FC8" i="70"/>
  <c r="FC9" i="70"/>
  <c r="FC10" i="70"/>
  <c r="FC11" i="70"/>
  <c r="FC12" i="70"/>
  <c r="FC13" i="70"/>
  <c r="FC14" i="70"/>
  <c r="FC15" i="70"/>
  <c r="FC16" i="70"/>
  <c r="FC17" i="70"/>
  <c r="FC19" i="70"/>
  <c r="FC20" i="70"/>
  <c r="FB18" i="70"/>
  <c r="FC18" i="70"/>
  <c r="CC6" i="122"/>
  <c r="CC7" i="122"/>
  <c r="CC8" i="122"/>
  <c r="CC9" i="122"/>
  <c r="CC10" i="122"/>
  <c r="CC12" i="122"/>
  <c r="CC13" i="122"/>
  <c r="CC14" i="122"/>
  <c r="CC15" i="122"/>
  <c r="CC16" i="122"/>
  <c r="CC17" i="122"/>
  <c r="CC18" i="122"/>
  <c r="CC19" i="122"/>
  <c r="CC20" i="122"/>
  <c r="CC21" i="122"/>
  <c r="CC22" i="122"/>
  <c r="CC5" i="122"/>
  <c r="CA23" i="122"/>
  <c r="CB23" i="122"/>
  <c r="CA24" i="122"/>
  <c r="CB24" i="122"/>
  <c r="CA25" i="122"/>
  <c r="CB25" i="122"/>
  <c r="AN27" i="122"/>
  <c r="AN26" i="122"/>
  <c r="AK23" i="122"/>
  <c r="AL23" i="122"/>
  <c r="AM27" i="122"/>
  <c r="AM26" i="122"/>
  <c r="AK24" i="122"/>
  <c r="AL24" i="122"/>
  <c r="AK25" i="122"/>
  <c r="AL25" i="122"/>
  <c r="AM6" i="122"/>
  <c r="AM7" i="122"/>
  <c r="AM8" i="122"/>
  <c r="AM9" i="122"/>
  <c r="AM10" i="122"/>
  <c r="AM11" i="122"/>
  <c r="AM12" i="122"/>
  <c r="AM13" i="122"/>
  <c r="AM14" i="122"/>
  <c r="AM15" i="122"/>
  <c r="AM16" i="122"/>
  <c r="AM17" i="122"/>
  <c r="AM18" i="122"/>
  <c r="AM19" i="122"/>
  <c r="AM20" i="122"/>
  <c r="AM21" i="122"/>
  <c r="AM22" i="122"/>
  <c r="AM5" i="122"/>
  <c r="P26" i="122"/>
  <c r="P27" i="122"/>
  <c r="O26" i="122"/>
  <c r="O27" i="122"/>
  <c r="M23" i="122"/>
  <c r="N23" i="122"/>
  <c r="M24" i="122"/>
  <c r="N24" i="122"/>
  <c r="M25" i="122"/>
  <c r="N25" i="122"/>
  <c r="L24" i="122"/>
  <c r="L25" i="122"/>
  <c r="O5" i="122"/>
  <c r="O6" i="122"/>
  <c r="O7" i="122"/>
  <c r="O9" i="122"/>
  <c r="O10" i="122"/>
  <c r="O11" i="122"/>
  <c r="O12" i="122"/>
  <c r="O14" i="122"/>
  <c r="O22" i="122"/>
  <c r="O24" i="122"/>
  <c r="O25" i="122"/>
  <c r="P5" i="122"/>
  <c r="P6" i="122"/>
  <c r="P7" i="122"/>
  <c r="P8" i="122"/>
  <c r="P9" i="122"/>
  <c r="P10" i="122"/>
  <c r="P11" i="122"/>
  <c r="P12" i="122"/>
  <c r="P13" i="122"/>
  <c r="P14" i="122"/>
  <c r="P15" i="122"/>
  <c r="P16" i="122"/>
  <c r="P17" i="122"/>
  <c r="P18" i="122"/>
  <c r="P19" i="122"/>
  <c r="P20" i="122"/>
  <c r="P21" i="122"/>
  <c r="P22" i="122"/>
  <c r="P24" i="122"/>
  <c r="P25" i="122"/>
  <c r="Q24" i="122"/>
  <c r="Q25" i="122"/>
  <c r="R24" i="122"/>
  <c r="R25" i="122"/>
  <c r="U5" i="122"/>
  <c r="U6" i="122"/>
  <c r="U7" i="122"/>
  <c r="U9" i="122"/>
  <c r="U10" i="122"/>
  <c r="U11" i="122"/>
  <c r="U12" i="122"/>
  <c r="U24" i="122"/>
  <c r="U25" i="122"/>
  <c r="V5" i="122"/>
  <c r="V6" i="122"/>
  <c r="V7" i="122"/>
  <c r="V8" i="122"/>
  <c r="V9" i="122"/>
  <c r="V10" i="122"/>
  <c r="V11" i="122"/>
  <c r="V12" i="122"/>
  <c r="V13" i="122"/>
  <c r="V14" i="122"/>
  <c r="V15" i="122"/>
  <c r="V16" i="122"/>
  <c r="V17" i="122"/>
  <c r="V18" i="122"/>
  <c r="V19" i="122"/>
  <c r="V20" i="122"/>
  <c r="V21" i="122"/>
  <c r="V22" i="122"/>
  <c r="V24" i="122"/>
  <c r="V25" i="122"/>
  <c r="W24" i="122"/>
  <c r="W25" i="122"/>
  <c r="X24" i="122"/>
  <c r="X25" i="122"/>
  <c r="AA5" i="122"/>
  <c r="AA6" i="122"/>
  <c r="AA7" i="122"/>
  <c r="AA8" i="122"/>
  <c r="AA9" i="122"/>
  <c r="AA10" i="122"/>
  <c r="AA11" i="122"/>
  <c r="AA12" i="122"/>
  <c r="AA24" i="122"/>
  <c r="AA25" i="122"/>
  <c r="AB5" i="122"/>
  <c r="AB6" i="122"/>
  <c r="AB7" i="122"/>
  <c r="AB8" i="122"/>
  <c r="AB9" i="122"/>
  <c r="AB10" i="122"/>
  <c r="AB11" i="122"/>
  <c r="AB12" i="122"/>
  <c r="AB13" i="122"/>
  <c r="AB14" i="122"/>
  <c r="AB15" i="122"/>
  <c r="AB16" i="122"/>
  <c r="AB17" i="122"/>
  <c r="AB18" i="122"/>
  <c r="AB19" i="122"/>
  <c r="AB20" i="122"/>
  <c r="AB21" i="122"/>
  <c r="AB22" i="122"/>
  <c r="AB24" i="122"/>
  <c r="AB25" i="122"/>
  <c r="AC24" i="122"/>
  <c r="AC25" i="122"/>
  <c r="AD24" i="122"/>
  <c r="AD25" i="122"/>
  <c r="AG5" i="122"/>
  <c r="AG6" i="122"/>
  <c r="AG7" i="122"/>
  <c r="AG9" i="122"/>
  <c r="AG10" i="122"/>
  <c r="AG11" i="122"/>
  <c r="AG12" i="122"/>
  <c r="AG24" i="122"/>
  <c r="AG25" i="122"/>
  <c r="AH5" i="122"/>
  <c r="AH6" i="122"/>
  <c r="AH7" i="122"/>
  <c r="AH8" i="122"/>
  <c r="AH9" i="122"/>
  <c r="AH10" i="122"/>
  <c r="AH11" i="122"/>
  <c r="AH12" i="122"/>
  <c r="AH13" i="122"/>
  <c r="AH14" i="122"/>
  <c r="AH15" i="122"/>
  <c r="AH16" i="122"/>
  <c r="AH17" i="122"/>
  <c r="AH18" i="122"/>
  <c r="AH19" i="122"/>
  <c r="AH20" i="122"/>
  <c r="AH21" i="122"/>
  <c r="AH22" i="122"/>
  <c r="AH24" i="122"/>
  <c r="AH25" i="122"/>
  <c r="AI24" i="122"/>
  <c r="AI25" i="122"/>
  <c r="AJ24" i="122"/>
  <c r="AJ25" i="122"/>
  <c r="AM24" i="122"/>
  <c r="AM25" i="122"/>
  <c r="AN5" i="122"/>
  <c r="AN6" i="122"/>
  <c r="AN7" i="122"/>
  <c r="AN8" i="122"/>
  <c r="AN9" i="122"/>
  <c r="AN10" i="122"/>
  <c r="AN11" i="122"/>
  <c r="AN12" i="122"/>
  <c r="AN13" i="122"/>
  <c r="AN14" i="122"/>
  <c r="AN15" i="122"/>
  <c r="AN16" i="122"/>
  <c r="AN17" i="122"/>
  <c r="AN18" i="122"/>
  <c r="AN19" i="122"/>
  <c r="AN20" i="122"/>
  <c r="AN21" i="122"/>
  <c r="AN22" i="122"/>
  <c r="AN24" i="122"/>
  <c r="AN25" i="122"/>
  <c r="AO24" i="122"/>
  <c r="AO25" i="122"/>
  <c r="AP24" i="122"/>
  <c r="AP25" i="122"/>
  <c r="AS5" i="122"/>
  <c r="AS6" i="122"/>
  <c r="AS7" i="122"/>
  <c r="AS9" i="122"/>
  <c r="AS10" i="122"/>
  <c r="AS11" i="122"/>
  <c r="AS12" i="122"/>
  <c r="AS24" i="122"/>
  <c r="AS25" i="122"/>
  <c r="AT5" i="122"/>
  <c r="AT6" i="122"/>
  <c r="AT7" i="122"/>
  <c r="AT8" i="122"/>
  <c r="AT9" i="122"/>
  <c r="AT10" i="122"/>
  <c r="AT11" i="122"/>
  <c r="AT12" i="122"/>
  <c r="AT13" i="122"/>
  <c r="AT14" i="122"/>
  <c r="AT15" i="122"/>
  <c r="AT16" i="122"/>
  <c r="AT17" i="122"/>
  <c r="AT18" i="122"/>
  <c r="AT19" i="122"/>
  <c r="AT20" i="122"/>
  <c r="AT21" i="122"/>
  <c r="AT22" i="122"/>
  <c r="AT24" i="122"/>
  <c r="AT25" i="122"/>
  <c r="AU24" i="122"/>
  <c r="AU25" i="122"/>
  <c r="AV24" i="122"/>
  <c r="AV25" i="122"/>
  <c r="AY5" i="122"/>
  <c r="AY6" i="122"/>
  <c r="AY7" i="122"/>
  <c r="AY8" i="122"/>
  <c r="AY9" i="122"/>
  <c r="AY10" i="122"/>
  <c r="AY11" i="122"/>
  <c r="AY12" i="122"/>
  <c r="AY24" i="122"/>
  <c r="AY25" i="122"/>
  <c r="AZ5" i="122"/>
  <c r="AZ6" i="122"/>
  <c r="AZ7" i="122"/>
  <c r="AZ8" i="122"/>
  <c r="AZ9" i="122"/>
  <c r="AZ10" i="122"/>
  <c r="AZ11" i="122"/>
  <c r="AZ12" i="122"/>
  <c r="AZ13" i="122"/>
  <c r="AZ14" i="122"/>
  <c r="AZ15" i="122"/>
  <c r="AZ16" i="122"/>
  <c r="AZ17" i="122"/>
  <c r="AZ18" i="122"/>
  <c r="AZ19" i="122"/>
  <c r="AZ20" i="122"/>
  <c r="AZ21" i="122"/>
  <c r="AZ22" i="122"/>
  <c r="AZ24" i="122"/>
  <c r="AZ25" i="122"/>
  <c r="BA24" i="122"/>
  <c r="BA25" i="122"/>
  <c r="BB24" i="122"/>
  <c r="BB25" i="122"/>
  <c r="BE5" i="122"/>
  <c r="BE6" i="122"/>
  <c r="BE7" i="122"/>
  <c r="BE9" i="122"/>
  <c r="BE10" i="122"/>
  <c r="BE12" i="122"/>
  <c r="BE24" i="122"/>
  <c r="BE25" i="122"/>
  <c r="BF5" i="122"/>
  <c r="BF6" i="122"/>
  <c r="BF7" i="122"/>
  <c r="BF8" i="122"/>
  <c r="BF9" i="122"/>
  <c r="BF10" i="122"/>
  <c r="BF11" i="122"/>
  <c r="BF12" i="122"/>
  <c r="BF13" i="122"/>
  <c r="BF14" i="122"/>
  <c r="BF15" i="122"/>
  <c r="BF16" i="122"/>
  <c r="BF17" i="122"/>
  <c r="BF18" i="122"/>
  <c r="BF19" i="122"/>
  <c r="BF20" i="122"/>
  <c r="BF21" i="122"/>
  <c r="BF22" i="122"/>
  <c r="BF24" i="122"/>
  <c r="BF25" i="122"/>
  <c r="BG24" i="122"/>
  <c r="BG25" i="122"/>
  <c r="BH24" i="122"/>
  <c r="BH25" i="122"/>
  <c r="BK5" i="122"/>
  <c r="BK6" i="122"/>
  <c r="BK7" i="122"/>
  <c r="BK9" i="122"/>
  <c r="BK10" i="122"/>
  <c r="BK12" i="122"/>
  <c r="BK24" i="122"/>
  <c r="BK25" i="122"/>
  <c r="BL5" i="122"/>
  <c r="BL6" i="122"/>
  <c r="BL7" i="122"/>
  <c r="BL8" i="122"/>
  <c r="BL9" i="122"/>
  <c r="BL10" i="122"/>
  <c r="BL12" i="122"/>
  <c r="BL13" i="122"/>
  <c r="BL14" i="122"/>
  <c r="BL16" i="122"/>
  <c r="BL17" i="122"/>
  <c r="BL18" i="122"/>
  <c r="BL19" i="122"/>
  <c r="BL20" i="122"/>
  <c r="BL21" i="122"/>
  <c r="BL22" i="122"/>
  <c r="BL24" i="122"/>
  <c r="BL25" i="122"/>
  <c r="BM24" i="122"/>
  <c r="BM25" i="122"/>
  <c r="BN24" i="122"/>
  <c r="BN25" i="122"/>
  <c r="BQ5" i="122"/>
  <c r="BQ6" i="122"/>
  <c r="BQ7" i="122"/>
  <c r="BQ9" i="122"/>
  <c r="BQ10" i="122"/>
  <c r="BQ12" i="122"/>
  <c r="BQ24" i="122"/>
  <c r="BQ25" i="122"/>
  <c r="BR5" i="122"/>
  <c r="BR6" i="122"/>
  <c r="BR7" i="122"/>
  <c r="BR8" i="122"/>
  <c r="BR9" i="122"/>
  <c r="BR10" i="122"/>
  <c r="BR12" i="122"/>
  <c r="BR13" i="122"/>
  <c r="BR14" i="122"/>
  <c r="BR15" i="122"/>
  <c r="BR16" i="122"/>
  <c r="BR17" i="122"/>
  <c r="BR18" i="122"/>
  <c r="BR19" i="122"/>
  <c r="BR20" i="122"/>
  <c r="BR21" i="122"/>
  <c r="BR22" i="122"/>
  <c r="BR24" i="122"/>
  <c r="BR25" i="122"/>
  <c r="BS24" i="122"/>
  <c r="BS25" i="122"/>
  <c r="BT24" i="122"/>
  <c r="BT25" i="122"/>
  <c r="BW5" i="122"/>
  <c r="BW6" i="122"/>
  <c r="BW7" i="122"/>
  <c r="BW9" i="122"/>
  <c r="BW10" i="122"/>
  <c r="BW12" i="122"/>
  <c r="BW19" i="122"/>
  <c r="BW24" i="122"/>
  <c r="BW25" i="122"/>
  <c r="BX5" i="122"/>
  <c r="BX6" i="122"/>
  <c r="BX7" i="122"/>
  <c r="BX8" i="122"/>
  <c r="BX9" i="122"/>
  <c r="BX10" i="122"/>
  <c r="BX12" i="122"/>
  <c r="BX13" i="122"/>
  <c r="BX14" i="122"/>
  <c r="BX15" i="122"/>
  <c r="BX16" i="122"/>
  <c r="BX17" i="122"/>
  <c r="BX18" i="122"/>
  <c r="BX19" i="122"/>
  <c r="BX20" i="122"/>
  <c r="BX21" i="122"/>
  <c r="BX22" i="122"/>
  <c r="BX24" i="122"/>
  <c r="BX25" i="122"/>
  <c r="BY24" i="122"/>
  <c r="BY25" i="122"/>
  <c r="BZ24" i="122"/>
  <c r="BZ25" i="122"/>
  <c r="CC24" i="122"/>
  <c r="CC25" i="122"/>
  <c r="CD5" i="122"/>
  <c r="CD6" i="122"/>
  <c r="CD7" i="122"/>
  <c r="CD8" i="122"/>
  <c r="CD9" i="122"/>
  <c r="CD10" i="122"/>
  <c r="CD12" i="122"/>
  <c r="CD13" i="122"/>
  <c r="CD14" i="122"/>
  <c r="CD15" i="122"/>
  <c r="CD16" i="122"/>
  <c r="CD17" i="122"/>
  <c r="CD18" i="122"/>
  <c r="CD19" i="122"/>
  <c r="CD20" i="122"/>
  <c r="CD21" i="122"/>
  <c r="CD22" i="122"/>
  <c r="CD24" i="122"/>
  <c r="CD25" i="122"/>
  <c r="K24" i="122"/>
  <c r="K25" i="122"/>
  <c r="K23" i="122"/>
  <c r="L23" i="122"/>
  <c r="O23" i="122"/>
  <c r="P23" i="122"/>
  <c r="Q23" i="122"/>
  <c r="R23" i="122"/>
  <c r="U23" i="122"/>
  <c r="V23" i="122"/>
  <c r="W23" i="122"/>
  <c r="X23" i="122"/>
  <c r="AA23" i="122"/>
  <c r="AB23" i="122"/>
  <c r="AC23" i="122"/>
  <c r="AD23" i="122"/>
  <c r="AG23" i="122"/>
  <c r="AH23" i="122"/>
  <c r="AI23" i="122"/>
  <c r="AJ23" i="122"/>
  <c r="AM23" i="122"/>
  <c r="AN23" i="122"/>
  <c r="AO23" i="122"/>
  <c r="AP23" i="122"/>
  <c r="AS23" i="122"/>
  <c r="AT23" i="122"/>
  <c r="AU23" i="122"/>
  <c r="AV23" i="122"/>
  <c r="AY23" i="122"/>
  <c r="AZ23" i="122"/>
  <c r="BA23" i="122"/>
  <c r="BB23" i="122"/>
  <c r="BE23" i="122"/>
  <c r="BF23" i="122"/>
  <c r="BG23" i="122"/>
  <c r="BH23" i="122"/>
  <c r="BK23" i="122"/>
  <c r="BL23" i="122"/>
  <c r="BM23" i="122"/>
  <c r="BN23" i="122"/>
  <c r="BQ23" i="122"/>
  <c r="BR23" i="122"/>
  <c r="BS23" i="122"/>
  <c r="BT23" i="122"/>
  <c r="BW23" i="122"/>
  <c r="BX23" i="122"/>
  <c r="BY23" i="122"/>
  <c r="BZ23" i="122"/>
  <c r="CC23" i="122"/>
  <c r="CD23" i="122"/>
  <c r="U25" i="24"/>
  <c r="DN108" i="3"/>
  <c r="DN109" i="3"/>
  <c r="DN110" i="3"/>
  <c r="DN111" i="3"/>
  <c r="CZ8" i="3"/>
  <c r="DA8" i="3"/>
  <c r="DB8" i="3"/>
  <c r="DC8" i="3"/>
  <c r="DD8" i="3"/>
  <c r="DE8" i="3"/>
  <c r="DF8" i="3"/>
  <c r="DG8" i="3"/>
  <c r="DH8" i="3"/>
  <c r="DI8" i="3"/>
  <c r="DJ8" i="3"/>
  <c r="CZ9" i="3"/>
  <c r="DA9" i="3"/>
  <c r="DB9" i="3"/>
  <c r="DC9" i="3"/>
  <c r="DD9" i="3"/>
  <c r="DE9" i="3"/>
  <c r="DF9" i="3"/>
  <c r="DG9" i="3"/>
  <c r="DH9" i="3"/>
  <c r="DI9" i="3"/>
  <c r="DJ9" i="3"/>
  <c r="CZ10" i="3"/>
  <c r="DA10" i="3"/>
  <c r="DB10" i="3"/>
  <c r="DC10" i="3"/>
  <c r="DD10" i="3"/>
  <c r="DE10" i="3"/>
  <c r="DF10" i="3"/>
  <c r="DG10" i="3"/>
  <c r="DH10" i="3"/>
  <c r="DI10" i="3"/>
  <c r="DJ10" i="3"/>
  <c r="CZ11" i="3"/>
  <c r="DA11" i="3"/>
  <c r="DB11" i="3"/>
  <c r="DC11" i="3"/>
  <c r="DD11" i="3"/>
  <c r="DE11" i="3"/>
  <c r="DF11" i="3"/>
  <c r="DG11" i="3"/>
  <c r="DH11" i="3"/>
  <c r="DI11" i="3"/>
  <c r="DJ11" i="3"/>
  <c r="CZ12" i="3"/>
  <c r="CZ13" i="3"/>
  <c r="CZ14" i="3"/>
  <c r="CZ15" i="3"/>
  <c r="CZ17" i="3"/>
  <c r="CZ19" i="3"/>
  <c r="CZ20" i="3"/>
  <c r="CZ21" i="3"/>
  <c r="CZ22" i="3"/>
  <c r="CZ3" i="3"/>
  <c r="CZ29" i="3"/>
  <c r="DL3" i="3"/>
  <c r="DA3" i="3"/>
  <c r="CZ30" i="3"/>
  <c r="CZ31" i="3"/>
  <c r="CZ32" i="3"/>
  <c r="CZ33" i="3"/>
  <c r="CZ34" i="3"/>
  <c r="CZ35" i="3"/>
  <c r="CZ36" i="3"/>
  <c r="CZ37" i="3"/>
  <c r="CZ38" i="3"/>
  <c r="CZ39" i="3"/>
  <c r="CZ40" i="3"/>
  <c r="CZ41" i="3"/>
  <c r="CZ42" i="3"/>
  <c r="CZ43" i="3"/>
  <c r="CZ44" i="3"/>
  <c r="CZ45" i="3"/>
  <c r="CZ46" i="3"/>
  <c r="CZ47" i="3"/>
  <c r="CZ48" i="3"/>
  <c r="CZ4" i="3"/>
  <c r="CZ5" i="3"/>
  <c r="CZ6" i="3"/>
  <c r="CZ7" i="3"/>
  <c r="CZ16" i="3"/>
  <c r="CZ18" i="3"/>
  <c r="FA19" i="70"/>
  <c r="FA20" i="70"/>
  <c r="FA18" i="70"/>
  <c r="CZ23" i="3"/>
  <c r="DA4" i="3"/>
  <c r="DA5" i="3"/>
  <c r="DA6" i="3"/>
  <c r="DA7" i="3"/>
  <c r="DA12" i="3"/>
  <c r="DA13" i="3"/>
  <c r="DA14" i="3"/>
  <c r="DA15" i="3"/>
  <c r="DA16" i="3"/>
  <c r="DA17" i="3"/>
  <c r="DA18" i="3"/>
  <c r="DA19" i="3"/>
  <c r="DA20" i="3"/>
  <c r="DA21" i="3"/>
  <c r="DA22" i="3"/>
  <c r="DA23" i="3"/>
  <c r="DB3" i="3"/>
  <c r="DB4" i="3"/>
  <c r="DB5" i="3"/>
  <c r="DB6" i="3"/>
  <c r="DB7" i="3"/>
  <c r="DB12" i="3"/>
  <c r="DB13" i="3"/>
  <c r="DB14" i="3"/>
  <c r="DB15" i="3"/>
  <c r="DB16" i="3"/>
  <c r="DB17" i="3"/>
  <c r="DB18" i="3"/>
  <c r="DB19" i="3"/>
  <c r="DB20" i="3"/>
  <c r="DB21" i="3"/>
  <c r="DB22" i="3"/>
  <c r="DB23" i="3"/>
  <c r="DC3" i="3"/>
  <c r="DC4" i="3"/>
  <c r="DC5" i="3"/>
  <c r="DC6" i="3"/>
  <c r="DC7" i="3"/>
  <c r="DC12" i="3"/>
  <c r="DC13" i="3"/>
  <c r="DC14" i="3"/>
  <c r="DC15" i="3"/>
  <c r="DC16" i="3"/>
  <c r="DC17" i="3"/>
  <c r="DC18" i="3"/>
  <c r="DC19" i="3"/>
  <c r="DC20" i="3"/>
  <c r="DC21" i="3"/>
  <c r="DC22" i="3"/>
  <c r="DC23" i="3"/>
  <c r="DD3" i="3"/>
  <c r="DD4" i="3"/>
  <c r="DD5" i="3"/>
  <c r="DD6" i="3"/>
  <c r="DD7" i="3"/>
  <c r="DD12" i="3"/>
  <c r="DD13" i="3"/>
  <c r="DD14" i="3"/>
  <c r="DD15" i="3"/>
  <c r="DD16" i="3"/>
  <c r="DD17" i="3"/>
  <c r="DD18" i="3"/>
  <c r="DD19" i="3"/>
  <c r="DD20" i="3"/>
  <c r="DD21" i="3"/>
  <c r="DD22" i="3"/>
  <c r="DD23" i="3"/>
  <c r="DE3" i="3"/>
  <c r="DE4" i="3"/>
  <c r="DE5" i="3"/>
  <c r="DE6" i="3"/>
  <c r="DE7" i="3"/>
  <c r="DE12" i="3"/>
  <c r="DE13" i="3"/>
  <c r="DE14" i="3"/>
  <c r="DE15" i="3"/>
  <c r="DE16" i="3"/>
  <c r="DE17" i="3"/>
  <c r="DE18" i="3"/>
  <c r="DE19" i="3"/>
  <c r="DE20" i="3"/>
  <c r="DE21" i="3"/>
  <c r="DE22" i="3"/>
  <c r="DE23" i="3"/>
  <c r="DF3" i="3"/>
  <c r="DF4" i="3"/>
  <c r="DF5" i="3"/>
  <c r="DF6" i="3"/>
  <c r="DF7" i="3"/>
  <c r="DF12" i="3"/>
  <c r="DF13" i="3"/>
  <c r="DF14" i="3"/>
  <c r="DF15" i="3"/>
  <c r="DF16" i="3"/>
  <c r="DF17" i="3"/>
  <c r="DF18" i="3"/>
  <c r="DF19" i="3"/>
  <c r="DF20" i="3"/>
  <c r="DF21" i="3"/>
  <c r="DF22" i="3"/>
  <c r="DF23" i="3"/>
  <c r="DG3" i="3"/>
  <c r="DG4" i="3"/>
  <c r="DG5" i="3"/>
  <c r="DG6" i="3"/>
  <c r="DG7" i="3"/>
  <c r="DG12" i="3"/>
  <c r="DG13" i="3"/>
  <c r="DG14" i="3"/>
  <c r="DG15" i="3"/>
  <c r="DG16" i="3"/>
  <c r="DG17" i="3"/>
  <c r="DG18" i="3"/>
  <c r="DG19" i="3"/>
  <c r="DG20" i="3"/>
  <c r="DG21" i="3"/>
  <c r="DG22" i="3"/>
  <c r="DG23" i="3"/>
  <c r="DH3" i="3"/>
  <c r="DH4" i="3"/>
  <c r="DH5" i="3"/>
  <c r="DH6" i="3"/>
  <c r="DH7" i="3"/>
  <c r="DH12" i="3"/>
  <c r="DH13" i="3"/>
  <c r="DH14" i="3"/>
  <c r="DH15" i="3"/>
  <c r="DH16" i="3"/>
  <c r="DH17" i="3"/>
  <c r="DH18" i="3"/>
  <c r="DH19" i="3"/>
  <c r="DH20" i="3"/>
  <c r="DH21" i="3"/>
  <c r="DH22" i="3"/>
  <c r="DH23" i="3"/>
  <c r="DI3" i="3"/>
  <c r="DI4" i="3"/>
  <c r="DI5" i="3"/>
  <c r="DI6" i="3"/>
  <c r="DI7" i="3"/>
  <c r="DI12" i="3"/>
  <c r="DI13" i="3"/>
  <c r="DI14" i="3"/>
  <c r="DI15" i="3"/>
  <c r="DI16" i="3"/>
  <c r="DI17" i="3"/>
  <c r="DI18" i="3"/>
  <c r="DI19" i="3"/>
  <c r="DI20" i="3"/>
  <c r="DI21" i="3"/>
  <c r="DI22" i="3"/>
  <c r="DI23" i="3"/>
  <c r="DJ3" i="3"/>
  <c r="DJ4" i="3"/>
  <c r="DJ5" i="3"/>
  <c r="DJ6" i="3"/>
  <c r="DJ7" i="3"/>
  <c r="DJ12" i="3"/>
  <c r="DJ13" i="3"/>
  <c r="DJ14" i="3"/>
  <c r="DJ15" i="3"/>
  <c r="DJ16" i="3"/>
  <c r="DJ17" i="3"/>
  <c r="DJ18" i="3"/>
  <c r="DJ19" i="3"/>
  <c r="DJ20" i="3"/>
  <c r="DJ21" i="3"/>
  <c r="DJ22" i="3"/>
  <c r="DJ23" i="3"/>
  <c r="CZ24" i="3"/>
  <c r="DA24" i="3"/>
  <c r="DB24" i="3"/>
  <c r="DC24" i="3"/>
  <c r="DD24" i="3"/>
  <c r="DE24" i="3"/>
  <c r="DF24" i="3"/>
  <c r="DG24" i="3"/>
  <c r="DH24" i="3"/>
  <c r="DI24" i="3"/>
  <c r="DJ24" i="3"/>
  <c r="CZ25" i="3"/>
  <c r="CD24" i="3"/>
  <c r="CD25" i="3"/>
  <c r="BP24" i="3"/>
  <c r="BP25" i="3"/>
  <c r="AE24" i="3"/>
  <c r="AE25" i="3"/>
  <c r="DA25" i="3"/>
  <c r="AT24" i="3"/>
  <c r="AT25" i="3"/>
  <c r="Z24" i="3"/>
  <c r="Z25" i="3"/>
  <c r="AC24" i="3"/>
  <c r="AC25" i="3"/>
  <c r="DB25" i="3"/>
  <c r="BA24" i="3"/>
  <c r="BA25" i="3"/>
  <c r="AS24" i="3"/>
  <c r="AS25" i="3"/>
  <c r="AG24" i="3"/>
  <c r="AG25" i="3"/>
  <c r="DC25" i="3"/>
  <c r="BX24" i="3"/>
  <c r="BX25" i="3"/>
  <c r="AH24" i="3"/>
  <c r="AH25" i="3"/>
  <c r="P24" i="3"/>
  <c r="P25" i="3"/>
  <c r="DD25" i="3"/>
  <c r="CN24" i="3"/>
  <c r="CN25" i="3"/>
  <c r="CG24" i="3"/>
  <c r="CG25" i="3"/>
  <c r="BY24" i="3"/>
  <c r="BY25" i="3"/>
  <c r="BB24" i="3"/>
  <c r="BB25" i="3"/>
  <c r="AU24" i="3"/>
  <c r="AU25" i="3"/>
  <c r="AM24" i="3"/>
  <c r="AM25" i="3"/>
  <c r="AL24" i="3"/>
  <c r="AL25" i="3"/>
  <c r="DE25" i="3"/>
  <c r="CO24" i="3"/>
  <c r="CO25" i="3"/>
  <c r="CM24" i="3"/>
  <c r="CM25" i="3"/>
  <c r="CF24" i="3"/>
  <c r="CF25" i="3"/>
  <c r="CE24" i="3"/>
  <c r="CE25" i="3"/>
  <c r="BZ24" i="3"/>
  <c r="BZ25" i="3"/>
  <c r="AN24" i="3"/>
  <c r="AN25" i="3"/>
  <c r="DF25" i="3"/>
  <c r="AD24" i="3"/>
  <c r="AD25" i="3"/>
  <c r="O24" i="3"/>
  <c r="O25" i="3"/>
  <c r="I24" i="3"/>
  <c r="I25" i="3"/>
  <c r="DG25" i="3"/>
  <c r="E24" i="3"/>
  <c r="E25" i="3"/>
  <c r="F24" i="3"/>
  <c r="F25" i="3"/>
  <c r="H24" i="3"/>
  <c r="H25" i="3"/>
  <c r="DH25" i="3"/>
  <c r="M24" i="3"/>
  <c r="M25" i="3"/>
  <c r="K24" i="3"/>
  <c r="K25" i="3"/>
  <c r="J24" i="3"/>
  <c r="J25" i="3"/>
  <c r="DI25" i="3"/>
  <c r="AY24" i="3"/>
  <c r="AY25" i="3"/>
  <c r="AR24" i="3"/>
  <c r="AR25" i="3"/>
  <c r="AI24" i="3"/>
  <c r="AI25" i="3"/>
  <c r="DJ25" i="3"/>
  <c r="DA29" i="3"/>
  <c r="DB29" i="3"/>
  <c r="DC29" i="3"/>
  <c r="DD29" i="3"/>
  <c r="DE29" i="3"/>
  <c r="DF29" i="3"/>
  <c r="DG29" i="3"/>
  <c r="DH29" i="3"/>
  <c r="DI29" i="3"/>
  <c r="DJ29" i="3"/>
  <c r="DA30" i="3"/>
  <c r="DB30" i="3"/>
  <c r="DC30" i="3"/>
  <c r="DD30" i="3"/>
  <c r="DE30" i="3"/>
  <c r="DF30" i="3"/>
  <c r="DG30" i="3"/>
  <c r="DH30" i="3"/>
  <c r="DI30" i="3"/>
  <c r="DJ30" i="3"/>
  <c r="DA31" i="3"/>
  <c r="DB31" i="3"/>
  <c r="DC31" i="3"/>
  <c r="DD31" i="3"/>
  <c r="DE31" i="3"/>
  <c r="DF31" i="3"/>
  <c r="DG31" i="3"/>
  <c r="DH31" i="3"/>
  <c r="DI31" i="3"/>
  <c r="DJ31" i="3"/>
  <c r="DA32" i="3"/>
  <c r="DB32" i="3"/>
  <c r="DC32" i="3"/>
  <c r="DD32" i="3"/>
  <c r="DE32" i="3"/>
  <c r="DF32" i="3"/>
  <c r="DG32" i="3"/>
  <c r="DH32" i="3"/>
  <c r="DI32" i="3"/>
  <c r="DJ32" i="3"/>
  <c r="DA33" i="3"/>
  <c r="DB33" i="3"/>
  <c r="DC33" i="3"/>
  <c r="DD33" i="3"/>
  <c r="DE33" i="3"/>
  <c r="DF33" i="3"/>
  <c r="DG33" i="3"/>
  <c r="DH33" i="3"/>
  <c r="DI33" i="3"/>
  <c r="DJ33" i="3"/>
  <c r="DA34" i="3"/>
  <c r="DB34" i="3"/>
  <c r="DC34" i="3"/>
  <c r="DD34" i="3"/>
  <c r="DE34" i="3"/>
  <c r="DF34" i="3"/>
  <c r="DG34" i="3"/>
  <c r="DH34" i="3"/>
  <c r="DI34" i="3"/>
  <c r="DJ34" i="3"/>
  <c r="DA35" i="3"/>
  <c r="DB35" i="3"/>
  <c r="DC35" i="3"/>
  <c r="DD35" i="3"/>
  <c r="DE35" i="3"/>
  <c r="DF35" i="3"/>
  <c r="DG35" i="3"/>
  <c r="DH35" i="3"/>
  <c r="DI35" i="3"/>
  <c r="DJ35" i="3"/>
  <c r="DA36" i="3"/>
  <c r="DB36" i="3"/>
  <c r="DC36" i="3"/>
  <c r="DD36" i="3"/>
  <c r="DE36" i="3"/>
  <c r="DF36" i="3"/>
  <c r="DG36" i="3"/>
  <c r="DH36" i="3"/>
  <c r="DI36" i="3"/>
  <c r="DJ36" i="3"/>
  <c r="DA37" i="3"/>
  <c r="DB37" i="3"/>
  <c r="DC37" i="3"/>
  <c r="DD37" i="3"/>
  <c r="DE37" i="3"/>
  <c r="DF37" i="3"/>
  <c r="DG37" i="3"/>
  <c r="DH37" i="3"/>
  <c r="DI37" i="3"/>
  <c r="DJ37" i="3"/>
  <c r="DA38" i="3"/>
  <c r="DB38" i="3"/>
  <c r="DC38" i="3"/>
  <c r="DD38" i="3"/>
  <c r="DE38" i="3"/>
  <c r="DF38" i="3"/>
  <c r="DG38" i="3"/>
  <c r="DH38" i="3"/>
  <c r="DI38" i="3"/>
  <c r="DJ38" i="3"/>
  <c r="DA39" i="3"/>
  <c r="DB39" i="3"/>
  <c r="DC39" i="3"/>
  <c r="DD39" i="3"/>
  <c r="DE39" i="3"/>
  <c r="DF39" i="3"/>
  <c r="DG39" i="3"/>
  <c r="DH39" i="3"/>
  <c r="DI39" i="3"/>
  <c r="DJ39" i="3"/>
  <c r="DA40" i="3"/>
  <c r="DB40" i="3"/>
  <c r="DC40" i="3"/>
  <c r="DD40" i="3"/>
  <c r="DE40" i="3"/>
  <c r="DF40" i="3"/>
  <c r="DG40" i="3"/>
  <c r="DH40" i="3"/>
  <c r="DI40" i="3"/>
  <c r="DJ40" i="3"/>
  <c r="DA41" i="3"/>
  <c r="DB41" i="3"/>
  <c r="DC41" i="3"/>
  <c r="DD41" i="3"/>
  <c r="DE41" i="3"/>
  <c r="DF41" i="3"/>
  <c r="DG41" i="3"/>
  <c r="DH41" i="3"/>
  <c r="DI41" i="3"/>
  <c r="DJ41" i="3"/>
  <c r="DA42" i="3"/>
  <c r="DB42" i="3"/>
  <c r="DC42" i="3"/>
  <c r="DD42" i="3"/>
  <c r="DE42" i="3"/>
  <c r="DF42" i="3"/>
  <c r="DG42" i="3"/>
  <c r="DH42" i="3"/>
  <c r="DI42" i="3"/>
  <c r="DJ42" i="3"/>
  <c r="DA43" i="3"/>
  <c r="DB43" i="3"/>
  <c r="DC43" i="3"/>
  <c r="DD43" i="3"/>
  <c r="DE43" i="3"/>
  <c r="DF43" i="3"/>
  <c r="DG43" i="3"/>
  <c r="DH43" i="3"/>
  <c r="DI43" i="3"/>
  <c r="DJ43" i="3"/>
  <c r="DA44" i="3"/>
  <c r="DB44" i="3"/>
  <c r="DC44" i="3"/>
  <c r="DD44" i="3"/>
  <c r="DE44" i="3"/>
  <c r="DF44" i="3"/>
  <c r="DG44" i="3"/>
  <c r="DH44" i="3"/>
  <c r="DI44" i="3"/>
  <c r="DJ44" i="3"/>
  <c r="DA45" i="3"/>
  <c r="DB45" i="3"/>
  <c r="DC45" i="3"/>
  <c r="DD45" i="3"/>
  <c r="DE45" i="3"/>
  <c r="DF45" i="3"/>
  <c r="DG45" i="3"/>
  <c r="DH45" i="3"/>
  <c r="DI45" i="3"/>
  <c r="DJ45" i="3"/>
  <c r="DA46" i="3"/>
  <c r="DB46" i="3"/>
  <c r="DC46" i="3"/>
  <c r="DD46" i="3"/>
  <c r="DE46" i="3"/>
  <c r="DF46" i="3"/>
  <c r="DG46" i="3"/>
  <c r="DH46" i="3"/>
  <c r="DI46" i="3"/>
  <c r="DJ46" i="3"/>
  <c r="DA47" i="3"/>
  <c r="DB47" i="3"/>
  <c r="DC47" i="3"/>
  <c r="DD47" i="3"/>
  <c r="DE47" i="3"/>
  <c r="DF47" i="3"/>
  <c r="DG47" i="3"/>
  <c r="DH47" i="3"/>
  <c r="DI47" i="3"/>
  <c r="DJ47" i="3"/>
  <c r="DA48" i="3"/>
  <c r="DB48" i="3"/>
  <c r="DC48" i="3"/>
  <c r="DD48" i="3"/>
  <c r="DE48" i="3"/>
  <c r="DF48" i="3"/>
  <c r="DG48" i="3"/>
  <c r="DH48" i="3"/>
  <c r="DI48" i="3"/>
  <c r="DJ48" i="3"/>
  <c r="CZ49" i="3"/>
  <c r="DA49" i="3"/>
  <c r="DB49" i="3"/>
  <c r="DC49" i="3"/>
  <c r="DD49" i="3"/>
  <c r="DE49" i="3"/>
  <c r="DF49" i="3"/>
  <c r="DG49" i="3"/>
  <c r="DH49" i="3"/>
  <c r="DI49" i="3"/>
  <c r="DJ49" i="3"/>
  <c r="CZ50" i="3"/>
  <c r="DA50" i="3"/>
  <c r="DB50" i="3"/>
  <c r="DC50" i="3"/>
  <c r="DD50" i="3"/>
  <c r="DE50" i="3"/>
  <c r="DF50" i="3"/>
  <c r="DG50" i="3"/>
  <c r="DH50" i="3"/>
  <c r="DI50" i="3"/>
  <c r="DJ50" i="3"/>
  <c r="CZ51" i="3"/>
  <c r="DA51" i="3"/>
  <c r="DB51" i="3"/>
  <c r="DC51" i="3"/>
  <c r="DD51" i="3"/>
  <c r="DE51" i="3"/>
  <c r="DF51" i="3"/>
  <c r="DG51" i="3"/>
  <c r="DH51" i="3"/>
  <c r="DI51" i="3"/>
  <c r="DJ51" i="3"/>
  <c r="CZ52" i="3"/>
  <c r="DA52" i="3"/>
  <c r="DB52" i="3"/>
  <c r="DC52" i="3"/>
  <c r="DD52" i="3"/>
  <c r="DE52" i="3"/>
  <c r="DF52" i="3"/>
  <c r="DG52" i="3"/>
  <c r="DH52" i="3"/>
  <c r="DI52" i="3"/>
  <c r="DJ52" i="3"/>
  <c r="CZ53" i="3"/>
  <c r="DA53" i="3"/>
  <c r="DB53" i="3"/>
  <c r="DC53" i="3"/>
  <c r="DD53" i="3"/>
  <c r="DE53" i="3"/>
  <c r="DF53" i="3"/>
  <c r="DG53" i="3"/>
  <c r="DH53" i="3"/>
  <c r="DI53" i="3"/>
  <c r="DJ53" i="3"/>
  <c r="CZ69" i="3"/>
  <c r="DA69" i="3"/>
  <c r="DB69" i="3"/>
  <c r="DC69" i="3"/>
  <c r="DD69" i="3"/>
  <c r="DE69" i="3"/>
  <c r="DF69" i="3"/>
  <c r="DG69" i="3"/>
  <c r="DH69" i="3"/>
  <c r="DI69" i="3"/>
  <c r="DJ69" i="3"/>
  <c r="CZ70" i="3"/>
  <c r="DA70" i="3"/>
  <c r="DB70" i="3"/>
  <c r="DC70" i="3"/>
  <c r="DD70" i="3"/>
  <c r="DE70" i="3"/>
  <c r="DF70" i="3"/>
  <c r="DG70" i="3"/>
  <c r="DH70" i="3"/>
  <c r="DI70" i="3"/>
  <c r="DJ70" i="3"/>
  <c r="CZ71" i="3"/>
  <c r="DA71" i="3"/>
  <c r="DB71" i="3"/>
  <c r="DC71" i="3"/>
  <c r="DD71" i="3"/>
  <c r="DE71" i="3"/>
  <c r="DF71" i="3"/>
  <c r="DG71" i="3"/>
  <c r="DH71" i="3"/>
  <c r="DI71" i="3"/>
  <c r="DJ71" i="3"/>
  <c r="CZ87" i="3"/>
  <c r="DA87" i="3"/>
  <c r="DB87" i="3"/>
  <c r="DC87" i="3"/>
  <c r="DD87" i="3"/>
  <c r="DE87" i="3"/>
  <c r="DF87" i="3"/>
  <c r="DG87" i="3"/>
  <c r="DH87" i="3"/>
  <c r="DI87" i="3"/>
  <c r="DJ87" i="3"/>
  <c r="CZ88" i="3"/>
  <c r="DA88" i="3"/>
  <c r="DB88" i="3"/>
  <c r="DC88" i="3"/>
  <c r="DD88" i="3"/>
  <c r="DE88" i="3"/>
  <c r="DF88" i="3"/>
  <c r="DG88" i="3"/>
  <c r="DH88" i="3"/>
  <c r="DI88" i="3"/>
  <c r="DJ88" i="3"/>
  <c r="CZ89" i="3"/>
  <c r="DA89" i="3"/>
  <c r="DB89" i="3"/>
  <c r="DC89" i="3"/>
  <c r="DD89" i="3"/>
  <c r="DE89" i="3"/>
  <c r="DF89" i="3"/>
  <c r="DG89" i="3"/>
  <c r="DH89" i="3"/>
  <c r="DI89" i="3"/>
  <c r="DJ89" i="3"/>
  <c r="CZ90" i="3"/>
  <c r="DA90" i="3"/>
  <c r="DB90" i="3"/>
  <c r="DC90" i="3"/>
  <c r="DD90" i="3"/>
  <c r="DE90" i="3"/>
  <c r="DF90" i="3"/>
  <c r="DG90" i="3"/>
  <c r="DH90" i="3"/>
  <c r="DI90" i="3"/>
  <c r="DJ90" i="3"/>
  <c r="CZ91" i="3"/>
  <c r="DA91" i="3"/>
  <c r="DB91" i="3"/>
  <c r="DC91" i="3"/>
  <c r="DD91" i="3"/>
  <c r="DE91" i="3"/>
  <c r="DF91" i="3"/>
  <c r="DG91" i="3"/>
  <c r="DH91" i="3"/>
  <c r="DI91" i="3"/>
  <c r="DJ91" i="3"/>
  <c r="CZ92" i="3"/>
  <c r="DA92" i="3"/>
  <c r="DB92" i="3"/>
  <c r="DC92" i="3"/>
  <c r="DD92" i="3"/>
  <c r="DE92" i="3"/>
  <c r="DF92" i="3"/>
  <c r="DG92" i="3"/>
  <c r="DH92" i="3"/>
  <c r="DI92" i="3"/>
  <c r="DJ92" i="3"/>
  <c r="CZ93" i="3"/>
  <c r="DA93" i="3"/>
  <c r="DB93" i="3"/>
  <c r="DC93" i="3"/>
  <c r="DD93" i="3"/>
  <c r="DE93" i="3"/>
  <c r="DF93" i="3"/>
  <c r="DG93" i="3"/>
  <c r="DH93" i="3"/>
  <c r="DI93" i="3"/>
  <c r="DJ93" i="3"/>
  <c r="CZ96" i="3"/>
  <c r="DA96" i="3"/>
  <c r="DB96" i="3"/>
  <c r="DC96" i="3"/>
  <c r="DD96" i="3"/>
  <c r="DE96" i="3"/>
  <c r="DF96" i="3"/>
  <c r="DG96" i="3"/>
  <c r="DH96" i="3"/>
  <c r="DI96" i="3"/>
  <c r="DJ96" i="3"/>
  <c r="CZ97" i="3"/>
  <c r="DA97" i="3"/>
  <c r="DB97" i="3"/>
  <c r="DC97" i="3"/>
  <c r="DD97" i="3"/>
  <c r="DE97" i="3"/>
  <c r="DF97" i="3"/>
  <c r="DG97" i="3"/>
  <c r="DH97" i="3"/>
  <c r="DI97" i="3"/>
  <c r="DJ97" i="3"/>
  <c r="CZ98" i="3"/>
  <c r="DA98" i="3"/>
  <c r="DB98" i="3"/>
  <c r="DC98" i="3"/>
  <c r="DD98" i="3"/>
  <c r="DE98" i="3"/>
  <c r="DF98" i="3"/>
  <c r="DG98" i="3"/>
  <c r="DH98" i="3"/>
  <c r="DI98" i="3"/>
  <c r="DJ98" i="3"/>
  <c r="CZ99" i="3"/>
  <c r="DA99" i="3"/>
  <c r="DB99" i="3"/>
  <c r="DC99" i="3"/>
  <c r="DD99" i="3"/>
  <c r="DE99" i="3"/>
  <c r="DF99" i="3"/>
  <c r="DG99" i="3"/>
  <c r="DH99" i="3"/>
  <c r="DI99" i="3"/>
  <c r="DJ99" i="3"/>
  <c r="CZ100" i="3"/>
  <c r="DA100" i="3"/>
  <c r="DB100" i="3"/>
  <c r="DC100" i="3"/>
  <c r="DD100" i="3"/>
  <c r="DE100" i="3"/>
  <c r="DF100" i="3"/>
  <c r="DG100" i="3"/>
  <c r="DH100" i="3"/>
  <c r="DI100" i="3"/>
  <c r="DJ100" i="3"/>
  <c r="CZ101" i="3"/>
  <c r="DA101" i="3"/>
  <c r="DB101" i="3"/>
  <c r="DC101" i="3"/>
  <c r="DD101" i="3"/>
  <c r="DE101" i="3"/>
  <c r="DF101" i="3"/>
  <c r="DG101" i="3"/>
  <c r="DH101" i="3"/>
  <c r="DI101" i="3"/>
  <c r="DJ101" i="3"/>
  <c r="CZ102" i="3"/>
  <c r="DA102" i="3"/>
  <c r="DB102" i="3"/>
  <c r="DC102" i="3"/>
  <c r="DD102" i="3"/>
  <c r="DE102" i="3"/>
  <c r="DF102" i="3"/>
  <c r="DG102" i="3"/>
  <c r="DH102" i="3"/>
  <c r="DI102" i="3"/>
  <c r="DJ102" i="3"/>
  <c r="CZ103" i="3"/>
  <c r="DA103" i="3"/>
  <c r="DB103" i="3"/>
  <c r="DC103" i="3"/>
  <c r="DD103" i="3"/>
  <c r="DE103" i="3"/>
  <c r="DF103" i="3"/>
  <c r="DG103" i="3"/>
  <c r="DH103" i="3"/>
  <c r="DI103" i="3"/>
  <c r="DJ103" i="3"/>
  <c r="CZ104" i="3"/>
  <c r="DA104" i="3"/>
  <c r="DB104" i="3"/>
  <c r="DC104" i="3"/>
  <c r="DD104" i="3"/>
  <c r="DE104" i="3"/>
  <c r="DF104" i="3"/>
  <c r="DG104" i="3"/>
  <c r="DH104" i="3"/>
  <c r="DI104" i="3"/>
  <c r="DJ104" i="3"/>
  <c r="CZ105" i="3"/>
  <c r="DA105" i="3"/>
  <c r="DB105" i="3"/>
  <c r="DC105" i="3"/>
  <c r="DD105" i="3"/>
  <c r="DE105" i="3"/>
  <c r="DF105" i="3"/>
  <c r="DG105" i="3"/>
  <c r="DH105" i="3"/>
  <c r="DI105" i="3"/>
  <c r="DJ105" i="3"/>
  <c r="CZ106" i="3"/>
  <c r="DA106" i="3"/>
  <c r="DB106" i="3"/>
  <c r="DC106" i="3"/>
  <c r="DD106" i="3"/>
  <c r="DE106" i="3"/>
  <c r="DF106" i="3"/>
  <c r="DG106" i="3"/>
  <c r="DH106" i="3"/>
  <c r="DI106" i="3"/>
  <c r="DJ106" i="3"/>
  <c r="CZ107" i="3"/>
  <c r="DA107" i="3"/>
  <c r="DB107" i="3"/>
  <c r="DC107" i="3"/>
  <c r="DD107" i="3"/>
  <c r="DE107" i="3"/>
  <c r="DF107" i="3"/>
  <c r="DG107" i="3"/>
  <c r="DH107" i="3"/>
  <c r="DI107" i="3"/>
  <c r="DJ107" i="3"/>
  <c r="CZ108" i="3"/>
  <c r="DA108" i="3"/>
  <c r="DB108" i="3"/>
  <c r="DC108" i="3"/>
  <c r="DD108" i="3"/>
  <c r="DE108" i="3"/>
  <c r="DF108" i="3"/>
  <c r="DG108" i="3"/>
  <c r="DH108" i="3"/>
  <c r="DI108" i="3"/>
  <c r="DJ108" i="3"/>
  <c r="CZ109" i="3"/>
  <c r="DA109" i="3"/>
  <c r="DB109" i="3"/>
  <c r="DC109" i="3"/>
  <c r="DD109" i="3"/>
  <c r="DE109" i="3"/>
  <c r="DF109" i="3"/>
  <c r="DG109" i="3"/>
  <c r="DH109" i="3"/>
  <c r="DI109" i="3"/>
  <c r="DJ109" i="3"/>
  <c r="CZ110" i="3"/>
  <c r="DA110" i="3"/>
  <c r="DB110" i="3"/>
  <c r="DC110" i="3"/>
  <c r="DD110" i="3"/>
  <c r="DE110" i="3"/>
  <c r="DF110" i="3"/>
  <c r="DG110" i="3"/>
  <c r="DH110" i="3"/>
  <c r="DI110" i="3"/>
  <c r="DJ110" i="3"/>
  <c r="EW4" i="70"/>
  <c r="EW5" i="70"/>
  <c r="EW6" i="70"/>
  <c r="EW7" i="70"/>
  <c r="EW8" i="70"/>
  <c r="EW9" i="70"/>
  <c r="EW10" i="70"/>
  <c r="EW11" i="70"/>
  <c r="EW12" i="70"/>
  <c r="EW13" i="70"/>
  <c r="EW14" i="70"/>
  <c r="EW15" i="70"/>
  <c r="EW16" i="70"/>
  <c r="EW17" i="70"/>
  <c r="EW3" i="70"/>
  <c r="BH4" i="70"/>
  <c r="AY18" i="70"/>
  <c r="AZ18" i="70"/>
  <c r="BA18" i="70"/>
  <c r="BB18" i="70"/>
  <c r="BC18" i="70"/>
  <c r="BD18" i="70"/>
  <c r="BE18" i="70"/>
  <c r="BF18" i="70"/>
  <c r="BG18" i="70"/>
  <c r="AY19" i="70"/>
  <c r="AZ19" i="70"/>
  <c r="BA19" i="70"/>
  <c r="BB19" i="70"/>
  <c r="BC19" i="70"/>
  <c r="BD19" i="70"/>
  <c r="BE19" i="70"/>
  <c r="BF19" i="70"/>
  <c r="BG19" i="70"/>
  <c r="BH3" i="70"/>
  <c r="F51" i="2"/>
  <c r="F52" i="2"/>
  <c r="G51" i="2"/>
  <c r="G52" i="2"/>
  <c r="H51" i="2"/>
  <c r="H52" i="2"/>
  <c r="I51" i="2"/>
  <c r="I52" i="2"/>
  <c r="J51" i="2"/>
  <c r="J52" i="2"/>
  <c r="K51" i="2"/>
  <c r="K52" i="2"/>
  <c r="L51" i="2"/>
  <c r="L52" i="2"/>
  <c r="M51" i="2"/>
  <c r="M52" i="2"/>
  <c r="N51" i="2"/>
  <c r="N52" i="2"/>
  <c r="O51" i="2"/>
  <c r="O52" i="2"/>
  <c r="P51" i="2"/>
  <c r="P52" i="2"/>
  <c r="Q51" i="2"/>
  <c r="Q52" i="2"/>
  <c r="R51" i="2"/>
  <c r="R52" i="2"/>
  <c r="S51" i="2"/>
  <c r="S52" i="2"/>
  <c r="T51" i="2"/>
  <c r="T52" i="2"/>
  <c r="U51" i="2"/>
  <c r="U52" i="2"/>
  <c r="V51" i="2"/>
  <c r="V52" i="2"/>
  <c r="W51" i="2"/>
  <c r="W52" i="2"/>
  <c r="X51" i="2"/>
  <c r="X52" i="2"/>
  <c r="Y51" i="2"/>
  <c r="Y52" i="2"/>
  <c r="Z51" i="2"/>
  <c r="Z52" i="2"/>
  <c r="AA51" i="2"/>
  <c r="AA52" i="2"/>
  <c r="AB51" i="2"/>
  <c r="AB52" i="2"/>
  <c r="AC51" i="2"/>
  <c r="AC52" i="2"/>
  <c r="AD51" i="2"/>
  <c r="AD52" i="2"/>
  <c r="AE51" i="2"/>
  <c r="AE52" i="2"/>
  <c r="AF51" i="2"/>
  <c r="AF52" i="2"/>
  <c r="AG51" i="2"/>
  <c r="AG52" i="2"/>
  <c r="E51" i="2"/>
  <c r="E52" i="2"/>
  <c r="G52" i="1"/>
  <c r="G53" i="1"/>
  <c r="H52" i="1"/>
  <c r="H53" i="1"/>
  <c r="I52" i="1"/>
  <c r="I53" i="1"/>
  <c r="J52" i="1"/>
  <c r="J53" i="1"/>
  <c r="K52" i="1"/>
  <c r="K53" i="1"/>
  <c r="L52" i="1"/>
  <c r="L53" i="1"/>
  <c r="M52" i="1"/>
  <c r="M53" i="1"/>
  <c r="N52" i="1"/>
  <c r="N53" i="1"/>
  <c r="O52" i="1"/>
  <c r="O53" i="1"/>
  <c r="P52" i="1"/>
  <c r="P53" i="1"/>
  <c r="Q52" i="1"/>
  <c r="Q53" i="1"/>
  <c r="R52" i="1"/>
  <c r="R53" i="1"/>
  <c r="S52" i="1"/>
  <c r="S53" i="1"/>
  <c r="T52" i="1"/>
  <c r="T53" i="1"/>
  <c r="U52" i="1"/>
  <c r="U53" i="1"/>
  <c r="V52" i="1"/>
  <c r="V53" i="1"/>
  <c r="W52" i="1"/>
  <c r="W53" i="1"/>
  <c r="X52" i="1"/>
  <c r="X53" i="1"/>
  <c r="Y52" i="1"/>
  <c r="Y53" i="1"/>
  <c r="Z52" i="1"/>
  <c r="Z53" i="1"/>
  <c r="AA52" i="1"/>
  <c r="AA53" i="1"/>
  <c r="AB52" i="1"/>
  <c r="AB53" i="1"/>
  <c r="AC52" i="1"/>
  <c r="AC53" i="1"/>
  <c r="AD52" i="1"/>
  <c r="AD53" i="1"/>
  <c r="AE52" i="1"/>
  <c r="AE53" i="1"/>
  <c r="AF52" i="1"/>
  <c r="AF53" i="1"/>
  <c r="AG52" i="1"/>
  <c r="AG53" i="1"/>
  <c r="F52" i="1"/>
  <c r="F53" i="1"/>
  <c r="E52" i="1"/>
  <c r="DR18" i="70"/>
  <c r="DS18" i="70"/>
  <c r="DT18" i="70"/>
  <c r="DU18" i="70"/>
  <c r="DV18" i="70"/>
  <c r="DW18" i="70"/>
  <c r="IJ53" i="71"/>
  <c r="IJ51" i="71"/>
  <c r="IJ39" i="71"/>
  <c r="HW43" i="71"/>
  <c r="DB4" i="70"/>
  <c r="DB5" i="70"/>
  <c r="DB6" i="70"/>
  <c r="DB7" i="70"/>
  <c r="DB8" i="70"/>
  <c r="DB9" i="70"/>
  <c r="DB10" i="70"/>
  <c r="DB11" i="70"/>
  <c r="DB12" i="70"/>
  <c r="DB13" i="70"/>
  <c r="DB14" i="70"/>
  <c r="DB15" i="70"/>
  <c r="DB16" i="70"/>
  <c r="DB17" i="70"/>
  <c r="DB3" i="70"/>
  <c r="DA3" i="70"/>
  <c r="DA4" i="70"/>
  <c r="DA5" i="70"/>
  <c r="DA6" i="70"/>
  <c r="DA7" i="70"/>
  <c r="DA8" i="70"/>
  <c r="DA9" i="70"/>
  <c r="DA10" i="70"/>
  <c r="DA11" i="70"/>
  <c r="DA12" i="70"/>
  <c r="DA13" i="70"/>
  <c r="DA14" i="70"/>
  <c r="DA15" i="70"/>
  <c r="DA16" i="70"/>
  <c r="DA17" i="70"/>
  <c r="CU3" i="70"/>
  <c r="CR3" i="70"/>
  <c r="CU4" i="70"/>
  <c r="CR4" i="70"/>
  <c r="CU5" i="70"/>
  <c r="CR5" i="70"/>
  <c r="CU6" i="70"/>
  <c r="CR6" i="70"/>
  <c r="CU7" i="70"/>
  <c r="CR7" i="70"/>
  <c r="CU8" i="70"/>
  <c r="CR8" i="70"/>
  <c r="CU9" i="70"/>
  <c r="CR9" i="70"/>
  <c r="CU10" i="70"/>
  <c r="CR10" i="70"/>
  <c r="CU11" i="70"/>
  <c r="CR11" i="70"/>
  <c r="CU12" i="70"/>
  <c r="CR12" i="70"/>
  <c r="CU13" i="70"/>
  <c r="CR13" i="70"/>
  <c r="CU14" i="70"/>
  <c r="CR14" i="70"/>
  <c r="CU15" i="70"/>
  <c r="CR15" i="70"/>
  <c r="CU16" i="70"/>
  <c r="CR16" i="70"/>
  <c r="CU17" i="70"/>
  <c r="CR17" i="70"/>
  <c r="CY18" i="70"/>
  <c r="CZ18" i="70"/>
  <c r="CY19" i="70"/>
  <c r="CZ19" i="70"/>
  <c r="CV18" i="70"/>
  <c r="CW18" i="70"/>
  <c r="CX18" i="70"/>
  <c r="CV19" i="70"/>
  <c r="CW19" i="70"/>
  <c r="CX19" i="70"/>
  <c r="BS3" i="70"/>
  <c r="BS4" i="70"/>
  <c r="BS5" i="70"/>
  <c r="BS6" i="70"/>
  <c r="BS7" i="70"/>
  <c r="BS8" i="70"/>
  <c r="BS11" i="70"/>
  <c r="BS12" i="70"/>
  <c r="BS15" i="70"/>
  <c r="BS16" i="70"/>
  <c r="BS17" i="70"/>
  <c r="BT3" i="70"/>
  <c r="BT4" i="70"/>
  <c r="BT5" i="70"/>
  <c r="BT6" i="70"/>
  <c r="BT7" i="70"/>
  <c r="BT8" i="70"/>
  <c r="BT11" i="70"/>
  <c r="BT12" i="70"/>
  <c r="BT15" i="70"/>
  <c r="BT16" i="70"/>
  <c r="BT17" i="70"/>
  <c r="BU19" i="70"/>
  <c r="BV3" i="70"/>
  <c r="BV4" i="70"/>
  <c r="BV5" i="70"/>
  <c r="BV6" i="70"/>
  <c r="BV7" i="70"/>
  <c r="BV8" i="70"/>
  <c r="BV11" i="70"/>
  <c r="BV12" i="70"/>
  <c r="BV15" i="70"/>
  <c r="BV16" i="70"/>
  <c r="BV17" i="70"/>
  <c r="BW3" i="70"/>
  <c r="BW4" i="70"/>
  <c r="BW5" i="70"/>
  <c r="BW6" i="70"/>
  <c r="BW7" i="70"/>
  <c r="BW8" i="70"/>
  <c r="BW11" i="70"/>
  <c r="BW12" i="70"/>
  <c r="BW15" i="70"/>
  <c r="BW16" i="70"/>
  <c r="BW17" i="70"/>
  <c r="BY19" i="70"/>
  <c r="BZ3" i="70"/>
  <c r="BZ4" i="70"/>
  <c r="BZ5" i="70"/>
  <c r="BZ6" i="70"/>
  <c r="BZ7" i="70"/>
  <c r="BZ8" i="70"/>
  <c r="BZ11" i="70"/>
  <c r="BZ12" i="70"/>
  <c r="BZ15" i="70"/>
  <c r="BZ16" i="70"/>
  <c r="BZ17" i="70"/>
  <c r="CA19" i="70"/>
  <c r="CB19" i="70"/>
  <c r="CC19" i="70"/>
  <c r="CD19" i="70"/>
  <c r="CE19" i="70"/>
  <c r="CF19" i="70"/>
  <c r="CG3" i="70"/>
  <c r="CG4" i="70"/>
  <c r="CG5" i="70"/>
  <c r="CG6" i="70"/>
  <c r="CG7" i="70"/>
  <c r="CG8" i="70"/>
  <c r="CG11" i="70"/>
  <c r="CG12" i="70"/>
  <c r="CG14" i="70"/>
  <c r="CG15" i="70"/>
  <c r="CG16" i="70"/>
  <c r="CG17" i="70"/>
  <c r="BR19" i="70"/>
  <c r="DP3" i="70"/>
  <c r="AF3" i="70"/>
  <c r="AT3" i="70"/>
  <c r="CO4" i="70"/>
  <c r="CL4" i="70"/>
  <c r="CO5" i="70"/>
  <c r="CL5" i="70"/>
  <c r="CO6" i="70"/>
  <c r="CL6" i="70"/>
  <c r="CO7" i="70"/>
  <c r="CL7" i="70"/>
  <c r="CO8" i="70"/>
  <c r="CL8" i="70"/>
  <c r="CO9" i="70"/>
  <c r="CL9" i="70"/>
  <c r="CO10" i="70"/>
  <c r="CL10" i="70"/>
  <c r="CO11" i="70"/>
  <c r="CL11" i="70"/>
  <c r="CO12" i="70"/>
  <c r="CL12" i="70"/>
  <c r="CO13" i="70"/>
  <c r="CL13" i="70"/>
  <c r="CO14" i="70"/>
  <c r="CL14" i="70"/>
  <c r="CO15" i="70"/>
  <c r="CL15" i="70"/>
  <c r="CO16" i="70"/>
  <c r="CL16" i="70"/>
  <c r="CO17" i="70"/>
  <c r="CL17" i="70"/>
  <c r="CO3" i="70"/>
  <c r="CL3" i="70"/>
  <c r="CK19" i="70"/>
  <c r="CM19" i="70"/>
  <c r="CN19" i="70"/>
  <c r="CP19" i="70"/>
  <c r="CQ19" i="70"/>
  <c r="CS19" i="70"/>
  <c r="CT19" i="70"/>
  <c r="CJ19" i="70"/>
  <c r="AT7" i="70"/>
  <c r="AT4" i="70"/>
  <c r="AT5" i="70"/>
  <c r="AT6" i="70"/>
  <c r="AT8" i="70"/>
  <c r="AT9" i="70"/>
  <c r="AT10" i="70"/>
  <c r="AT11" i="70"/>
  <c r="AT12" i="70"/>
  <c r="AT13" i="70"/>
  <c r="AT14" i="70"/>
  <c r="AT15" i="70"/>
  <c r="AT16" i="70"/>
  <c r="AT17" i="70"/>
  <c r="DP4" i="70"/>
  <c r="DP5" i="70"/>
  <c r="DP6" i="70"/>
  <c r="DP7" i="70"/>
  <c r="DP8" i="70"/>
  <c r="DP9" i="70"/>
  <c r="DP10" i="70"/>
  <c r="DP11" i="70"/>
  <c r="DP12" i="70"/>
  <c r="DP13" i="70"/>
  <c r="DP14" i="70"/>
  <c r="DP15" i="70"/>
  <c r="DP16" i="70"/>
  <c r="DP17" i="70"/>
  <c r="DD18" i="70"/>
  <c r="DE18" i="70"/>
  <c r="DF18" i="70"/>
  <c r="DG18" i="70"/>
  <c r="DH18" i="70"/>
  <c r="DI18" i="70"/>
  <c r="DJ18" i="70"/>
  <c r="DK18" i="70"/>
  <c r="DL18" i="70"/>
  <c r="DM18" i="70"/>
  <c r="DN18" i="70"/>
  <c r="DO18" i="70"/>
  <c r="AF4" i="70"/>
  <c r="AF5" i="70"/>
  <c r="AF6" i="70"/>
  <c r="AF7" i="70"/>
  <c r="AF8" i="70"/>
  <c r="AF9" i="70"/>
  <c r="AF10" i="70"/>
  <c r="AF11" i="70"/>
  <c r="AF12" i="70"/>
  <c r="AF13" i="70"/>
  <c r="AF14" i="70"/>
  <c r="AF15" i="70"/>
  <c r="AF16" i="70"/>
  <c r="AF17" i="70"/>
  <c r="CF18" i="70"/>
  <c r="BR18" i="70"/>
  <c r="BU18" i="70"/>
  <c r="BY18" i="70"/>
  <c r="CA18" i="70"/>
  <c r="CB18" i="70"/>
  <c r="CC18" i="70"/>
  <c r="CD18" i="70"/>
  <c r="CE18" i="70"/>
  <c r="CS18" i="70"/>
  <c r="CT18" i="70"/>
  <c r="CK18" i="70"/>
  <c r="CM18" i="70"/>
  <c r="CN18" i="70"/>
  <c r="CP18" i="70"/>
  <c r="CQ18" i="70"/>
  <c r="CJ18" i="70"/>
  <c r="IQ3" i="65"/>
  <c r="HC3" i="65"/>
  <c r="IR3" i="65"/>
  <c r="JD3" i="65"/>
  <c r="JD4" i="65"/>
  <c r="JD5" i="65"/>
  <c r="JD6" i="65"/>
  <c r="JD7" i="65"/>
  <c r="JD8" i="65"/>
  <c r="JD11" i="65"/>
  <c r="JD12" i="65"/>
  <c r="JD15" i="65"/>
  <c r="JD16" i="65"/>
  <c r="JD17" i="65"/>
  <c r="IX4" i="65"/>
  <c r="IX5" i="65"/>
  <c r="IX6" i="65"/>
  <c r="IX7" i="65"/>
  <c r="IX8" i="65"/>
  <c r="IX11" i="65"/>
  <c r="IX12" i="65"/>
  <c r="IX15" i="65"/>
  <c r="IX16" i="65"/>
  <c r="IX17" i="65"/>
  <c r="IX3" i="65"/>
  <c r="IQ4" i="65"/>
  <c r="IQ5" i="65"/>
  <c r="IQ6" i="65"/>
  <c r="IQ7" i="65"/>
  <c r="IQ8" i="65"/>
  <c r="IQ9" i="65"/>
  <c r="IQ10" i="65"/>
  <c r="IQ11" i="65"/>
  <c r="IQ12" i="65"/>
  <c r="IQ13" i="65"/>
  <c r="IQ14" i="65"/>
  <c r="IQ15" i="65"/>
  <c r="IQ16" i="65"/>
  <c r="IQ17" i="65"/>
  <c r="IQ19" i="65"/>
  <c r="GQ3" i="65"/>
  <c r="GQ4" i="65"/>
  <c r="GQ5" i="65"/>
  <c r="GQ6" i="65"/>
  <c r="GQ7" i="65"/>
  <c r="GQ8" i="65"/>
  <c r="GQ9" i="65"/>
  <c r="GQ10" i="65"/>
  <c r="GQ11" i="65"/>
  <c r="GQ12" i="65"/>
  <c r="GQ13" i="65"/>
  <c r="GQ14" i="65"/>
  <c r="GQ15" i="65"/>
  <c r="GQ16" i="65"/>
  <c r="GQ17" i="65"/>
  <c r="GQ19" i="65"/>
  <c r="AV3" i="65"/>
  <c r="AW3" i="65"/>
  <c r="AX3" i="65"/>
  <c r="AY3" i="65"/>
  <c r="BU3" i="65"/>
  <c r="BY3" i="65"/>
  <c r="DD3" i="65"/>
  <c r="DH3" i="65"/>
  <c r="DI3" i="65"/>
  <c r="DJ3" i="65"/>
  <c r="DK3" i="65"/>
  <c r="DL3" i="65"/>
  <c r="DQ3" i="65"/>
  <c r="DU3" i="65"/>
  <c r="DV3" i="65"/>
  <c r="DW3" i="65"/>
  <c r="DX3" i="65"/>
  <c r="DY3" i="65"/>
  <c r="ED3" i="65"/>
  <c r="EH3" i="65"/>
  <c r="EI3" i="65"/>
  <c r="EJ3" i="65"/>
  <c r="EK3" i="65"/>
  <c r="EL3" i="65"/>
  <c r="ER3" i="65"/>
  <c r="GK3" i="65"/>
  <c r="GL3" i="65"/>
  <c r="GM3" i="65"/>
  <c r="GP3" i="65"/>
  <c r="GT3" i="65"/>
  <c r="GU3" i="65"/>
  <c r="GX3" i="65"/>
  <c r="GY3" i="65"/>
  <c r="HB3" i="65"/>
  <c r="HF3" i="65"/>
  <c r="HG3" i="65"/>
  <c r="HJ3" i="65"/>
  <c r="HK3" i="65"/>
  <c r="HN3" i="65"/>
  <c r="HO3" i="65"/>
  <c r="HR3" i="65"/>
  <c r="HS3" i="65"/>
  <c r="HV3" i="65"/>
  <c r="HW3" i="65"/>
  <c r="HZ3" i="65"/>
  <c r="IA3" i="65"/>
  <c r="ID3" i="65"/>
  <c r="IE3" i="65"/>
  <c r="IH3" i="65"/>
  <c r="AV4" i="65"/>
  <c r="AW4" i="65"/>
  <c r="AX4" i="65"/>
  <c r="AY4" i="65"/>
  <c r="BU4" i="65"/>
  <c r="BY4" i="65"/>
  <c r="DD4" i="65"/>
  <c r="DH4" i="65"/>
  <c r="DI4" i="65"/>
  <c r="DJ4" i="65"/>
  <c r="DK4" i="65"/>
  <c r="DL4" i="65"/>
  <c r="DQ4" i="65"/>
  <c r="DU4" i="65"/>
  <c r="DV4" i="65"/>
  <c r="DW4" i="65"/>
  <c r="DX4" i="65"/>
  <c r="DY4" i="65"/>
  <c r="ED4" i="65"/>
  <c r="EH4" i="65"/>
  <c r="EI4" i="65"/>
  <c r="EJ4" i="65"/>
  <c r="EK4" i="65"/>
  <c r="EL4" i="65"/>
  <c r="ER4" i="65"/>
  <c r="GK4" i="65"/>
  <c r="GL4" i="65"/>
  <c r="GM4" i="65"/>
  <c r="GP4" i="65"/>
  <c r="GT4" i="65"/>
  <c r="GU4" i="65"/>
  <c r="GX4" i="65"/>
  <c r="GY4" i="65"/>
  <c r="HB4" i="65"/>
  <c r="HC4" i="65"/>
  <c r="HF4" i="65"/>
  <c r="HG4" i="65"/>
  <c r="HJ4" i="65"/>
  <c r="HK4" i="65"/>
  <c r="HN4" i="65"/>
  <c r="HO4" i="65"/>
  <c r="HR4" i="65"/>
  <c r="HS4" i="65"/>
  <c r="HV4" i="65"/>
  <c r="HW4" i="65"/>
  <c r="HZ4" i="65"/>
  <c r="IA4" i="65"/>
  <c r="ID4" i="65"/>
  <c r="IE4" i="65"/>
  <c r="IH4" i="65"/>
  <c r="AV5" i="65"/>
  <c r="AW5" i="65"/>
  <c r="AX5" i="65"/>
  <c r="AY5" i="65"/>
  <c r="BU5" i="65"/>
  <c r="BY5" i="65"/>
  <c r="DD5" i="65"/>
  <c r="DH5" i="65"/>
  <c r="DI5" i="65"/>
  <c r="DJ5" i="65"/>
  <c r="DK5" i="65"/>
  <c r="DL5" i="65"/>
  <c r="DQ5" i="65"/>
  <c r="DU5" i="65"/>
  <c r="DV5" i="65"/>
  <c r="DW5" i="65"/>
  <c r="DX5" i="65"/>
  <c r="DY5" i="65"/>
  <c r="ED5" i="65"/>
  <c r="EH5" i="65"/>
  <c r="EI5" i="65"/>
  <c r="EJ5" i="65"/>
  <c r="EK5" i="65"/>
  <c r="EL5" i="65"/>
  <c r="ER5" i="65"/>
  <c r="GK5" i="65"/>
  <c r="GL5" i="65"/>
  <c r="GM5" i="65"/>
  <c r="GP5" i="65"/>
  <c r="GT5" i="65"/>
  <c r="GU5" i="65"/>
  <c r="GX5" i="65"/>
  <c r="GY5" i="65"/>
  <c r="HB5" i="65"/>
  <c r="HC5" i="65"/>
  <c r="HF5" i="65"/>
  <c r="HG5" i="65"/>
  <c r="HJ5" i="65"/>
  <c r="HK5" i="65"/>
  <c r="HN5" i="65"/>
  <c r="HO5" i="65"/>
  <c r="HR5" i="65"/>
  <c r="HS5" i="65"/>
  <c r="HV5" i="65"/>
  <c r="HW5" i="65"/>
  <c r="HZ5" i="65"/>
  <c r="IA5" i="65"/>
  <c r="ID5" i="65"/>
  <c r="IE5" i="65"/>
  <c r="IH5" i="65"/>
  <c r="AV6" i="65"/>
  <c r="AW6" i="65"/>
  <c r="AX6" i="65"/>
  <c r="AY6" i="65"/>
  <c r="BU6" i="65"/>
  <c r="BY6" i="65"/>
  <c r="DD6" i="65"/>
  <c r="DH6" i="65"/>
  <c r="DI6" i="65"/>
  <c r="DJ6" i="65"/>
  <c r="DK6" i="65"/>
  <c r="DL6" i="65"/>
  <c r="DQ6" i="65"/>
  <c r="DU6" i="65"/>
  <c r="DV6" i="65"/>
  <c r="DW6" i="65"/>
  <c r="DX6" i="65"/>
  <c r="DY6" i="65"/>
  <c r="ED6" i="65"/>
  <c r="EH6" i="65"/>
  <c r="EI6" i="65"/>
  <c r="EJ6" i="65"/>
  <c r="EK6" i="65"/>
  <c r="EL6" i="65"/>
  <c r="ER6" i="65"/>
  <c r="GK6" i="65"/>
  <c r="GL6" i="65"/>
  <c r="GM6" i="65"/>
  <c r="GP6" i="65"/>
  <c r="GT6" i="65"/>
  <c r="GU6" i="65"/>
  <c r="GX6" i="65"/>
  <c r="GY6" i="65"/>
  <c r="HB6" i="65"/>
  <c r="HC6" i="65"/>
  <c r="HF6" i="65"/>
  <c r="HG6" i="65"/>
  <c r="HJ6" i="65"/>
  <c r="HK6" i="65"/>
  <c r="HN6" i="65"/>
  <c r="HO6" i="65"/>
  <c r="HR6" i="65"/>
  <c r="HS6" i="65"/>
  <c r="HV6" i="65"/>
  <c r="HW6" i="65"/>
  <c r="HZ6" i="65"/>
  <c r="IA6" i="65"/>
  <c r="ID6" i="65"/>
  <c r="IE6" i="65"/>
  <c r="IH6" i="65"/>
  <c r="AV7" i="65"/>
  <c r="AW7" i="65"/>
  <c r="AX7" i="65"/>
  <c r="AY7" i="65"/>
  <c r="BU7" i="65"/>
  <c r="BY7" i="65"/>
  <c r="DD7" i="65"/>
  <c r="DH7" i="65"/>
  <c r="DI7" i="65"/>
  <c r="DJ7" i="65"/>
  <c r="DK7" i="65"/>
  <c r="DL7" i="65"/>
  <c r="DQ7" i="65"/>
  <c r="DU7" i="65"/>
  <c r="DV7" i="65"/>
  <c r="DW7" i="65"/>
  <c r="DX7" i="65"/>
  <c r="DY7" i="65"/>
  <c r="ED7" i="65"/>
  <c r="EH7" i="65"/>
  <c r="EI7" i="65"/>
  <c r="EJ7" i="65"/>
  <c r="EK7" i="65"/>
  <c r="EL7" i="65"/>
  <c r="ER7" i="65"/>
  <c r="GK7" i="65"/>
  <c r="GL7" i="65"/>
  <c r="GM7" i="65"/>
  <c r="GP7" i="65"/>
  <c r="GT7" i="65"/>
  <c r="GU7" i="65"/>
  <c r="GX7" i="65"/>
  <c r="GY7" i="65"/>
  <c r="HB7" i="65"/>
  <c r="HC7" i="65"/>
  <c r="HF7" i="65"/>
  <c r="HG7" i="65"/>
  <c r="HJ7" i="65"/>
  <c r="HK7" i="65"/>
  <c r="HN7" i="65"/>
  <c r="HO7" i="65"/>
  <c r="HR7" i="65"/>
  <c r="HS7" i="65"/>
  <c r="HV7" i="65"/>
  <c r="HW7" i="65"/>
  <c r="HZ7" i="65"/>
  <c r="IA7" i="65"/>
  <c r="ID7" i="65"/>
  <c r="IE7" i="65"/>
  <c r="IH7" i="65"/>
  <c r="AV8" i="65"/>
  <c r="AW8" i="65"/>
  <c r="AX8" i="65"/>
  <c r="AY8" i="65"/>
  <c r="BU8" i="65"/>
  <c r="BY8" i="65"/>
  <c r="DD8" i="65"/>
  <c r="DH8" i="65"/>
  <c r="DI8" i="65"/>
  <c r="DJ8" i="65"/>
  <c r="DK8" i="65"/>
  <c r="DL8" i="65"/>
  <c r="DQ8" i="65"/>
  <c r="DU8" i="65"/>
  <c r="DV8" i="65"/>
  <c r="DW8" i="65"/>
  <c r="DX8" i="65"/>
  <c r="DY8" i="65"/>
  <c r="ED8" i="65"/>
  <c r="EH8" i="65"/>
  <c r="EI8" i="65"/>
  <c r="EJ8" i="65"/>
  <c r="EK8" i="65"/>
  <c r="EL8" i="65"/>
  <c r="ER8" i="65"/>
  <c r="GK8" i="65"/>
  <c r="GL8" i="65"/>
  <c r="GM8" i="65"/>
  <c r="GP8" i="65"/>
  <c r="GT8" i="65"/>
  <c r="GU8" i="65"/>
  <c r="GX8" i="65"/>
  <c r="GY8" i="65"/>
  <c r="HB8" i="65"/>
  <c r="HC8" i="65"/>
  <c r="HF8" i="65"/>
  <c r="HG8" i="65"/>
  <c r="HJ8" i="65"/>
  <c r="HK8" i="65"/>
  <c r="HN8" i="65"/>
  <c r="HO8" i="65"/>
  <c r="HR8" i="65"/>
  <c r="HS8" i="65"/>
  <c r="HV8" i="65"/>
  <c r="HW8" i="65"/>
  <c r="HZ8" i="65"/>
  <c r="IA8" i="65"/>
  <c r="ID8" i="65"/>
  <c r="IE8" i="65"/>
  <c r="IH8" i="65"/>
  <c r="AV9" i="65"/>
  <c r="AW9" i="65"/>
  <c r="AX9" i="65"/>
  <c r="AY9" i="65"/>
  <c r="BU9" i="65"/>
  <c r="BY9" i="65"/>
  <c r="DD9" i="65"/>
  <c r="DH9" i="65"/>
  <c r="DI9" i="65"/>
  <c r="DJ9" i="65"/>
  <c r="DK9" i="65"/>
  <c r="DL9" i="65"/>
  <c r="DQ9" i="65"/>
  <c r="DU9" i="65"/>
  <c r="DV9" i="65"/>
  <c r="DW9" i="65"/>
  <c r="DX9" i="65"/>
  <c r="DY9" i="65"/>
  <c r="ED9" i="65"/>
  <c r="EH9" i="65"/>
  <c r="EI9" i="65"/>
  <c r="EJ9" i="65"/>
  <c r="EK9" i="65"/>
  <c r="EL9" i="65"/>
  <c r="ER9" i="65"/>
  <c r="GK9" i="65"/>
  <c r="GL9" i="65"/>
  <c r="GM9" i="65"/>
  <c r="GP9" i="65"/>
  <c r="GT9" i="65"/>
  <c r="GU9" i="65"/>
  <c r="GX9" i="65"/>
  <c r="GY9" i="65"/>
  <c r="HB9" i="65"/>
  <c r="HC9" i="65"/>
  <c r="HF9" i="65"/>
  <c r="HG9" i="65"/>
  <c r="HJ9" i="65"/>
  <c r="HK9" i="65"/>
  <c r="HN9" i="65"/>
  <c r="HO9" i="65"/>
  <c r="HR9" i="65"/>
  <c r="HS9" i="65"/>
  <c r="HV9" i="65"/>
  <c r="HW9" i="65"/>
  <c r="HZ9" i="65"/>
  <c r="IA9" i="65"/>
  <c r="ID9" i="65"/>
  <c r="IE9" i="65"/>
  <c r="IH9" i="65"/>
  <c r="AV10" i="65"/>
  <c r="AW10" i="65"/>
  <c r="AX10" i="65"/>
  <c r="AY10" i="65"/>
  <c r="BY10" i="65"/>
  <c r="DD10" i="65"/>
  <c r="DH10" i="65"/>
  <c r="DI10" i="65"/>
  <c r="DJ10" i="65"/>
  <c r="DK10" i="65"/>
  <c r="DL10" i="65"/>
  <c r="DQ10" i="65"/>
  <c r="DU10" i="65"/>
  <c r="DV10" i="65"/>
  <c r="DW10" i="65"/>
  <c r="DX10" i="65"/>
  <c r="DY10" i="65"/>
  <c r="ED10" i="65"/>
  <c r="EH10" i="65"/>
  <c r="EI10" i="65"/>
  <c r="EJ10" i="65"/>
  <c r="EK10" i="65"/>
  <c r="EL10" i="65"/>
  <c r="GK10" i="65"/>
  <c r="GL10" i="65"/>
  <c r="GM10" i="65"/>
  <c r="GP10" i="65"/>
  <c r="GT10" i="65"/>
  <c r="GU10" i="65"/>
  <c r="GX10" i="65"/>
  <c r="GY10" i="65"/>
  <c r="HB10" i="65"/>
  <c r="HC10" i="65"/>
  <c r="HF10" i="65"/>
  <c r="HG10" i="65"/>
  <c r="HJ10" i="65"/>
  <c r="HK10" i="65"/>
  <c r="HN10" i="65"/>
  <c r="HO10" i="65"/>
  <c r="HR10" i="65"/>
  <c r="HS10" i="65"/>
  <c r="HV10" i="65"/>
  <c r="HW10" i="65"/>
  <c r="HZ10" i="65"/>
  <c r="IA10" i="65"/>
  <c r="ID10" i="65"/>
  <c r="IE10" i="65"/>
  <c r="IH10" i="65"/>
  <c r="AV11" i="65"/>
  <c r="AW11" i="65"/>
  <c r="AX11" i="65"/>
  <c r="AY11" i="65"/>
  <c r="BU11" i="65"/>
  <c r="BY11" i="65"/>
  <c r="DD11" i="65"/>
  <c r="DH11" i="65"/>
  <c r="DI11" i="65"/>
  <c r="DJ11" i="65"/>
  <c r="DK11" i="65"/>
  <c r="DL11" i="65"/>
  <c r="DQ11" i="65"/>
  <c r="DU11" i="65"/>
  <c r="DV11" i="65"/>
  <c r="DW11" i="65"/>
  <c r="DX11" i="65"/>
  <c r="DY11" i="65"/>
  <c r="ED11" i="65"/>
  <c r="EH11" i="65"/>
  <c r="EI11" i="65"/>
  <c r="EJ11" i="65"/>
  <c r="EK11" i="65"/>
  <c r="EL11" i="65"/>
  <c r="ER11" i="65"/>
  <c r="GK11" i="65"/>
  <c r="GL11" i="65"/>
  <c r="GM11" i="65"/>
  <c r="GP11" i="65"/>
  <c r="GT11" i="65"/>
  <c r="GU11" i="65"/>
  <c r="GX11" i="65"/>
  <c r="GY11" i="65"/>
  <c r="HB11" i="65"/>
  <c r="HC11" i="65"/>
  <c r="HF11" i="65"/>
  <c r="HG11" i="65"/>
  <c r="HJ11" i="65"/>
  <c r="HK11" i="65"/>
  <c r="HN11" i="65"/>
  <c r="HO11" i="65"/>
  <c r="HR11" i="65"/>
  <c r="HS11" i="65"/>
  <c r="HV11" i="65"/>
  <c r="HW11" i="65"/>
  <c r="HZ11" i="65"/>
  <c r="IA11" i="65"/>
  <c r="ID11" i="65"/>
  <c r="IE11" i="65"/>
  <c r="IH11" i="65"/>
  <c r="AV12" i="65"/>
  <c r="AW12" i="65"/>
  <c r="AX12" i="65"/>
  <c r="AY12" i="65"/>
  <c r="BU12" i="65"/>
  <c r="BY12" i="65"/>
  <c r="DD12" i="65"/>
  <c r="DH12" i="65"/>
  <c r="DI12" i="65"/>
  <c r="DJ12" i="65"/>
  <c r="DK12" i="65"/>
  <c r="DL12" i="65"/>
  <c r="DQ12" i="65"/>
  <c r="DU12" i="65"/>
  <c r="DV12" i="65"/>
  <c r="DW12" i="65"/>
  <c r="DX12" i="65"/>
  <c r="DY12" i="65"/>
  <c r="ED12" i="65"/>
  <c r="EH12" i="65"/>
  <c r="EI12" i="65"/>
  <c r="EJ12" i="65"/>
  <c r="EK12" i="65"/>
  <c r="EL12" i="65"/>
  <c r="ER12" i="65"/>
  <c r="GK12" i="65"/>
  <c r="GL12" i="65"/>
  <c r="GM12" i="65"/>
  <c r="GP12" i="65"/>
  <c r="GT12" i="65"/>
  <c r="GU12" i="65"/>
  <c r="GX12" i="65"/>
  <c r="GY12" i="65"/>
  <c r="HB12" i="65"/>
  <c r="HC12" i="65"/>
  <c r="HF12" i="65"/>
  <c r="HG12" i="65"/>
  <c r="HJ12" i="65"/>
  <c r="HK12" i="65"/>
  <c r="HN12" i="65"/>
  <c r="HO12" i="65"/>
  <c r="HR12" i="65"/>
  <c r="HS12" i="65"/>
  <c r="HV12" i="65"/>
  <c r="HW12" i="65"/>
  <c r="HZ12" i="65"/>
  <c r="IA12" i="65"/>
  <c r="ID12" i="65"/>
  <c r="IE12" i="65"/>
  <c r="IH12" i="65"/>
  <c r="AV13" i="65"/>
  <c r="AW13" i="65"/>
  <c r="AX13" i="65"/>
  <c r="AY13" i="65"/>
  <c r="BY13" i="65"/>
  <c r="DD13" i="65"/>
  <c r="DH13" i="65"/>
  <c r="DI13" i="65"/>
  <c r="DJ13" i="65"/>
  <c r="DK13" i="65"/>
  <c r="DL13" i="65"/>
  <c r="DQ13" i="65"/>
  <c r="DU13" i="65"/>
  <c r="DV13" i="65"/>
  <c r="DW13" i="65"/>
  <c r="DX13" i="65"/>
  <c r="DY13" i="65"/>
  <c r="ED13" i="65"/>
  <c r="EH13" i="65"/>
  <c r="EI13" i="65"/>
  <c r="EJ13" i="65"/>
  <c r="EK13" i="65"/>
  <c r="EL13" i="65"/>
  <c r="GK13" i="65"/>
  <c r="GL13" i="65"/>
  <c r="GM13" i="65"/>
  <c r="GP13" i="65"/>
  <c r="GT13" i="65"/>
  <c r="GU13" i="65"/>
  <c r="GX13" i="65"/>
  <c r="GY13" i="65"/>
  <c r="HB13" i="65"/>
  <c r="HC13" i="65"/>
  <c r="HF13" i="65"/>
  <c r="HG13" i="65"/>
  <c r="HJ13" i="65"/>
  <c r="HK13" i="65"/>
  <c r="HN13" i="65"/>
  <c r="HO13" i="65"/>
  <c r="HR13" i="65"/>
  <c r="HS13" i="65"/>
  <c r="HV13" i="65"/>
  <c r="HW13" i="65"/>
  <c r="HZ13" i="65"/>
  <c r="IA13" i="65"/>
  <c r="ID13" i="65"/>
  <c r="IE13" i="65"/>
  <c r="IH13" i="65"/>
  <c r="AV14" i="65"/>
  <c r="AW14" i="65"/>
  <c r="AX14" i="65"/>
  <c r="AY14" i="65"/>
  <c r="BY14" i="65"/>
  <c r="DD14" i="65"/>
  <c r="DH14" i="65"/>
  <c r="DI14" i="65"/>
  <c r="DJ14" i="65"/>
  <c r="DK14" i="65"/>
  <c r="DL14" i="65"/>
  <c r="DQ14" i="65"/>
  <c r="DU14" i="65"/>
  <c r="DV14" i="65"/>
  <c r="DW14" i="65"/>
  <c r="DX14" i="65"/>
  <c r="DY14" i="65"/>
  <c r="ED14" i="65"/>
  <c r="EH14" i="65"/>
  <c r="EI14" i="65"/>
  <c r="EJ14" i="65"/>
  <c r="EK14" i="65"/>
  <c r="EL14" i="65"/>
  <c r="GK14" i="65"/>
  <c r="GL14" i="65"/>
  <c r="GM14" i="65"/>
  <c r="GP14" i="65"/>
  <c r="GT14" i="65"/>
  <c r="GU14" i="65"/>
  <c r="GX14" i="65"/>
  <c r="GY14" i="65"/>
  <c r="HB14" i="65"/>
  <c r="HC14" i="65"/>
  <c r="HF14" i="65"/>
  <c r="HG14" i="65"/>
  <c r="HJ14" i="65"/>
  <c r="HK14" i="65"/>
  <c r="HN14" i="65"/>
  <c r="HO14" i="65"/>
  <c r="HR14" i="65"/>
  <c r="HS14" i="65"/>
  <c r="HV14" i="65"/>
  <c r="HW14" i="65"/>
  <c r="HZ14" i="65"/>
  <c r="IA14" i="65"/>
  <c r="ID14" i="65"/>
  <c r="IE14" i="65"/>
  <c r="IH14" i="65"/>
  <c r="AV15" i="65"/>
  <c r="AW15" i="65"/>
  <c r="AX15" i="65"/>
  <c r="AY15" i="65"/>
  <c r="BU15" i="65"/>
  <c r="BY15" i="65"/>
  <c r="DD15" i="65"/>
  <c r="DH15" i="65"/>
  <c r="DI15" i="65"/>
  <c r="DJ15" i="65"/>
  <c r="DK15" i="65"/>
  <c r="DL15" i="65"/>
  <c r="DQ15" i="65"/>
  <c r="DU15" i="65"/>
  <c r="DV15" i="65"/>
  <c r="DW15" i="65"/>
  <c r="DX15" i="65"/>
  <c r="DY15" i="65"/>
  <c r="ED15" i="65"/>
  <c r="EH15" i="65"/>
  <c r="EI15" i="65"/>
  <c r="EJ15" i="65"/>
  <c r="EK15" i="65"/>
  <c r="EL15" i="65"/>
  <c r="ER15" i="65"/>
  <c r="GK15" i="65"/>
  <c r="GL15" i="65"/>
  <c r="GM15" i="65"/>
  <c r="GP15" i="65"/>
  <c r="GT15" i="65"/>
  <c r="GU15" i="65"/>
  <c r="GX15" i="65"/>
  <c r="GY15" i="65"/>
  <c r="HB15" i="65"/>
  <c r="HC15" i="65"/>
  <c r="HF15" i="65"/>
  <c r="HG15" i="65"/>
  <c r="HJ15" i="65"/>
  <c r="HK15" i="65"/>
  <c r="HN15" i="65"/>
  <c r="HO15" i="65"/>
  <c r="HR15" i="65"/>
  <c r="HS15" i="65"/>
  <c r="HV15" i="65"/>
  <c r="HW15" i="65"/>
  <c r="HZ15" i="65"/>
  <c r="IA15" i="65"/>
  <c r="ID15" i="65"/>
  <c r="IE15" i="65"/>
  <c r="IH15" i="65"/>
  <c r="AV16" i="65"/>
  <c r="AW16" i="65"/>
  <c r="AX16" i="65"/>
  <c r="AY16" i="65"/>
  <c r="BU16" i="65"/>
  <c r="BY16" i="65"/>
  <c r="DD16" i="65"/>
  <c r="DH16" i="65"/>
  <c r="DI16" i="65"/>
  <c r="DJ16" i="65"/>
  <c r="DK16" i="65"/>
  <c r="DL16" i="65"/>
  <c r="DQ16" i="65"/>
  <c r="DU16" i="65"/>
  <c r="DV16" i="65"/>
  <c r="DW16" i="65"/>
  <c r="DX16" i="65"/>
  <c r="DY16" i="65"/>
  <c r="ED16" i="65"/>
  <c r="EH16" i="65"/>
  <c r="EI16" i="65"/>
  <c r="EJ16" i="65"/>
  <c r="EK16" i="65"/>
  <c r="EL16" i="65"/>
  <c r="ER16" i="65"/>
  <c r="GK16" i="65"/>
  <c r="GL16" i="65"/>
  <c r="GM16" i="65"/>
  <c r="GP16" i="65"/>
  <c r="GT16" i="65"/>
  <c r="GU16" i="65"/>
  <c r="GX16" i="65"/>
  <c r="GY16" i="65"/>
  <c r="HB16" i="65"/>
  <c r="HC16" i="65"/>
  <c r="HF16" i="65"/>
  <c r="HG16" i="65"/>
  <c r="HJ16" i="65"/>
  <c r="HK16" i="65"/>
  <c r="HN16" i="65"/>
  <c r="HO16" i="65"/>
  <c r="HR16" i="65"/>
  <c r="HS16" i="65"/>
  <c r="HV16" i="65"/>
  <c r="HW16" i="65"/>
  <c r="HZ16" i="65"/>
  <c r="IA16" i="65"/>
  <c r="ID16" i="65"/>
  <c r="IE16" i="65"/>
  <c r="IH16" i="65"/>
  <c r="AV17" i="65"/>
  <c r="AW17" i="65"/>
  <c r="AX17" i="65"/>
  <c r="AY17" i="65"/>
  <c r="BU17" i="65"/>
  <c r="BY17" i="65"/>
  <c r="DD17" i="65"/>
  <c r="DH17" i="65"/>
  <c r="DI17" i="65"/>
  <c r="DJ17" i="65"/>
  <c r="DK17" i="65"/>
  <c r="DL17" i="65"/>
  <c r="DQ17" i="65"/>
  <c r="DU17" i="65"/>
  <c r="DV17" i="65"/>
  <c r="DW17" i="65"/>
  <c r="DX17" i="65"/>
  <c r="DY17" i="65"/>
  <c r="ED17" i="65"/>
  <c r="EH17" i="65"/>
  <c r="EI17" i="65"/>
  <c r="EJ17" i="65"/>
  <c r="EK17" i="65"/>
  <c r="EL17" i="65"/>
  <c r="ER17" i="65"/>
  <c r="GK17" i="65"/>
  <c r="GL17" i="65"/>
  <c r="GM17" i="65"/>
  <c r="GP17" i="65"/>
  <c r="GT17" i="65"/>
  <c r="GU17" i="65"/>
  <c r="GX17" i="65"/>
  <c r="GY17" i="65"/>
  <c r="HB17" i="65"/>
  <c r="HC17" i="65"/>
  <c r="HF17" i="65"/>
  <c r="HG17" i="65"/>
  <c r="HJ17" i="65"/>
  <c r="HK17" i="65"/>
  <c r="HN17" i="65"/>
  <c r="HO17" i="65"/>
  <c r="HR17" i="65"/>
  <c r="HS17" i="65"/>
  <c r="HV17" i="65"/>
  <c r="HW17" i="65"/>
  <c r="HZ17" i="65"/>
  <c r="IA17" i="65"/>
  <c r="ID17" i="65"/>
  <c r="IE17" i="65"/>
  <c r="IH17" i="65"/>
  <c r="IH19" i="65"/>
  <c r="DO116" i="3"/>
  <c r="DO117" i="3"/>
  <c r="DP116" i="3"/>
  <c r="DP117" i="3"/>
  <c r="DQ116" i="3"/>
  <c r="DQ117" i="3"/>
  <c r="DR116" i="3"/>
  <c r="DR117" i="3"/>
  <c r="DS116" i="3"/>
  <c r="DS117" i="3"/>
  <c r="DT116" i="3"/>
  <c r="DT117" i="3"/>
  <c r="DU116" i="3"/>
  <c r="DU117" i="3"/>
  <c r="DV116" i="3"/>
  <c r="DV117" i="3"/>
  <c r="DW116" i="3"/>
  <c r="DW117" i="3"/>
  <c r="DX116" i="3"/>
  <c r="DX117" i="3"/>
  <c r="DN116" i="3"/>
  <c r="DN117" i="3"/>
  <c r="DO115" i="3"/>
  <c r="DP115" i="3"/>
  <c r="DQ115" i="3"/>
  <c r="DR115" i="3"/>
  <c r="DS115" i="3"/>
  <c r="DT115" i="3"/>
  <c r="DU115" i="3"/>
  <c r="DV115" i="3"/>
  <c r="DW115" i="3"/>
  <c r="DX115" i="3"/>
  <c r="DN115" i="3"/>
  <c r="DO97" i="3"/>
  <c r="DO98" i="3"/>
  <c r="DO99" i="3"/>
  <c r="DO100" i="3"/>
  <c r="DO101" i="3"/>
  <c r="DO102" i="3"/>
  <c r="DO103" i="3"/>
  <c r="DO104" i="3"/>
  <c r="DO105" i="3"/>
  <c r="DO106" i="3"/>
  <c r="DO107" i="3"/>
  <c r="DO108" i="3"/>
  <c r="DO109" i="3"/>
  <c r="DO110" i="3"/>
  <c r="DO111" i="3"/>
  <c r="DO113" i="3"/>
  <c r="DO114" i="3"/>
  <c r="DP97" i="3"/>
  <c r="DP98" i="3"/>
  <c r="DP99" i="3"/>
  <c r="DP100" i="3"/>
  <c r="DP101" i="3"/>
  <c r="DP102" i="3"/>
  <c r="DP103" i="3"/>
  <c r="DP104" i="3"/>
  <c r="DP105" i="3"/>
  <c r="DP106" i="3"/>
  <c r="DP107" i="3"/>
  <c r="DP108" i="3"/>
  <c r="DP109" i="3"/>
  <c r="DP110" i="3"/>
  <c r="DP111" i="3"/>
  <c r="DP113" i="3"/>
  <c r="DP114" i="3"/>
  <c r="DQ97" i="3"/>
  <c r="DQ98" i="3"/>
  <c r="DQ99" i="3"/>
  <c r="DQ100" i="3"/>
  <c r="DQ101" i="3"/>
  <c r="DQ102" i="3"/>
  <c r="DQ103" i="3"/>
  <c r="DQ104" i="3"/>
  <c r="DQ105" i="3"/>
  <c r="DQ106" i="3"/>
  <c r="DQ107" i="3"/>
  <c r="DQ108" i="3"/>
  <c r="DQ109" i="3"/>
  <c r="DQ110" i="3"/>
  <c r="DQ111" i="3"/>
  <c r="DQ113" i="3"/>
  <c r="DQ114" i="3"/>
  <c r="DR97" i="3"/>
  <c r="DR98" i="3"/>
  <c r="DR99" i="3"/>
  <c r="DR100" i="3"/>
  <c r="DR101" i="3"/>
  <c r="DR102" i="3"/>
  <c r="DR103" i="3"/>
  <c r="DR104" i="3"/>
  <c r="DR105" i="3"/>
  <c r="DR106" i="3"/>
  <c r="DR107" i="3"/>
  <c r="DR108" i="3"/>
  <c r="DR109" i="3"/>
  <c r="DR110" i="3"/>
  <c r="DR111" i="3"/>
  <c r="DR113" i="3"/>
  <c r="DR114" i="3"/>
  <c r="DS97" i="3"/>
  <c r="DS98" i="3"/>
  <c r="DS99" i="3"/>
  <c r="DS100" i="3"/>
  <c r="DS101" i="3"/>
  <c r="DS102" i="3"/>
  <c r="DS103" i="3"/>
  <c r="DS104" i="3"/>
  <c r="DS105" i="3"/>
  <c r="DS106" i="3"/>
  <c r="DS107" i="3"/>
  <c r="DS108" i="3"/>
  <c r="DS109" i="3"/>
  <c r="DS110" i="3"/>
  <c r="DS111" i="3"/>
  <c r="DS113" i="3"/>
  <c r="DS114" i="3"/>
  <c r="DT97" i="3"/>
  <c r="DT98" i="3"/>
  <c r="DT99" i="3"/>
  <c r="DT100" i="3"/>
  <c r="DT101" i="3"/>
  <c r="DT102" i="3"/>
  <c r="DT103" i="3"/>
  <c r="DT104" i="3"/>
  <c r="DT105" i="3"/>
  <c r="DT106" i="3"/>
  <c r="DT107" i="3"/>
  <c r="DT108" i="3"/>
  <c r="DT109" i="3"/>
  <c r="DT110" i="3"/>
  <c r="DT111" i="3"/>
  <c r="DT113" i="3"/>
  <c r="DT114" i="3"/>
  <c r="DU97" i="3"/>
  <c r="DU98" i="3"/>
  <c r="DU99" i="3"/>
  <c r="DU100" i="3"/>
  <c r="DU101" i="3"/>
  <c r="DU102" i="3"/>
  <c r="DU103" i="3"/>
  <c r="DU104" i="3"/>
  <c r="DU105" i="3"/>
  <c r="DU106" i="3"/>
  <c r="DU107" i="3"/>
  <c r="DU108" i="3"/>
  <c r="DU109" i="3"/>
  <c r="DU110" i="3"/>
  <c r="DU111" i="3"/>
  <c r="DU113" i="3"/>
  <c r="DU114" i="3"/>
  <c r="DV97" i="3"/>
  <c r="DV98" i="3"/>
  <c r="DV99" i="3"/>
  <c r="DV100" i="3"/>
  <c r="DV101" i="3"/>
  <c r="DV102" i="3"/>
  <c r="DV103" i="3"/>
  <c r="DV104" i="3"/>
  <c r="DV105" i="3"/>
  <c r="DV106" i="3"/>
  <c r="DV107" i="3"/>
  <c r="DV108" i="3"/>
  <c r="DV109" i="3"/>
  <c r="DV110" i="3"/>
  <c r="DV111" i="3"/>
  <c r="DV113" i="3"/>
  <c r="DV114" i="3"/>
  <c r="DW97" i="3"/>
  <c r="DW98" i="3"/>
  <c r="DW99" i="3"/>
  <c r="DW100" i="3"/>
  <c r="DW101" i="3"/>
  <c r="DW102" i="3"/>
  <c r="DW103" i="3"/>
  <c r="DW104" i="3"/>
  <c r="DW105" i="3"/>
  <c r="DW106" i="3"/>
  <c r="DW107" i="3"/>
  <c r="DW108" i="3"/>
  <c r="DW109" i="3"/>
  <c r="DW110" i="3"/>
  <c r="DW111" i="3"/>
  <c r="DW113" i="3"/>
  <c r="DW114" i="3"/>
  <c r="DX97" i="3"/>
  <c r="DX98" i="3"/>
  <c r="DX99" i="3"/>
  <c r="DX100" i="3"/>
  <c r="DX101" i="3"/>
  <c r="DX102" i="3"/>
  <c r="DX103" i="3"/>
  <c r="DX104" i="3"/>
  <c r="DX105" i="3"/>
  <c r="DX106" i="3"/>
  <c r="DX107" i="3"/>
  <c r="DX108" i="3"/>
  <c r="DX109" i="3"/>
  <c r="DX110" i="3"/>
  <c r="DX111" i="3"/>
  <c r="DX113" i="3"/>
  <c r="DX114" i="3"/>
  <c r="DN97" i="3"/>
  <c r="DN98" i="3"/>
  <c r="DN99" i="3"/>
  <c r="DN100" i="3"/>
  <c r="DN101" i="3"/>
  <c r="DN102" i="3"/>
  <c r="DN103" i="3"/>
  <c r="DN104" i="3"/>
  <c r="DN105" i="3"/>
  <c r="DN106" i="3"/>
  <c r="DN107" i="3"/>
  <c r="DN113" i="3"/>
  <c r="DN114" i="3"/>
  <c r="DO112" i="3"/>
  <c r="DP112" i="3"/>
  <c r="DQ112" i="3"/>
  <c r="DR112" i="3"/>
  <c r="DS112" i="3"/>
  <c r="DT112" i="3"/>
  <c r="DU112" i="3"/>
  <c r="DV112" i="3"/>
  <c r="DW112" i="3"/>
  <c r="DX112" i="3"/>
  <c r="DN112" i="3"/>
  <c r="DO73" i="3"/>
  <c r="DO74" i="3"/>
  <c r="DP73" i="3"/>
  <c r="DP74" i="3"/>
  <c r="DQ73" i="3"/>
  <c r="DQ74" i="3"/>
  <c r="DR73" i="3"/>
  <c r="DR74" i="3"/>
  <c r="DS73" i="3"/>
  <c r="DS74" i="3"/>
  <c r="DT73" i="3"/>
  <c r="DT74" i="3"/>
  <c r="DU73" i="3"/>
  <c r="DU74" i="3"/>
  <c r="DV73" i="3"/>
  <c r="DV74" i="3"/>
  <c r="DW73" i="3"/>
  <c r="DW74" i="3"/>
  <c r="DX73" i="3"/>
  <c r="DX74" i="3"/>
  <c r="DN73" i="3"/>
  <c r="DN74" i="3"/>
  <c r="DO72" i="3"/>
  <c r="DP72" i="3"/>
  <c r="DQ72" i="3"/>
  <c r="DR72" i="3"/>
  <c r="DS72" i="3"/>
  <c r="DT72" i="3"/>
  <c r="DU72" i="3"/>
  <c r="DV72" i="3"/>
  <c r="DW72" i="3"/>
  <c r="DX72" i="3"/>
  <c r="DN72" i="3"/>
  <c r="DO93" i="3"/>
  <c r="DO94" i="3"/>
  <c r="DP93" i="3"/>
  <c r="DP94" i="3"/>
  <c r="DQ93" i="3"/>
  <c r="DQ94" i="3"/>
  <c r="DR93" i="3"/>
  <c r="DR94" i="3"/>
  <c r="DS93" i="3"/>
  <c r="DS94" i="3"/>
  <c r="DT93" i="3"/>
  <c r="DT94" i="3"/>
  <c r="DU93" i="3"/>
  <c r="DU94" i="3"/>
  <c r="DV93" i="3"/>
  <c r="DV94" i="3"/>
  <c r="DW93" i="3"/>
  <c r="DW94" i="3"/>
  <c r="DX93" i="3"/>
  <c r="DX94" i="3"/>
  <c r="DN93" i="3"/>
  <c r="DN94" i="3"/>
  <c r="DO92" i="3"/>
  <c r="DP92" i="3"/>
  <c r="DQ92" i="3"/>
  <c r="DR92" i="3"/>
  <c r="DS92" i="3"/>
  <c r="DT92" i="3"/>
  <c r="DU92" i="3"/>
  <c r="DV92" i="3"/>
  <c r="DW92" i="3"/>
  <c r="DX92" i="3"/>
  <c r="DN92" i="3"/>
  <c r="AX18" i="70"/>
  <c r="AX19" i="70"/>
  <c r="IQ18" i="65"/>
  <c r="BN18" i="70"/>
  <c r="BO18" i="70"/>
  <c r="BP18" i="70"/>
  <c r="BN19" i="70"/>
  <c r="BO19" i="70"/>
  <c r="BP19" i="70"/>
  <c r="C21" i="70"/>
  <c r="BL19" i="70"/>
  <c r="BK19" i="70"/>
  <c r="BJ19" i="70"/>
  <c r="BL18" i="70"/>
  <c r="BK18" i="70"/>
  <c r="BJ18" i="70"/>
  <c r="BM17" i="70"/>
  <c r="BM16" i="70"/>
  <c r="BM15" i="70"/>
  <c r="BM14" i="70"/>
  <c r="BM13" i="70"/>
  <c r="BM12" i="70"/>
  <c r="BM11" i="70"/>
  <c r="BM10" i="70"/>
  <c r="BM9" i="70"/>
  <c r="BM8" i="70"/>
  <c r="BM7" i="70"/>
  <c r="BM6" i="70"/>
  <c r="BM5" i="70"/>
  <c r="BM4" i="70"/>
  <c r="BM3" i="70"/>
  <c r="BH5" i="70"/>
  <c r="BH6" i="70"/>
  <c r="BH7" i="70"/>
  <c r="BH8" i="70"/>
  <c r="BH9" i="70"/>
  <c r="BH10" i="70"/>
  <c r="BH11" i="70"/>
  <c r="BH12" i="70"/>
  <c r="BH13" i="70"/>
  <c r="BH14" i="70"/>
  <c r="BH15" i="70"/>
  <c r="BH16" i="70"/>
  <c r="BH17" i="70"/>
  <c r="C19" i="70"/>
  <c r="D19" i="70"/>
  <c r="E19" i="70"/>
  <c r="F19" i="70"/>
  <c r="G19" i="70"/>
  <c r="H19" i="70"/>
  <c r="I19" i="70"/>
  <c r="J19" i="70"/>
  <c r="K19" i="70"/>
  <c r="L19" i="70"/>
  <c r="N19" i="70"/>
  <c r="O19" i="70"/>
  <c r="P19" i="70"/>
  <c r="Q19" i="70"/>
  <c r="R19" i="70"/>
  <c r="S19" i="70"/>
  <c r="T19" i="70"/>
  <c r="U19" i="70"/>
  <c r="V19" i="70"/>
  <c r="W19" i="70"/>
  <c r="X19" i="70"/>
  <c r="Y19" i="70"/>
  <c r="Z19" i="70"/>
  <c r="AA19" i="70"/>
  <c r="AB19" i="70"/>
  <c r="AC19" i="70"/>
  <c r="AD19" i="70"/>
  <c r="AE19" i="70"/>
  <c r="AG19" i="70"/>
  <c r="AH19" i="70"/>
  <c r="AI19" i="70"/>
  <c r="AJ19" i="70"/>
  <c r="AK19" i="70"/>
  <c r="AL19" i="70"/>
  <c r="AM19" i="70"/>
  <c r="AN19" i="70"/>
  <c r="AO19" i="70"/>
  <c r="AP19" i="70"/>
  <c r="AQ19" i="70"/>
  <c r="AR19" i="70"/>
  <c r="AS19" i="70"/>
  <c r="AU19" i="70"/>
  <c r="AV19" i="70"/>
  <c r="AW19" i="70"/>
  <c r="B19" i="70"/>
  <c r="C18" i="70"/>
  <c r="D18" i="70"/>
  <c r="E18" i="70"/>
  <c r="F18" i="70"/>
  <c r="G18" i="70"/>
  <c r="H18" i="70"/>
  <c r="I18" i="70"/>
  <c r="J18" i="70"/>
  <c r="K18" i="70"/>
  <c r="L18" i="70"/>
  <c r="N18" i="70"/>
  <c r="O18" i="70"/>
  <c r="P18" i="70"/>
  <c r="Q18" i="70"/>
  <c r="R18" i="70"/>
  <c r="S18" i="70"/>
  <c r="T18" i="70"/>
  <c r="U18" i="70"/>
  <c r="V18" i="70"/>
  <c r="W18" i="70"/>
  <c r="X18" i="70"/>
  <c r="Y18" i="70"/>
  <c r="Z18" i="70"/>
  <c r="AA18" i="70"/>
  <c r="AB18" i="70"/>
  <c r="AC18" i="70"/>
  <c r="AD18" i="70"/>
  <c r="AE18" i="70"/>
  <c r="AG18" i="70"/>
  <c r="AH18" i="70"/>
  <c r="AI18" i="70"/>
  <c r="AJ18" i="70"/>
  <c r="AK18" i="70"/>
  <c r="AL18" i="70"/>
  <c r="AM18" i="70"/>
  <c r="AN18" i="70"/>
  <c r="AO18" i="70"/>
  <c r="AP18" i="70"/>
  <c r="AQ18" i="70"/>
  <c r="AR18" i="70"/>
  <c r="AS18" i="70"/>
  <c r="AU18" i="70"/>
  <c r="AV18" i="70"/>
  <c r="AW18" i="70"/>
  <c r="B18" i="70"/>
  <c r="II35" i="71"/>
  <c r="IH35" i="71"/>
  <c r="IG35" i="71"/>
  <c r="IE35" i="71"/>
  <c r="ID35" i="71"/>
  <c r="IC35" i="71"/>
  <c r="IB35" i="71"/>
  <c r="HZ35" i="71"/>
  <c r="IH33" i="71"/>
  <c r="II44" i="71"/>
  <c r="IH44" i="71"/>
  <c r="IG44" i="71"/>
  <c r="IF44" i="71"/>
  <c r="IE44" i="71"/>
  <c r="ID44" i="71"/>
  <c r="IC44" i="71"/>
  <c r="IB44" i="71"/>
  <c r="IA44" i="71"/>
  <c r="HZ44" i="71"/>
  <c r="HY44" i="71"/>
  <c r="HX44" i="71"/>
  <c r="HW44" i="71"/>
  <c r="II43" i="71"/>
  <c r="IH43" i="71"/>
  <c r="IG43" i="71"/>
  <c r="IF43" i="71"/>
  <c r="IE43" i="71"/>
  <c r="ID43" i="71"/>
  <c r="IC43" i="71"/>
  <c r="IB43" i="71"/>
  <c r="IA43" i="71"/>
  <c r="HZ43" i="71"/>
  <c r="HY43" i="71"/>
  <c r="HX43" i="71"/>
  <c r="JB28" i="71"/>
  <c r="IX28" i="71"/>
  <c r="IT28" i="71"/>
  <c r="IP28" i="71"/>
  <c r="IL28" i="71"/>
  <c r="IH28" i="71"/>
  <c r="ID28" i="71"/>
  <c r="HZ28" i="71"/>
  <c r="HV28" i="71"/>
  <c r="HR28" i="71"/>
  <c r="HN28" i="71"/>
  <c r="HJ28" i="71"/>
  <c r="HF28" i="71"/>
  <c r="HB28" i="71"/>
  <c r="GW28" i="71"/>
  <c r="JA26" i="71"/>
  <c r="IW26" i="71"/>
  <c r="IS26" i="71"/>
  <c r="IO26" i="71"/>
  <c r="IK26" i="71"/>
  <c r="IG26" i="71"/>
  <c r="IC26" i="71"/>
  <c r="HZ26" i="71"/>
  <c r="HY26" i="71"/>
  <c r="HU26" i="71"/>
  <c r="HQ26" i="71"/>
  <c r="HQ27" i="71"/>
  <c r="HM26" i="71"/>
  <c r="HI26" i="71"/>
  <c r="HE26" i="71"/>
  <c r="HE27" i="71"/>
  <c r="HA26" i="71"/>
  <c r="HA27" i="71"/>
  <c r="GV26" i="71"/>
  <c r="GV27" i="71"/>
  <c r="CT24" i="71"/>
  <c r="CT25" i="71"/>
  <c r="CS24" i="71"/>
  <c r="CS25" i="71"/>
  <c r="CP24" i="71"/>
  <c r="CP25" i="71"/>
  <c r="CO24" i="71"/>
  <c r="CO25" i="71"/>
  <c r="CN24" i="71"/>
  <c r="CN25" i="71"/>
  <c r="CL24" i="71"/>
  <c r="CL25" i="71"/>
  <c r="MK24" i="71"/>
  <c r="MJ24" i="71"/>
  <c r="MH24" i="71"/>
  <c r="MG24" i="71"/>
  <c r="MD24" i="71"/>
  <c r="MC24" i="71"/>
  <c r="MA24" i="71"/>
  <c r="LZ24" i="71"/>
  <c r="LW24" i="71"/>
  <c r="LV24" i="71"/>
  <c r="LT24" i="71"/>
  <c r="LS24" i="71"/>
  <c r="LP24" i="71"/>
  <c r="LO24" i="71"/>
  <c r="LM24" i="71"/>
  <c r="LL24" i="71"/>
  <c r="KJ24" i="71"/>
  <c r="KI24" i="71"/>
  <c r="KG24" i="71"/>
  <c r="KF24" i="71"/>
  <c r="IZ24" i="71"/>
  <c r="IY24" i="71"/>
  <c r="IV24" i="71"/>
  <c r="IU24" i="71"/>
  <c r="IR24" i="71"/>
  <c r="IQ24" i="71"/>
  <c r="IN24" i="71"/>
  <c r="IM24" i="71"/>
  <c r="IJ24" i="71"/>
  <c r="II24" i="71"/>
  <c r="IF24" i="71"/>
  <c r="IE24" i="71"/>
  <c r="IB24" i="71"/>
  <c r="IA24" i="71"/>
  <c r="HX24" i="71"/>
  <c r="HW24" i="71"/>
  <c r="HT24" i="71"/>
  <c r="HS24" i="71"/>
  <c r="HP24" i="71"/>
  <c r="HO24" i="71"/>
  <c r="HL24" i="71"/>
  <c r="HK24" i="71"/>
  <c r="HH24" i="71"/>
  <c r="HG24" i="71"/>
  <c r="HD24" i="71"/>
  <c r="HC24" i="71"/>
  <c r="GZ24" i="71"/>
  <c r="GY24" i="71"/>
  <c r="GU24" i="71"/>
  <c r="GT24" i="71"/>
  <c r="CR24" i="71"/>
  <c r="CR25" i="71"/>
  <c r="CQ24" i="71"/>
  <c r="CQ25" i="71"/>
  <c r="CM24" i="71"/>
  <c r="CM25" i="71"/>
  <c r="MK23" i="71"/>
  <c r="MJ23" i="71"/>
  <c r="MH23" i="71"/>
  <c r="MG23" i="71"/>
  <c r="MD23" i="71"/>
  <c r="MC23" i="71"/>
  <c r="MA23" i="71"/>
  <c r="LZ23" i="71"/>
  <c r="LW23" i="71"/>
  <c r="LV23" i="71"/>
  <c r="LT23" i="71"/>
  <c r="LS23" i="71"/>
  <c r="LP23" i="71"/>
  <c r="LO23" i="71"/>
  <c r="LM23" i="71"/>
  <c r="LL23" i="71"/>
  <c r="KJ23" i="71"/>
  <c r="KI23" i="71"/>
  <c r="KG23" i="71"/>
  <c r="KF23" i="71"/>
  <c r="IZ23" i="71"/>
  <c r="IY23" i="71"/>
  <c r="IV23" i="71"/>
  <c r="IU23" i="71"/>
  <c r="IR23" i="71"/>
  <c r="IQ23" i="71"/>
  <c r="IN23" i="71"/>
  <c r="IM23" i="71"/>
  <c r="IJ23" i="71"/>
  <c r="II23" i="71"/>
  <c r="IF23" i="71"/>
  <c r="IE23" i="71"/>
  <c r="IB23" i="71"/>
  <c r="IA23" i="71"/>
  <c r="HX23" i="71"/>
  <c r="HW23" i="71"/>
  <c r="HT23" i="71"/>
  <c r="HS23" i="71"/>
  <c r="HP23" i="71"/>
  <c r="HO23" i="71"/>
  <c r="HL23" i="71"/>
  <c r="HK23" i="71"/>
  <c r="HH23" i="71"/>
  <c r="HG23" i="71"/>
  <c r="HD23" i="71"/>
  <c r="HC23" i="71"/>
  <c r="GZ23" i="71"/>
  <c r="GY23" i="71"/>
  <c r="GW3" i="71"/>
  <c r="GW4" i="71"/>
  <c r="GW5" i="71"/>
  <c r="GW6" i="71"/>
  <c r="GW8" i="71"/>
  <c r="GW11" i="71"/>
  <c r="GW12" i="71"/>
  <c r="GW13" i="71"/>
  <c r="GW14" i="71"/>
  <c r="GW15" i="71"/>
  <c r="GW17" i="71"/>
  <c r="GW19" i="71"/>
  <c r="GW20" i="71"/>
  <c r="GW21" i="71"/>
  <c r="GW22" i="71"/>
  <c r="GW23" i="71"/>
  <c r="GU23" i="71"/>
  <c r="GT23" i="71"/>
  <c r="GR23" i="71"/>
  <c r="GP23" i="71"/>
  <c r="GO23" i="71"/>
  <c r="GN23" i="71"/>
  <c r="GM23" i="71"/>
  <c r="GL23" i="71"/>
  <c r="GK23" i="71"/>
  <c r="GJ23" i="71"/>
  <c r="GI23" i="71"/>
  <c r="GH23" i="71"/>
  <c r="GG23" i="71"/>
  <c r="GF23" i="71"/>
  <c r="GE23" i="71"/>
  <c r="GD23" i="71"/>
  <c r="GC23" i="71"/>
  <c r="GB23" i="71"/>
  <c r="GA23" i="71"/>
  <c r="FZ23" i="71"/>
  <c r="FY23" i="71"/>
  <c r="FX23" i="71"/>
  <c r="FW23" i="71"/>
  <c r="FV23" i="71"/>
  <c r="FU23" i="71"/>
  <c r="FT23" i="71"/>
  <c r="FS23" i="71"/>
  <c r="FR23" i="71"/>
  <c r="FQ23" i="71"/>
  <c r="FP23" i="71"/>
  <c r="FO23" i="71"/>
  <c r="FN23" i="71"/>
  <c r="FM23" i="71"/>
  <c r="FL23" i="71"/>
  <c r="FK23" i="71"/>
  <c r="FJ23" i="71"/>
  <c r="FI23" i="71"/>
  <c r="FH23" i="71"/>
  <c r="FG23" i="71"/>
  <c r="FF23" i="71"/>
  <c r="FE23" i="71"/>
  <c r="FD23" i="71"/>
  <c r="EQ23" i="71"/>
  <c r="EO23" i="71"/>
  <c r="EG23" i="71"/>
  <c r="EF23" i="71"/>
  <c r="EE23" i="71"/>
  <c r="EC23" i="71"/>
  <c r="EB23" i="71"/>
  <c r="EA23" i="71"/>
  <c r="DT23" i="71"/>
  <c r="DS23" i="71"/>
  <c r="DR23" i="71"/>
  <c r="DP23" i="71"/>
  <c r="DO23" i="71"/>
  <c r="DN23" i="71"/>
  <c r="DG23" i="71"/>
  <c r="DF23" i="71"/>
  <c r="DE23" i="71"/>
  <c r="DC23" i="71"/>
  <c r="DB23" i="71"/>
  <c r="DA23" i="71"/>
  <c r="CT23" i="71"/>
  <c r="CS23" i="71"/>
  <c r="CR23" i="71"/>
  <c r="CQ23" i="71"/>
  <c r="CP23" i="71"/>
  <c r="CO23" i="71"/>
  <c r="CN23" i="71"/>
  <c r="CM23" i="71"/>
  <c r="CL23" i="71"/>
  <c r="Y23" i="71"/>
  <c r="X23" i="71"/>
  <c r="W23" i="71"/>
  <c r="V23" i="71"/>
  <c r="U23" i="71"/>
  <c r="ML22" i="71"/>
  <c r="MI22" i="71"/>
  <c r="MM22" i="71"/>
  <c r="MB22" i="71"/>
  <c r="ME22" i="71"/>
  <c r="MF22" i="71"/>
  <c r="LX22" i="71"/>
  <c r="LU22" i="71"/>
  <c r="LY22" i="71"/>
  <c r="LQ22" i="71"/>
  <c r="LN22" i="71"/>
  <c r="KK22" i="71"/>
  <c r="KH22" i="71"/>
  <c r="KM22" i="71"/>
  <c r="KN22" i="71"/>
  <c r="KO22" i="71"/>
  <c r="KL22" i="71"/>
  <c r="JO22" i="71"/>
  <c r="JE22" i="71"/>
  <c r="JB22" i="71"/>
  <c r="JA22" i="71"/>
  <c r="IX22" i="71"/>
  <c r="IW22" i="71"/>
  <c r="IT22" i="71"/>
  <c r="IS22" i="71"/>
  <c r="IP22" i="71"/>
  <c r="IO22" i="71"/>
  <c r="IL22" i="71"/>
  <c r="IK22" i="71"/>
  <c r="IH22" i="71"/>
  <c r="IG22" i="71"/>
  <c r="ID22" i="71"/>
  <c r="IC22" i="71"/>
  <c r="HZ22" i="71"/>
  <c r="HY22" i="71"/>
  <c r="HV22" i="71"/>
  <c r="HU22" i="71"/>
  <c r="HR22" i="71"/>
  <c r="HQ22" i="71"/>
  <c r="HN22" i="71"/>
  <c r="JC22" i="71"/>
  <c r="HM22" i="71"/>
  <c r="HJ22" i="71"/>
  <c r="HI22" i="71"/>
  <c r="HF22" i="71"/>
  <c r="HE22" i="71"/>
  <c r="HB22" i="71"/>
  <c r="HA22" i="71"/>
  <c r="GX22" i="71"/>
  <c r="GV22" i="71"/>
  <c r="ER22" i="71"/>
  <c r="EK22" i="71"/>
  <c r="EJ22" i="71"/>
  <c r="EI22" i="71"/>
  <c r="EH22" i="71"/>
  <c r="ED22" i="71"/>
  <c r="EL22" i="71"/>
  <c r="DX22" i="71"/>
  <c r="DW22" i="71"/>
  <c r="DV22" i="71"/>
  <c r="DU22" i="71"/>
  <c r="DQ22" i="71"/>
  <c r="DY22" i="71"/>
  <c r="DK22" i="71"/>
  <c r="DJ22" i="71"/>
  <c r="DI22" i="71"/>
  <c r="DH22" i="71"/>
  <c r="DD22" i="71"/>
  <c r="BY22" i="71"/>
  <c r="BU22" i="71"/>
  <c r="AY22" i="71"/>
  <c r="AX22" i="71"/>
  <c r="AW22" i="71"/>
  <c r="AV22" i="71"/>
  <c r="ML21" i="71"/>
  <c r="MI21" i="71"/>
  <c r="MM21" i="71"/>
  <c r="ME21" i="71"/>
  <c r="MB21" i="71"/>
  <c r="MF21" i="71"/>
  <c r="LU21" i="71"/>
  <c r="LX21" i="71"/>
  <c r="LY21" i="71"/>
  <c r="LN21" i="71"/>
  <c r="LQ21" i="71"/>
  <c r="LR21" i="71"/>
  <c r="KK21" i="71"/>
  <c r="KH21" i="71"/>
  <c r="KM21" i="71"/>
  <c r="KN21" i="71"/>
  <c r="KO21" i="71"/>
  <c r="JO21" i="71"/>
  <c r="JE21" i="71"/>
  <c r="JB21" i="71"/>
  <c r="JA21" i="71"/>
  <c r="IX21" i="71"/>
  <c r="IW21" i="71"/>
  <c r="IT21" i="71"/>
  <c r="IS21" i="71"/>
  <c r="IP21" i="71"/>
  <c r="IO21" i="71"/>
  <c r="IL21" i="71"/>
  <c r="IK21" i="71"/>
  <c r="IH21" i="71"/>
  <c r="IG21" i="71"/>
  <c r="ID21" i="71"/>
  <c r="IC21" i="71"/>
  <c r="HZ21" i="71"/>
  <c r="HY21" i="71"/>
  <c r="HV21" i="71"/>
  <c r="HU21" i="71"/>
  <c r="HR21" i="71"/>
  <c r="HQ21" i="71"/>
  <c r="HN21" i="71"/>
  <c r="JC21" i="71"/>
  <c r="HM21" i="71"/>
  <c r="HM3" i="71"/>
  <c r="HM4" i="71"/>
  <c r="HM5" i="71"/>
  <c r="HM6" i="71"/>
  <c r="HM8" i="71"/>
  <c r="HM11" i="71"/>
  <c r="HM12" i="71"/>
  <c r="HM13" i="71"/>
  <c r="HM14" i="71"/>
  <c r="HM15" i="71"/>
  <c r="HM17" i="71"/>
  <c r="HM19" i="71"/>
  <c r="HM20" i="71"/>
  <c r="HM23" i="71"/>
  <c r="HJ21" i="71"/>
  <c r="HI21" i="71"/>
  <c r="HF21" i="71"/>
  <c r="HE21" i="71"/>
  <c r="HB21" i="71"/>
  <c r="HA21" i="71"/>
  <c r="GX21" i="71"/>
  <c r="GV21" i="71"/>
  <c r="ER21" i="71"/>
  <c r="EK21" i="71"/>
  <c r="EJ21" i="71"/>
  <c r="EI21" i="71"/>
  <c r="EH21" i="71"/>
  <c r="ED21" i="71"/>
  <c r="EL21" i="71"/>
  <c r="DX21" i="71"/>
  <c r="DW21" i="71"/>
  <c r="DV21" i="71"/>
  <c r="DU21" i="71"/>
  <c r="DQ21" i="71"/>
  <c r="DY21" i="71"/>
  <c r="DK21" i="71"/>
  <c r="DJ21" i="71"/>
  <c r="DI21" i="71"/>
  <c r="DH21" i="71"/>
  <c r="DD21" i="71"/>
  <c r="DL21" i="71"/>
  <c r="BY21" i="71"/>
  <c r="BU21" i="71"/>
  <c r="AY21" i="71"/>
  <c r="AX21" i="71"/>
  <c r="AW21" i="71"/>
  <c r="AV21" i="71"/>
  <c r="MI20" i="71"/>
  <c r="ML20" i="71"/>
  <c r="MM20" i="71"/>
  <c r="ME20" i="71"/>
  <c r="MB20" i="71"/>
  <c r="MF20" i="71"/>
  <c r="LX20" i="71"/>
  <c r="LU20" i="71"/>
  <c r="LY20" i="71"/>
  <c r="LN20" i="71"/>
  <c r="LQ20" i="71"/>
  <c r="LR20" i="71"/>
  <c r="KK20" i="71"/>
  <c r="KH20" i="71"/>
  <c r="JO20" i="71"/>
  <c r="JE20" i="71"/>
  <c r="HN20" i="71"/>
  <c r="JC20" i="71"/>
  <c r="JB20" i="71"/>
  <c r="JA20" i="71"/>
  <c r="IX20" i="71"/>
  <c r="IW20" i="71"/>
  <c r="IT20" i="71"/>
  <c r="IS20" i="71"/>
  <c r="IP20" i="71"/>
  <c r="IO20" i="71"/>
  <c r="IL20" i="71"/>
  <c r="IK20" i="71"/>
  <c r="IH20" i="71"/>
  <c r="IG20" i="71"/>
  <c r="ID20" i="71"/>
  <c r="IC20" i="71"/>
  <c r="HZ20" i="71"/>
  <c r="HY20" i="71"/>
  <c r="HV20" i="71"/>
  <c r="HU20" i="71"/>
  <c r="HR20" i="71"/>
  <c r="HQ20" i="71"/>
  <c r="HJ20" i="71"/>
  <c r="HI20" i="71"/>
  <c r="HF20" i="71"/>
  <c r="HE20" i="71"/>
  <c r="HB20" i="71"/>
  <c r="HA20" i="71"/>
  <c r="GX20" i="71"/>
  <c r="GV20" i="71"/>
  <c r="ER20" i="71"/>
  <c r="EK20" i="71"/>
  <c r="EJ20" i="71"/>
  <c r="EI20" i="71"/>
  <c r="EH20" i="71"/>
  <c r="ED20" i="71"/>
  <c r="EL20" i="71"/>
  <c r="DX20" i="71"/>
  <c r="DW20" i="71"/>
  <c r="DV20" i="71"/>
  <c r="DU20" i="71"/>
  <c r="DQ20" i="71"/>
  <c r="DY20" i="71"/>
  <c r="DK20" i="71"/>
  <c r="DJ20" i="71"/>
  <c r="DI20" i="71"/>
  <c r="DH20" i="71"/>
  <c r="DD20" i="71"/>
  <c r="DL20" i="71"/>
  <c r="BY20" i="71"/>
  <c r="BU20" i="71"/>
  <c r="AY20" i="71"/>
  <c r="AX20" i="71"/>
  <c r="AW20" i="71"/>
  <c r="AV20" i="71"/>
  <c r="MI19" i="71"/>
  <c r="ML19" i="71"/>
  <c r="MM19" i="71"/>
  <c r="ME19" i="71"/>
  <c r="MB19" i="71"/>
  <c r="MF19" i="71"/>
  <c r="LX19" i="71"/>
  <c r="LU19" i="71"/>
  <c r="LQ19" i="71"/>
  <c r="LN19" i="71"/>
  <c r="LR19" i="71"/>
  <c r="KK19" i="71"/>
  <c r="KH19" i="71"/>
  <c r="KM19" i="71"/>
  <c r="KN19" i="71"/>
  <c r="KO19" i="71"/>
  <c r="JB19" i="71"/>
  <c r="JA19" i="71"/>
  <c r="IX19" i="71"/>
  <c r="IW19" i="71"/>
  <c r="IT19" i="71"/>
  <c r="IS19" i="71"/>
  <c r="IP19" i="71"/>
  <c r="IO19" i="71"/>
  <c r="IL19" i="71"/>
  <c r="IK19" i="71"/>
  <c r="IH19" i="71"/>
  <c r="IG19" i="71"/>
  <c r="ID19" i="71"/>
  <c r="IC19" i="71"/>
  <c r="HZ19" i="71"/>
  <c r="HY19" i="71"/>
  <c r="HV19" i="71"/>
  <c r="HU19" i="71"/>
  <c r="HR19" i="71"/>
  <c r="HQ19" i="71"/>
  <c r="HN19" i="71"/>
  <c r="JC19" i="71"/>
  <c r="HJ19" i="71"/>
  <c r="HI19" i="71"/>
  <c r="HF19" i="71"/>
  <c r="HE19" i="71"/>
  <c r="HB19" i="71"/>
  <c r="HA19" i="71"/>
  <c r="GX19" i="71"/>
  <c r="GV19" i="71"/>
  <c r="EK19" i="71"/>
  <c r="EJ19" i="71"/>
  <c r="EI19" i="71"/>
  <c r="EH19" i="71"/>
  <c r="ED19" i="71"/>
  <c r="EL19" i="71"/>
  <c r="DX19" i="71"/>
  <c r="DW19" i="71"/>
  <c r="DV19" i="71"/>
  <c r="DU19" i="71"/>
  <c r="DQ19" i="71"/>
  <c r="DY19" i="71"/>
  <c r="DK19" i="71"/>
  <c r="DJ19" i="71"/>
  <c r="DI19" i="71"/>
  <c r="DH19" i="71"/>
  <c r="DD19" i="71"/>
  <c r="BY19" i="71"/>
  <c r="AY19" i="71"/>
  <c r="AX19" i="71"/>
  <c r="AW19" i="71"/>
  <c r="AV19" i="71"/>
  <c r="JO18" i="71"/>
  <c r="JE18" i="71"/>
  <c r="IC18" i="71"/>
  <c r="ER18" i="71"/>
  <c r="BY18" i="71"/>
  <c r="BU18" i="71"/>
  <c r="AY18" i="71"/>
  <c r="AX18" i="71"/>
  <c r="AW18" i="71"/>
  <c r="AV18" i="71"/>
  <c r="MI17" i="71"/>
  <c r="ML17" i="71"/>
  <c r="MM17" i="71"/>
  <c r="ME17" i="71"/>
  <c r="MB17" i="71"/>
  <c r="MF17" i="71"/>
  <c r="LX17" i="71"/>
  <c r="LU17" i="71"/>
  <c r="LY17" i="71"/>
  <c r="LN17" i="71"/>
  <c r="LQ17" i="71"/>
  <c r="LR17" i="71"/>
  <c r="KK17" i="71"/>
  <c r="KH17" i="71"/>
  <c r="JB17" i="71"/>
  <c r="JA17" i="71"/>
  <c r="IX17" i="71"/>
  <c r="IW17" i="71"/>
  <c r="IT17" i="71"/>
  <c r="IS17" i="71"/>
  <c r="IP17" i="71"/>
  <c r="IO17" i="71"/>
  <c r="IL17" i="71"/>
  <c r="IK17" i="71"/>
  <c r="IH17" i="71"/>
  <c r="IG17" i="71"/>
  <c r="ID17" i="71"/>
  <c r="IC17" i="71"/>
  <c r="HZ17" i="71"/>
  <c r="HY17" i="71"/>
  <c r="HV17" i="71"/>
  <c r="HU17" i="71"/>
  <c r="HR17" i="71"/>
  <c r="HQ17" i="71"/>
  <c r="HN17" i="71"/>
  <c r="JC17" i="71"/>
  <c r="HJ17" i="71"/>
  <c r="HI17" i="71"/>
  <c r="HF17" i="71"/>
  <c r="HE17" i="71"/>
  <c r="HB17" i="71"/>
  <c r="HA17" i="71"/>
  <c r="GX17" i="71"/>
  <c r="GV17" i="71"/>
  <c r="EK17" i="71"/>
  <c r="EJ17" i="71"/>
  <c r="EI17" i="71"/>
  <c r="EH17" i="71"/>
  <c r="ED17" i="71"/>
  <c r="EL17" i="71"/>
  <c r="DX17" i="71"/>
  <c r="DW17" i="71"/>
  <c r="DV17" i="71"/>
  <c r="DU17" i="71"/>
  <c r="DQ17" i="71"/>
  <c r="DY17" i="71"/>
  <c r="DK17" i="71"/>
  <c r="DJ17" i="71"/>
  <c r="DI17" i="71"/>
  <c r="DH17" i="71"/>
  <c r="DD17" i="71"/>
  <c r="DL17" i="71"/>
  <c r="BY17" i="71"/>
  <c r="AY17" i="71"/>
  <c r="AX17" i="71"/>
  <c r="AW17" i="71"/>
  <c r="AV17" i="71"/>
  <c r="JO16" i="71"/>
  <c r="JE16" i="71"/>
  <c r="IC16" i="71"/>
  <c r="ER16" i="71"/>
  <c r="BY16" i="71"/>
  <c r="BU16" i="71"/>
  <c r="AY16" i="71"/>
  <c r="AX16" i="71"/>
  <c r="AW16" i="71"/>
  <c r="AV16" i="71"/>
  <c r="ML15" i="71"/>
  <c r="MI15" i="71"/>
  <c r="MM15" i="71"/>
  <c r="ME15" i="71"/>
  <c r="MB15" i="71"/>
  <c r="MF15" i="71"/>
  <c r="LU15" i="71"/>
  <c r="LX15" i="71"/>
  <c r="LY15" i="71"/>
  <c r="LN15" i="71"/>
  <c r="LQ15" i="71"/>
  <c r="LR15" i="71"/>
  <c r="KK15" i="71"/>
  <c r="KH15" i="71"/>
  <c r="KM15" i="71"/>
  <c r="KN15" i="71"/>
  <c r="KO15" i="71"/>
  <c r="JO15" i="71"/>
  <c r="JE15" i="71"/>
  <c r="JB15" i="71"/>
  <c r="JA15" i="71"/>
  <c r="IX15" i="71"/>
  <c r="IW15" i="71"/>
  <c r="IT15" i="71"/>
  <c r="IS15" i="71"/>
  <c r="IP15" i="71"/>
  <c r="IO15" i="71"/>
  <c r="IL15" i="71"/>
  <c r="IK15" i="71"/>
  <c r="IH15" i="71"/>
  <c r="IG15" i="71"/>
  <c r="ID15" i="71"/>
  <c r="IC15" i="71"/>
  <c r="HZ15" i="71"/>
  <c r="HY15" i="71"/>
  <c r="HV15" i="71"/>
  <c r="HU15" i="71"/>
  <c r="HR15" i="71"/>
  <c r="HQ15" i="71"/>
  <c r="HN15" i="71"/>
  <c r="JC15" i="71"/>
  <c r="HJ15" i="71"/>
  <c r="HI15" i="71"/>
  <c r="HF15" i="71"/>
  <c r="HE15" i="71"/>
  <c r="HB15" i="71"/>
  <c r="HA15" i="71"/>
  <c r="GX15" i="71"/>
  <c r="GV15" i="71"/>
  <c r="ER15" i="71"/>
  <c r="EK15" i="71"/>
  <c r="EJ15" i="71"/>
  <c r="EI15" i="71"/>
  <c r="EH15" i="71"/>
  <c r="ED15" i="71"/>
  <c r="EL15" i="71"/>
  <c r="DX15" i="71"/>
  <c r="DW15" i="71"/>
  <c r="DV15" i="71"/>
  <c r="DU15" i="71"/>
  <c r="DQ15" i="71"/>
  <c r="DY15" i="71"/>
  <c r="DK15" i="71"/>
  <c r="DJ15" i="71"/>
  <c r="DI15" i="71"/>
  <c r="DH15" i="71"/>
  <c r="DD15" i="71"/>
  <c r="DL15" i="71"/>
  <c r="BY15" i="71"/>
  <c r="BU15" i="71"/>
  <c r="AY15" i="71"/>
  <c r="AX15" i="71"/>
  <c r="AW15" i="71"/>
  <c r="AV15" i="71"/>
  <c r="MI14" i="71"/>
  <c r="ML14" i="71"/>
  <c r="MM14" i="71"/>
  <c r="ME14" i="71"/>
  <c r="MB14" i="71"/>
  <c r="MF14" i="71"/>
  <c r="LX14" i="71"/>
  <c r="LU14" i="71"/>
  <c r="LY14" i="71"/>
  <c r="LN14" i="71"/>
  <c r="LQ14" i="71"/>
  <c r="LR14" i="71"/>
  <c r="KK14" i="71"/>
  <c r="KH14" i="71"/>
  <c r="JO14" i="71"/>
  <c r="JE14" i="71"/>
  <c r="HN14" i="71"/>
  <c r="JC14" i="71"/>
  <c r="JB14" i="71"/>
  <c r="JA14" i="71"/>
  <c r="IX14" i="71"/>
  <c r="IW14" i="71"/>
  <c r="IT14" i="71"/>
  <c r="IS14" i="71"/>
  <c r="IP14" i="71"/>
  <c r="IO14" i="71"/>
  <c r="IL14" i="71"/>
  <c r="IK14" i="71"/>
  <c r="IH14" i="71"/>
  <c r="IG14" i="71"/>
  <c r="ID14" i="71"/>
  <c r="IC14" i="71"/>
  <c r="HZ14" i="71"/>
  <c r="HY14" i="71"/>
  <c r="HV14" i="71"/>
  <c r="HU14" i="71"/>
  <c r="HR14" i="71"/>
  <c r="HQ14" i="71"/>
  <c r="HQ3" i="71"/>
  <c r="HQ4" i="71"/>
  <c r="HQ5" i="71"/>
  <c r="HQ6" i="71"/>
  <c r="HQ8" i="71"/>
  <c r="HQ11" i="71"/>
  <c r="HQ12" i="71"/>
  <c r="HQ13" i="71"/>
  <c r="HQ23" i="71"/>
  <c r="HJ14" i="71"/>
  <c r="HI14" i="71"/>
  <c r="HF14" i="71"/>
  <c r="HE14" i="71"/>
  <c r="HB14" i="71"/>
  <c r="HA14" i="71"/>
  <c r="HA3" i="71"/>
  <c r="HA4" i="71"/>
  <c r="HA5" i="71"/>
  <c r="HA6" i="71"/>
  <c r="HA8" i="71"/>
  <c r="HA11" i="71"/>
  <c r="HA12" i="71"/>
  <c r="HA13" i="71"/>
  <c r="HA23" i="71"/>
  <c r="GX14" i="71"/>
  <c r="GV14" i="71"/>
  <c r="ER14" i="71"/>
  <c r="EK14" i="71"/>
  <c r="EJ14" i="71"/>
  <c r="EI14" i="71"/>
  <c r="EH14" i="71"/>
  <c r="ED14" i="71"/>
  <c r="EL14" i="71"/>
  <c r="DX14" i="71"/>
  <c r="DW14" i="71"/>
  <c r="DV14" i="71"/>
  <c r="DU14" i="71"/>
  <c r="DQ14" i="71"/>
  <c r="DY14" i="71"/>
  <c r="DK14" i="71"/>
  <c r="DJ14" i="71"/>
  <c r="DI14" i="71"/>
  <c r="DH14" i="71"/>
  <c r="DD14" i="71"/>
  <c r="DL14" i="71"/>
  <c r="BY14" i="71"/>
  <c r="BU14" i="71"/>
  <c r="AY14" i="71"/>
  <c r="AX14" i="71"/>
  <c r="AW14" i="71"/>
  <c r="AV14" i="71"/>
  <c r="MI13" i="71"/>
  <c r="ML13" i="71"/>
  <c r="MM13" i="71"/>
  <c r="ME13" i="71"/>
  <c r="MB13" i="71"/>
  <c r="MF13" i="71"/>
  <c r="LX13" i="71"/>
  <c r="LU13" i="71"/>
  <c r="LQ13" i="71"/>
  <c r="LN13" i="71"/>
  <c r="LR13" i="71"/>
  <c r="KK13" i="71"/>
  <c r="KH13" i="71"/>
  <c r="JB13" i="71"/>
  <c r="JA13" i="71"/>
  <c r="IX13" i="71"/>
  <c r="IW13" i="71"/>
  <c r="IT13" i="71"/>
  <c r="IS13" i="71"/>
  <c r="IP13" i="71"/>
  <c r="IO13" i="71"/>
  <c r="IL13" i="71"/>
  <c r="IK13" i="71"/>
  <c r="IH13" i="71"/>
  <c r="IG13" i="71"/>
  <c r="ID13" i="71"/>
  <c r="IC13" i="71"/>
  <c r="HZ13" i="71"/>
  <c r="HY13" i="71"/>
  <c r="HV13" i="71"/>
  <c r="HU13" i="71"/>
  <c r="HR13" i="71"/>
  <c r="HN13" i="71"/>
  <c r="JC13" i="71"/>
  <c r="HJ13" i="71"/>
  <c r="HI13" i="71"/>
  <c r="HF13" i="71"/>
  <c r="HE13" i="71"/>
  <c r="HB13" i="71"/>
  <c r="GX13" i="71"/>
  <c r="GV13" i="71"/>
  <c r="EK13" i="71"/>
  <c r="EJ13" i="71"/>
  <c r="EI13" i="71"/>
  <c r="EH13" i="71"/>
  <c r="ED13" i="71"/>
  <c r="EL13" i="71"/>
  <c r="DX13" i="71"/>
  <c r="DW13" i="71"/>
  <c r="DV13" i="71"/>
  <c r="DU13" i="71"/>
  <c r="DQ13" i="71"/>
  <c r="DY13" i="71"/>
  <c r="DK13" i="71"/>
  <c r="DJ13" i="71"/>
  <c r="DI13" i="71"/>
  <c r="DH13" i="71"/>
  <c r="DD13" i="71"/>
  <c r="BY13" i="71"/>
  <c r="AY13" i="71"/>
  <c r="AX13" i="71"/>
  <c r="AW13" i="71"/>
  <c r="AV13" i="71"/>
  <c r="ML12" i="71"/>
  <c r="MI12" i="71"/>
  <c r="MM12" i="71"/>
  <c r="MB12" i="71"/>
  <c r="ME12" i="71"/>
  <c r="MF12" i="71"/>
  <c r="LX12" i="71"/>
  <c r="LU12" i="71"/>
  <c r="LY12" i="71"/>
  <c r="LQ12" i="71"/>
  <c r="LN12" i="71"/>
  <c r="KK12" i="71"/>
  <c r="KH12" i="71"/>
  <c r="KM12" i="71"/>
  <c r="KN12" i="71"/>
  <c r="KO12" i="71"/>
  <c r="KL12" i="71"/>
  <c r="HN12" i="71"/>
  <c r="JC12" i="71"/>
  <c r="JB12" i="71"/>
  <c r="JA12" i="71"/>
  <c r="IX12" i="71"/>
  <c r="IW12" i="71"/>
  <c r="IT12" i="71"/>
  <c r="IS12" i="71"/>
  <c r="IP12" i="71"/>
  <c r="IO12" i="71"/>
  <c r="IL12" i="71"/>
  <c r="IK12" i="71"/>
  <c r="IH12" i="71"/>
  <c r="IG12" i="71"/>
  <c r="ID12" i="71"/>
  <c r="IC12" i="71"/>
  <c r="HZ12" i="71"/>
  <c r="HY12" i="71"/>
  <c r="HV12" i="71"/>
  <c r="HU12" i="71"/>
  <c r="HR12" i="71"/>
  <c r="HJ12" i="71"/>
  <c r="HI12" i="71"/>
  <c r="HF12" i="71"/>
  <c r="HE12" i="71"/>
  <c r="HB12" i="71"/>
  <c r="GX12" i="71"/>
  <c r="GV12" i="71"/>
  <c r="ER12" i="71"/>
  <c r="EK12" i="71"/>
  <c r="EJ12" i="71"/>
  <c r="EI12" i="71"/>
  <c r="EH12" i="71"/>
  <c r="ED12" i="71"/>
  <c r="EL12" i="71"/>
  <c r="DX12" i="71"/>
  <c r="DW12" i="71"/>
  <c r="DV12" i="71"/>
  <c r="DU12" i="71"/>
  <c r="DQ12" i="71"/>
  <c r="DY12" i="71"/>
  <c r="DK12" i="71"/>
  <c r="DJ12" i="71"/>
  <c r="DI12" i="71"/>
  <c r="DH12" i="71"/>
  <c r="DD12" i="71"/>
  <c r="DL12" i="71"/>
  <c r="BY12" i="71"/>
  <c r="BU12" i="71"/>
  <c r="AY12" i="71"/>
  <c r="AX12" i="71"/>
  <c r="AW12" i="71"/>
  <c r="AV12" i="71"/>
  <c r="MI11" i="71"/>
  <c r="ML11" i="71"/>
  <c r="MM11" i="71"/>
  <c r="ME11" i="71"/>
  <c r="MB11" i="71"/>
  <c r="MF11" i="71"/>
  <c r="LX11" i="71"/>
  <c r="LU11" i="71"/>
  <c r="LQ11" i="71"/>
  <c r="LN11" i="71"/>
  <c r="LR11" i="71"/>
  <c r="KK11" i="71"/>
  <c r="KH11" i="71"/>
  <c r="JO11" i="71"/>
  <c r="JE11" i="71"/>
  <c r="HN11" i="71"/>
  <c r="JC11" i="71"/>
  <c r="JB11" i="71"/>
  <c r="JA11" i="71"/>
  <c r="IX11" i="71"/>
  <c r="IW11" i="71"/>
  <c r="IT11" i="71"/>
  <c r="IS11" i="71"/>
  <c r="IP11" i="71"/>
  <c r="IO11" i="71"/>
  <c r="IL11" i="71"/>
  <c r="IK11" i="71"/>
  <c r="IH11" i="71"/>
  <c r="IG11" i="71"/>
  <c r="ID11" i="71"/>
  <c r="IC11" i="71"/>
  <c r="HZ11" i="71"/>
  <c r="HY11" i="71"/>
  <c r="HY3" i="71"/>
  <c r="HY4" i="71"/>
  <c r="HY5" i="71"/>
  <c r="HY6" i="71"/>
  <c r="HY8" i="71"/>
  <c r="HY23" i="71"/>
  <c r="HV11" i="71"/>
  <c r="HU11" i="71"/>
  <c r="HR11" i="71"/>
  <c r="HJ11" i="71"/>
  <c r="HI11" i="71"/>
  <c r="HI3" i="71"/>
  <c r="HI4" i="71"/>
  <c r="HI5" i="71"/>
  <c r="HI6" i="71"/>
  <c r="HI8" i="71"/>
  <c r="HI23" i="71"/>
  <c r="HF11" i="71"/>
  <c r="HE11" i="71"/>
  <c r="HB11" i="71"/>
  <c r="GX11" i="71"/>
  <c r="GV11" i="71"/>
  <c r="ER11" i="71"/>
  <c r="EK11" i="71"/>
  <c r="EJ11" i="71"/>
  <c r="EI11" i="71"/>
  <c r="EH11" i="71"/>
  <c r="ED11" i="71"/>
  <c r="EL11" i="71"/>
  <c r="DX11" i="71"/>
  <c r="DW11" i="71"/>
  <c r="DV11" i="71"/>
  <c r="DU11" i="71"/>
  <c r="DQ11" i="71"/>
  <c r="DY11" i="71"/>
  <c r="DK11" i="71"/>
  <c r="DJ11" i="71"/>
  <c r="DI11" i="71"/>
  <c r="DH11" i="71"/>
  <c r="DD11" i="71"/>
  <c r="DL11" i="71"/>
  <c r="BY11" i="71"/>
  <c r="BU11" i="71"/>
  <c r="AY11" i="71"/>
  <c r="AX11" i="71"/>
  <c r="AW11" i="71"/>
  <c r="AV11" i="71"/>
  <c r="IC10" i="71"/>
  <c r="BY10" i="71"/>
  <c r="JO9" i="71"/>
  <c r="JE9" i="71"/>
  <c r="IC9" i="71"/>
  <c r="ER9" i="71"/>
  <c r="BY9" i="71"/>
  <c r="BU9" i="71"/>
  <c r="AY9" i="71"/>
  <c r="AX9" i="71"/>
  <c r="AW9" i="71"/>
  <c r="AV9" i="71"/>
  <c r="ML8" i="71"/>
  <c r="MI8" i="71"/>
  <c r="MM8" i="71"/>
  <c r="MB8" i="71"/>
  <c r="ME8" i="71"/>
  <c r="MF8" i="71"/>
  <c r="LX8" i="71"/>
  <c r="LU8" i="71"/>
  <c r="LY8" i="71"/>
  <c r="LQ8" i="71"/>
  <c r="LN8" i="71"/>
  <c r="KK8" i="71"/>
  <c r="KH8" i="71"/>
  <c r="KM8" i="71"/>
  <c r="KN8" i="71"/>
  <c r="KO8" i="71"/>
  <c r="KL8" i="71"/>
  <c r="JO8" i="71"/>
  <c r="JE8" i="71"/>
  <c r="JB8" i="71"/>
  <c r="JA8" i="71"/>
  <c r="IX8" i="71"/>
  <c r="IW8" i="71"/>
  <c r="IT8" i="71"/>
  <c r="IS8" i="71"/>
  <c r="IP8" i="71"/>
  <c r="IO8" i="71"/>
  <c r="IL8" i="71"/>
  <c r="IK8" i="71"/>
  <c r="IH8" i="71"/>
  <c r="IG8" i="71"/>
  <c r="ID8" i="71"/>
  <c r="IC8" i="71"/>
  <c r="HZ8" i="71"/>
  <c r="HV8" i="71"/>
  <c r="HU8" i="71"/>
  <c r="HR8" i="71"/>
  <c r="HN8" i="71"/>
  <c r="JC8" i="71"/>
  <c r="HJ8" i="71"/>
  <c r="HF8" i="71"/>
  <c r="HE8" i="71"/>
  <c r="HB8" i="71"/>
  <c r="GX8" i="71"/>
  <c r="GV8" i="71"/>
  <c r="ER8" i="71"/>
  <c r="EK8" i="71"/>
  <c r="EJ8" i="71"/>
  <c r="EI8" i="71"/>
  <c r="EH8" i="71"/>
  <c r="ED8" i="71"/>
  <c r="EL8" i="71"/>
  <c r="DX8" i="71"/>
  <c r="DW8" i="71"/>
  <c r="DV8" i="71"/>
  <c r="DU8" i="71"/>
  <c r="DQ8" i="71"/>
  <c r="DY8" i="71"/>
  <c r="DK8" i="71"/>
  <c r="DJ8" i="71"/>
  <c r="DI8" i="71"/>
  <c r="DH8" i="71"/>
  <c r="DD8" i="71"/>
  <c r="BY8" i="71"/>
  <c r="BU8" i="71"/>
  <c r="AY8" i="71"/>
  <c r="AX8" i="71"/>
  <c r="AW8" i="71"/>
  <c r="AV8" i="71"/>
  <c r="IC7" i="71"/>
  <c r="BY7" i="71"/>
  <c r="AY7" i="71"/>
  <c r="AX7" i="71"/>
  <c r="AW7" i="71"/>
  <c r="AV7" i="71"/>
  <c r="MI6" i="71"/>
  <c r="ML6" i="71"/>
  <c r="MM6" i="71"/>
  <c r="MB6" i="71"/>
  <c r="ME6" i="71"/>
  <c r="MF6" i="71"/>
  <c r="LX6" i="71"/>
  <c r="LU6" i="71"/>
  <c r="LY6" i="71"/>
  <c r="LQ6" i="71"/>
  <c r="LN6" i="71"/>
  <c r="LR6" i="71"/>
  <c r="KK6" i="71"/>
  <c r="KH6" i="71"/>
  <c r="KM6" i="71"/>
  <c r="KN6" i="71"/>
  <c r="KO6" i="71"/>
  <c r="KL6" i="71"/>
  <c r="JO6" i="71"/>
  <c r="JE6" i="71"/>
  <c r="HN6" i="71"/>
  <c r="JC6" i="71"/>
  <c r="JB6" i="71"/>
  <c r="JA6" i="71"/>
  <c r="IX6" i="71"/>
  <c r="IW6" i="71"/>
  <c r="IT6" i="71"/>
  <c r="IS6" i="71"/>
  <c r="IP6" i="71"/>
  <c r="IO6" i="71"/>
  <c r="IL6" i="71"/>
  <c r="IK6" i="71"/>
  <c r="IH6" i="71"/>
  <c r="IG6" i="71"/>
  <c r="ID6" i="71"/>
  <c r="IC6" i="71"/>
  <c r="HZ6" i="71"/>
  <c r="HV6" i="71"/>
  <c r="HU6" i="71"/>
  <c r="HR6" i="71"/>
  <c r="HJ6" i="71"/>
  <c r="HF6" i="71"/>
  <c r="HE6" i="71"/>
  <c r="HB6" i="71"/>
  <c r="GX6" i="71"/>
  <c r="GV6" i="71"/>
  <c r="ER6" i="71"/>
  <c r="EK6" i="71"/>
  <c r="EJ6" i="71"/>
  <c r="EI6" i="71"/>
  <c r="EH6" i="71"/>
  <c r="ED6" i="71"/>
  <c r="EL6" i="71"/>
  <c r="DX6" i="71"/>
  <c r="DW6" i="71"/>
  <c r="DV6" i="71"/>
  <c r="DU6" i="71"/>
  <c r="DQ6" i="71"/>
  <c r="DY6" i="71"/>
  <c r="DK6" i="71"/>
  <c r="DJ6" i="71"/>
  <c r="DI6" i="71"/>
  <c r="DH6" i="71"/>
  <c r="DD6" i="71"/>
  <c r="DL6" i="71"/>
  <c r="BY6" i="71"/>
  <c r="BU6" i="71"/>
  <c r="AY6" i="71"/>
  <c r="AX6" i="71"/>
  <c r="AW6" i="71"/>
  <c r="AV6" i="71"/>
  <c r="ML5" i="71"/>
  <c r="MI5" i="71"/>
  <c r="MB5" i="71"/>
  <c r="ME5" i="71"/>
  <c r="MF5" i="71"/>
  <c r="LU5" i="71"/>
  <c r="LX5" i="71"/>
  <c r="LY5" i="71"/>
  <c r="LQ5" i="71"/>
  <c r="LN5" i="71"/>
  <c r="LR5" i="71"/>
  <c r="KK5" i="71"/>
  <c r="KH5" i="71"/>
  <c r="KL5" i="71"/>
  <c r="KM5" i="71"/>
  <c r="KN5" i="71"/>
  <c r="KO5" i="71"/>
  <c r="JO5" i="71"/>
  <c r="JE5" i="71"/>
  <c r="JB5" i="71"/>
  <c r="JA5" i="71"/>
  <c r="IX5" i="71"/>
  <c r="IW5" i="71"/>
  <c r="IT5" i="71"/>
  <c r="IS5" i="71"/>
  <c r="IP5" i="71"/>
  <c r="IO5" i="71"/>
  <c r="IL5" i="71"/>
  <c r="IK5" i="71"/>
  <c r="IH5" i="71"/>
  <c r="IG5" i="71"/>
  <c r="ID5" i="71"/>
  <c r="IC5" i="71"/>
  <c r="HZ5" i="71"/>
  <c r="HV5" i="71"/>
  <c r="HU5" i="71"/>
  <c r="HU3" i="71"/>
  <c r="HU4" i="71"/>
  <c r="HU23" i="71"/>
  <c r="HR5" i="71"/>
  <c r="HN5" i="71"/>
  <c r="JC5" i="71"/>
  <c r="HJ5" i="71"/>
  <c r="HF5" i="71"/>
  <c r="HE5" i="71"/>
  <c r="HE3" i="71"/>
  <c r="HE4" i="71"/>
  <c r="HE23" i="71"/>
  <c r="HB5" i="71"/>
  <c r="GX5" i="71"/>
  <c r="GV5" i="71"/>
  <c r="ER5" i="71"/>
  <c r="EK5" i="71"/>
  <c r="EJ5" i="71"/>
  <c r="EI5" i="71"/>
  <c r="EH5" i="71"/>
  <c r="ED5" i="71"/>
  <c r="ED3" i="71"/>
  <c r="ED4" i="71"/>
  <c r="ED23" i="71"/>
  <c r="DX5" i="71"/>
  <c r="DW5" i="71"/>
  <c r="DV5" i="71"/>
  <c r="DU5" i="71"/>
  <c r="DQ5" i="71"/>
  <c r="DY5" i="71"/>
  <c r="DK5" i="71"/>
  <c r="DJ5" i="71"/>
  <c r="DI5" i="71"/>
  <c r="DH5" i="71"/>
  <c r="DD5" i="71"/>
  <c r="DL5" i="71"/>
  <c r="BY5" i="71"/>
  <c r="BU5" i="71"/>
  <c r="AY5" i="71"/>
  <c r="AX5" i="71"/>
  <c r="AW5" i="71"/>
  <c r="AV5" i="71"/>
  <c r="ML4" i="71"/>
  <c r="MI4" i="71"/>
  <c r="MM4" i="71"/>
  <c r="ME4" i="71"/>
  <c r="MB4" i="71"/>
  <c r="LX4" i="71"/>
  <c r="LU4" i="71"/>
  <c r="LY4" i="71"/>
  <c r="LQ4" i="71"/>
  <c r="LN4" i="71"/>
  <c r="KK4" i="71"/>
  <c r="KH4" i="71"/>
  <c r="KM4" i="71"/>
  <c r="KN4" i="71"/>
  <c r="KO4" i="71"/>
  <c r="JO4" i="71"/>
  <c r="JE4" i="71"/>
  <c r="JB4" i="71"/>
  <c r="JA4" i="71"/>
  <c r="IX4" i="71"/>
  <c r="IW4" i="71"/>
  <c r="IT4" i="71"/>
  <c r="IS4" i="71"/>
  <c r="IP4" i="71"/>
  <c r="IO4" i="71"/>
  <c r="IL4" i="71"/>
  <c r="IK4" i="71"/>
  <c r="IH4" i="71"/>
  <c r="IG4" i="71"/>
  <c r="ID4" i="71"/>
  <c r="IC4" i="71"/>
  <c r="HZ4" i="71"/>
  <c r="HV4" i="71"/>
  <c r="HR4" i="71"/>
  <c r="HN4" i="71"/>
  <c r="JC4" i="71"/>
  <c r="HJ4" i="71"/>
  <c r="HF4" i="71"/>
  <c r="HB4" i="71"/>
  <c r="GX4" i="71"/>
  <c r="GV4" i="71"/>
  <c r="ER4" i="71"/>
  <c r="EK4" i="71"/>
  <c r="EJ4" i="71"/>
  <c r="EI4" i="71"/>
  <c r="EH4" i="71"/>
  <c r="EL4" i="71"/>
  <c r="DX4" i="71"/>
  <c r="DW4" i="71"/>
  <c r="DV4" i="71"/>
  <c r="DU4" i="71"/>
  <c r="DQ4" i="71"/>
  <c r="DK4" i="71"/>
  <c r="DK3" i="71"/>
  <c r="DK23" i="71"/>
  <c r="DJ4" i="71"/>
  <c r="DI4" i="71"/>
  <c r="DH4" i="71"/>
  <c r="DD4" i="71"/>
  <c r="DD3" i="71"/>
  <c r="DD23" i="71"/>
  <c r="BY4" i="71"/>
  <c r="BU4" i="71"/>
  <c r="AY4" i="71"/>
  <c r="AX4" i="71"/>
  <c r="AW4" i="71"/>
  <c r="AV4" i="71"/>
  <c r="ML3" i="71"/>
  <c r="MI3" i="71"/>
  <c r="MB3" i="71"/>
  <c r="ME3" i="71"/>
  <c r="MF3" i="71"/>
  <c r="LX3" i="71"/>
  <c r="LU3" i="71"/>
  <c r="LQ3" i="71"/>
  <c r="LN3" i="71"/>
  <c r="KK3" i="71"/>
  <c r="KH3" i="71"/>
  <c r="KL3" i="71"/>
  <c r="JO3" i="71"/>
  <c r="JE3" i="71"/>
  <c r="JB3" i="71"/>
  <c r="JA3" i="71"/>
  <c r="IX3" i="71"/>
  <c r="IW3" i="71"/>
  <c r="IT3" i="71"/>
  <c r="IS3" i="71"/>
  <c r="IP3" i="71"/>
  <c r="IO3" i="71"/>
  <c r="IL3" i="71"/>
  <c r="IK3" i="71"/>
  <c r="IH3" i="71"/>
  <c r="IG3" i="71"/>
  <c r="ID3" i="71"/>
  <c r="IC3" i="71"/>
  <c r="HZ3" i="71"/>
  <c r="HV3" i="71"/>
  <c r="HR3" i="71"/>
  <c r="HN3" i="71"/>
  <c r="HJ3" i="71"/>
  <c r="HF3" i="71"/>
  <c r="HB3" i="71"/>
  <c r="GX3" i="71"/>
  <c r="GV3" i="71"/>
  <c r="ER3" i="71"/>
  <c r="ER23" i="71"/>
  <c r="EK3" i="71"/>
  <c r="EJ3" i="71"/>
  <c r="EJ23" i="71"/>
  <c r="EI3" i="71"/>
  <c r="EH3" i="71"/>
  <c r="EL3" i="71"/>
  <c r="DX3" i="71"/>
  <c r="DX23" i="71"/>
  <c r="DW3" i="71"/>
  <c r="DV3" i="71"/>
  <c r="DU3" i="71"/>
  <c r="DU23" i="71"/>
  <c r="DQ3" i="71"/>
  <c r="DQ23" i="71"/>
  <c r="DJ3" i="71"/>
  <c r="DJ23" i="71"/>
  <c r="DI3" i="71"/>
  <c r="DH3" i="71"/>
  <c r="DL3" i="71"/>
  <c r="BY3" i="71"/>
  <c r="BU3" i="71"/>
  <c r="AY3" i="71"/>
  <c r="AX3" i="71"/>
  <c r="AW3" i="71"/>
  <c r="AV3" i="71"/>
  <c r="LU24" i="71"/>
  <c r="LY3" i="71"/>
  <c r="LU23" i="71"/>
  <c r="KM14" i="71"/>
  <c r="KN14" i="71"/>
  <c r="KO14" i="71"/>
  <c r="KL14" i="71"/>
  <c r="EH23" i="71"/>
  <c r="HB24" i="71"/>
  <c r="HB23" i="71"/>
  <c r="HR24" i="71"/>
  <c r="HR23" i="71"/>
  <c r="IH24" i="71"/>
  <c r="IH23" i="71"/>
  <c r="IX24" i="71"/>
  <c r="IX23" i="71"/>
  <c r="MM5" i="71"/>
  <c r="MI24" i="71"/>
  <c r="DH23" i="71"/>
  <c r="KH24" i="71"/>
  <c r="KH23" i="71"/>
  <c r="LN24" i="71"/>
  <c r="MB23" i="71"/>
  <c r="MB24" i="71"/>
  <c r="ML24" i="71"/>
  <c r="MM3" i="71"/>
  <c r="ML23" i="71"/>
  <c r="DL4" i="71"/>
  <c r="DL8" i="71"/>
  <c r="DL13" i="71"/>
  <c r="DL19" i="71"/>
  <c r="DL22" i="71"/>
  <c r="DL23" i="71"/>
  <c r="IC23" i="71"/>
  <c r="IK23" i="71"/>
  <c r="IS23" i="71"/>
  <c r="JA23" i="71"/>
  <c r="IG23" i="71"/>
  <c r="IO23" i="71"/>
  <c r="IW23" i="71"/>
  <c r="KM11" i="71"/>
  <c r="KN11" i="71"/>
  <c r="KO11" i="71"/>
  <c r="KL11" i="71"/>
  <c r="MF4" i="71"/>
  <c r="MF23" i="71"/>
  <c r="LR4" i="71"/>
  <c r="LQ23" i="71"/>
  <c r="KM13" i="71"/>
  <c r="KN13" i="71"/>
  <c r="KO13" i="71"/>
  <c r="KL13" i="71"/>
  <c r="DY3" i="71"/>
  <c r="GV23" i="71"/>
  <c r="GV24" i="71"/>
  <c r="HJ23" i="71"/>
  <c r="HJ24" i="71"/>
  <c r="HZ23" i="71"/>
  <c r="HZ24" i="71"/>
  <c r="IP23" i="71"/>
  <c r="IP24" i="71"/>
  <c r="EL5" i="71"/>
  <c r="EL23" i="71"/>
  <c r="DW23" i="71"/>
  <c r="GX23" i="71"/>
  <c r="GX24" i="71"/>
  <c r="HF23" i="71"/>
  <c r="HF24" i="71"/>
  <c r="HN23" i="71"/>
  <c r="JC3" i="71"/>
  <c r="HN24" i="71"/>
  <c r="HV23" i="71"/>
  <c r="HV24" i="71"/>
  <c r="ID23" i="71"/>
  <c r="ID24" i="71"/>
  <c r="IL23" i="71"/>
  <c r="IL24" i="71"/>
  <c r="IT23" i="71"/>
  <c r="IT24" i="71"/>
  <c r="JB23" i="71"/>
  <c r="JB24" i="71"/>
  <c r="LQ24" i="71"/>
  <c r="EK23" i="71"/>
  <c r="KM17" i="71"/>
  <c r="KN17" i="71"/>
  <c r="KO17" i="71"/>
  <c r="KL17" i="71"/>
  <c r="KM20" i="71"/>
  <c r="KN20" i="71"/>
  <c r="KO20" i="71"/>
  <c r="KL20" i="71"/>
  <c r="DV23" i="71"/>
  <c r="GW24" i="71"/>
  <c r="HE24" i="71"/>
  <c r="HM24" i="71"/>
  <c r="HU24" i="71"/>
  <c r="IC24" i="71"/>
  <c r="IK24" i="71"/>
  <c r="IS24" i="71"/>
  <c r="JA24" i="71"/>
  <c r="LR3" i="71"/>
  <c r="ME23" i="71"/>
  <c r="KL4" i="71"/>
  <c r="KL15" i="71"/>
  <c r="KL19" i="71"/>
  <c r="KL21" i="71"/>
  <c r="KL23" i="71"/>
  <c r="LY19" i="71"/>
  <c r="LN23" i="71"/>
  <c r="DI23" i="71"/>
  <c r="EI23" i="71"/>
  <c r="HA24" i="71"/>
  <c r="HI24" i="71"/>
  <c r="HQ24" i="71"/>
  <c r="HY24" i="71"/>
  <c r="IG24" i="71"/>
  <c r="IO24" i="71"/>
  <c r="IW24" i="71"/>
  <c r="KK23" i="71"/>
  <c r="KM3" i="71"/>
  <c r="KK24" i="71"/>
  <c r="LX23" i="71"/>
  <c r="LX24" i="71"/>
  <c r="MI23" i="71"/>
  <c r="DY4" i="71"/>
  <c r="MF24" i="71"/>
  <c r="LR8" i="71"/>
  <c r="LY11" i="71"/>
  <c r="LR12" i="71"/>
  <c r="LY13" i="71"/>
  <c r="LR22" i="71"/>
  <c r="ME24" i="71"/>
  <c r="FF18" i="65"/>
  <c r="FG18" i="65"/>
  <c r="FH18" i="65"/>
  <c r="FI18" i="65"/>
  <c r="FJ18" i="65"/>
  <c r="FK18" i="65"/>
  <c r="FL18" i="65"/>
  <c r="FM18" i="65"/>
  <c r="FN18" i="65"/>
  <c r="FO18" i="65"/>
  <c r="FP18" i="65"/>
  <c r="MY19" i="65"/>
  <c r="MX19" i="65"/>
  <c r="MW19" i="65"/>
  <c r="MV19" i="65"/>
  <c r="MU19" i="65"/>
  <c r="MT19" i="65"/>
  <c r="MS19" i="65"/>
  <c r="MR19" i="65"/>
  <c r="MQ19" i="65"/>
  <c r="MY18" i="65"/>
  <c r="MX18" i="65"/>
  <c r="MW18" i="65"/>
  <c r="MV18" i="65"/>
  <c r="MU18" i="65"/>
  <c r="MT18" i="65"/>
  <c r="MS18" i="65"/>
  <c r="MR18" i="65"/>
  <c r="MQ18" i="65"/>
  <c r="HC18" i="65"/>
  <c r="GM18" i="65"/>
  <c r="HF18" i="65"/>
  <c r="KS20" i="65"/>
  <c r="II46" i="65"/>
  <c r="IH46" i="65"/>
  <c r="IG46" i="65"/>
  <c r="IE46" i="65"/>
  <c r="ID46" i="65"/>
  <c r="IC46" i="65"/>
  <c r="IB46" i="65"/>
  <c r="HZ46" i="65"/>
  <c r="IH44" i="65"/>
  <c r="II32" i="65"/>
  <c r="IH32" i="65"/>
  <c r="IG32" i="65"/>
  <c r="IF32" i="65"/>
  <c r="IE32" i="65"/>
  <c r="ID32" i="65"/>
  <c r="IC32" i="65"/>
  <c r="IB32" i="65"/>
  <c r="IA32" i="65"/>
  <c r="HZ32" i="65"/>
  <c r="HY32" i="65"/>
  <c r="HX32" i="65"/>
  <c r="HW32" i="65"/>
  <c r="II31" i="65"/>
  <c r="IH31" i="65"/>
  <c r="IG31" i="65"/>
  <c r="IF31" i="65"/>
  <c r="IE31" i="65"/>
  <c r="ID31" i="65"/>
  <c r="IC31" i="65"/>
  <c r="IB31" i="65"/>
  <c r="IA31" i="65"/>
  <c r="HZ31" i="65"/>
  <c r="HY31" i="65"/>
  <c r="HX31" i="65"/>
  <c r="HW31" i="65"/>
  <c r="IQ23" i="65"/>
  <c r="IM23" i="65"/>
  <c r="II23" i="65"/>
  <c r="IE23" i="65"/>
  <c r="IA23" i="65"/>
  <c r="HW23" i="65"/>
  <c r="HS23" i="65"/>
  <c r="HO23" i="65"/>
  <c r="HK23" i="65"/>
  <c r="HG23" i="65"/>
  <c r="HC23" i="65"/>
  <c r="GY23" i="65"/>
  <c r="GU23" i="65"/>
  <c r="GQ23" i="65"/>
  <c r="GL23" i="65"/>
  <c r="HF21" i="65"/>
  <c r="HF22" i="65"/>
  <c r="GT21" i="65"/>
  <c r="GT22" i="65"/>
  <c r="GP21" i="65"/>
  <c r="GP22" i="65"/>
  <c r="GK21" i="65"/>
  <c r="GK22" i="65"/>
  <c r="IP21" i="65"/>
  <c r="IL21" i="65"/>
  <c r="IH21" i="65"/>
  <c r="ID21" i="65"/>
  <c r="HZ21" i="65"/>
  <c r="HV21" i="65"/>
  <c r="HR21" i="65"/>
  <c r="HO21" i="65"/>
  <c r="HN21" i="65"/>
  <c r="HJ21" i="65"/>
  <c r="HB21" i="65"/>
  <c r="GX21" i="65"/>
  <c r="CT19" i="65"/>
  <c r="CT20" i="65"/>
  <c r="CS19" i="65"/>
  <c r="CS20" i="65"/>
  <c r="CR19" i="65"/>
  <c r="CR20" i="65"/>
  <c r="CQ19" i="65"/>
  <c r="CQ20" i="65"/>
  <c r="CP19" i="65"/>
  <c r="CP20" i="65"/>
  <c r="CO19" i="65"/>
  <c r="CO20" i="65"/>
  <c r="CN19" i="65"/>
  <c r="CN20" i="65"/>
  <c r="CM19" i="65"/>
  <c r="CM20" i="65"/>
  <c r="CL19" i="65"/>
  <c r="CL20" i="65"/>
  <c r="LX3" i="65"/>
  <c r="MA3" i="65"/>
  <c r="MB3" i="65"/>
  <c r="LX4" i="65"/>
  <c r="MA4" i="65"/>
  <c r="MB4" i="65"/>
  <c r="LX5" i="65"/>
  <c r="MA5" i="65"/>
  <c r="MB5" i="65"/>
  <c r="LX6" i="65"/>
  <c r="MA6" i="65"/>
  <c r="MB6" i="65"/>
  <c r="LX7" i="65"/>
  <c r="MA7" i="65"/>
  <c r="MB7" i="65"/>
  <c r="LX8" i="65"/>
  <c r="MA8" i="65"/>
  <c r="MB8" i="65"/>
  <c r="LX9" i="65"/>
  <c r="MA9" i="65"/>
  <c r="MB9" i="65"/>
  <c r="LX10" i="65"/>
  <c r="MA10" i="65"/>
  <c r="MB10" i="65"/>
  <c r="LX11" i="65"/>
  <c r="MA11" i="65"/>
  <c r="MB11" i="65"/>
  <c r="LX12" i="65"/>
  <c r="MA12" i="65"/>
  <c r="MB12" i="65"/>
  <c r="LX13" i="65"/>
  <c r="MA13" i="65"/>
  <c r="MB13" i="65"/>
  <c r="LX14" i="65"/>
  <c r="MA14" i="65"/>
  <c r="MB14" i="65"/>
  <c r="LX15" i="65"/>
  <c r="MA15" i="65"/>
  <c r="MB15" i="65"/>
  <c r="LX16" i="65"/>
  <c r="MA16" i="65"/>
  <c r="MB16" i="65"/>
  <c r="LX17" i="65"/>
  <c r="MA17" i="65"/>
  <c r="MB17" i="65"/>
  <c r="ML19" i="65"/>
  <c r="MK19" i="65"/>
  <c r="MJ19" i="65"/>
  <c r="MI19" i="65"/>
  <c r="MH19" i="65"/>
  <c r="MG19" i="65"/>
  <c r="LQ3" i="65"/>
  <c r="LT3" i="65"/>
  <c r="LU3" i="65"/>
  <c r="LQ4" i="65"/>
  <c r="LT4" i="65"/>
  <c r="LU4" i="65"/>
  <c r="LQ5" i="65"/>
  <c r="LT5" i="65"/>
  <c r="LU5" i="65"/>
  <c r="LQ6" i="65"/>
  <c r="LT6" i="65"/>
  <c r="LU6" i="65"/>
  <c r="LQ7" i="65"/>
  <c r="LT7" i="65"/>
  <c r="LU7" i="65"/>
  <c r="LQ8" i="65"/>
  <c r="LT8" i="65"/>
  <c r="LU8" i="65"/>
  <c r="LQ9" i="65"/>
  <c r="LT9" i="65"/>
  <c r="LU9" i="65"/>
  <c r="LQ10" i="65"/>
  <c r="LT10" i="65"/>
  <c r="LU10" i="65"/>
  <c r="LQ11" i="65"/>
  <c r="LT11" i="65"/>
  <c r="LU11" i="65"/>
  <c r="LQ12" i="65"/>
  <c r="LT12" i="65"/>
  <c r="LU12" i="65"/>
  <c r="LQ13" i="65"/>
  <c r="LT13" i="65"/>
  <c r="LU13" i="65"/>
  <c r="LQ14" i="65"/>
  <c r="LT14" i="65"/>
  <c r="LU14" i="65"/>
  <c r="LQ15" i="65"/>
  <c r="LT15" i="65"/>
  <c r="LU15" i="65"/>
  <c r="LQ16" i="65"/>
  <c r="LT16" i="65"/>
  <c r="LU16" i="65"/>
  <c r="LQ17" i="65"/>
  <c r="LT17" i="65"/>
  <c r="LU17" i="65"/>
  <c r="MF19" i="65"/>
  <c r="ME19" i="65"/>
  <c r="MD19" i="65"/>
  <c r="MC19" i="65"/>
  <c r="MB19" i="65"/>
  <c r="MA19" i="65"/>
  <c r="LZ19" i="65"/>
  <c r="LJ3" i="65"/>
  <c r="LM3" i="65"/>
  <c r="LN3" i="65"/>
  <c r="LJ4" i="65"/>
  <c r="LM4" i="65"/>
  <c r="LN4" i="65"/>
  <c r="LJ5" i="65"/>
  <c r="LM5" i="65"/>
  <c r="LN5" i="65"/>
  <c r="LJ6" i="65"/>
  <c r="LM6" i="65"/>
  <c r="LN6" i="65"/>
  <c r="LJ7" i="65"/>
  <c r="LM7" i="65"/>
  <c r="LN7" i="65"/>
  <c r="LJ8" i="65"/>
  <c r="LM8" i="65"/>
  <c r="LN8" i="65"/>
  <c r="LJ9" i="65"/>
  <c r="LM9" i="65"/>
  <c r="LN9" i="65"/>
  <c r="LJ10" i="65"/>
  <c r="LM10" i="65"/>
  <c r="LN10" i="65"/>
  <c r="LJ11" i="65"/>
  <c r="LM11" i="65"/>
  <c r="LN11" i="65"/>
  <c r="LJ12" i="65"/>
  <c r="LM12" i="65"/>
  <c r="LN12" i="65"/>
  <c r="LJ13" i="65"/>
  <c r="LM13" i="65"/>
  <c r="LN13" i="65"/>
  <c r="LJ14" i="65"/>
  <c r="LM14" i="65"/>
  <c r="LN14" i="65"/>
  <c r="LJ15" i="65"/>
  <c r="LM15" i="65"/>
  <c r="LN15" i="65"/>
  <c r="LJ16" i="65"/>
  <c r="LM16" i="65"/>
  <c r="LN16" i="65"/>
  <c r="LJ17" i="65"/>
  <c r="LM17" i="65"/>
  <c r="LN17" i="65"/>
  <c r="LY19" i="65"/>
  <c r="LX19" i="65"/>
  <c r="LW19" i="65"/>
  <c r="LV19" i="65"/>
  <c r="LU19" i="65"/>
  <c r="LT19" i="65"/>
  <c r="LS19" i="65"/>
  <c r="LC3" i="65"/>
  <c r="LF3" i="65"/>
  <c r="LG3" i="65"/>
  <c r="LC4" i="65"/>
  <c r="LF4" i="65"/>
  <c r="LG4" i="65"/>
  <c r="LC5" i="65"/>
  <c r="LF5" i="65"/>
  <c r="LG5" i="65"/>
  <c r="LC6" i="65"/>
  <c r="LF6" i="65"/>
  <c r="LG6" i="65"/>
  <c r="LC7" i="65"/>
  <c r="LF7" i="65"/>
  <c r="LG7" i="65"/>
  <c r="LC8" i="65"/>
  <c r="LF8" i="65"/>
  <c r="LG8" i="65"/>
  <c r="LC9" i="65"/>
  <c r="LF9" i="65"/>
  <c r="LG9" i="65"/>
  <c r="LC10" i="65"/>
  <c r="LF10" i="65"/>
  <c r="LG10" i="65"/>
  <c r="LC11" i="65"/>
  <c r="LF11" i="65"/>
  <c r="LG11" i="65"/>
  <c r="LC12" i="65"/>
  <c r="LF12" i="65"/>
  <c r="LG12" i="65"/>
  <c r="LC13" i="65"/>
  <c r="LF13" i="65"/>
  <c r="LG13" i="65"/>
  <c r="LC14" i="65"/>
  <c r="LF14" i="65"/>
  <c r="LG14" i="65"/>
  <c r="LC15" i="65"/>
  <c r="LF15" i="65"/>
  <c r="LG15" i="65"/>
  <c r="LC16" i="65"/>
  <c r="LF16" i="65"/>
  <c r="LG16" i="65"/>
  <c r="LC17" i="65"/>
  <c r="LF17" i="65"/>
  <c r="LG17" i="65"/>
  <c r="LR19" i="65"/>
  <c r="LQ19" i="65"/>
  <c r="LP19" i="65"/>
  <c r="LO19" i="65"/>
  <c r="LN19" i="65"/>
  <c r="LM19" i="65"/>
  <c r="LL19" i="65"/>
  <c r="JZ3" i="65"/>
  <c r="JW3" i="65"/>
  <c r="KB3" i="65"/>
  <c r="KC3" i="65"/>
  <c r="JZ4" i="65"/>
  <c r="JW4" i="65"/>
  <c r="KB4" i="65"/>
  <c r="KC4" i="65"/>
  <c r="JZ5" i="65"/>
  <c r="JW5" i="65"/>
  <c r="KB5" i="65"/>
  <c r="KC5" i="65"/>
  <c r="JZ6" i="65"/>
  <c r="JW6" i="65"/>
  <c r="KB6" i="65"/>
  <c r="KC6" i="65"/>
  <c r="JZ7" i="65"/>
  <c r="JW7" i="65"/>
  <c r="KB7" i="65"/>
  <c r="KC7" i="65"/>
  <c r="JZ8" i="65"/>
  <c r="JW8" i="65"/>
  <c r="KB8" i="65"/>
  <c r="KC8" i="65"/>
  <c r="JZ9" i="65"/>
  <c r="JW9" i="65"/>
  <c r="KB9" i="65"/>
  <c r="KC9" i="65"/>
  <c r="JZ10" i="65"/>
  <c r="JW10" i="65"/>
  <c r="KB10" i="65"/>
  <c r="KC10" i="65"/>
  <c r="JZ11" i="65"/>
  <c r="JW11" i="65"/>
  <c r="KB11" i="65"/>
  <c r="KC11" i="65"/>
  <c r="JZ12" i="65"/>
  <c r="JW12" i="65"/>
  <c r="KB12" i="65"/>
  <c r="KC12" i="65"/>
  <c r="JZ13" i="65"/>
  <c r="JW13" i="65"/>
  <c r="KB13" i="65"/>
  <c r="KC13" i="65"/>
  <c r="JZ14" i="65"/>
  <c r="JW14" i="65"/>
  <c r="KB14" i="65"/>
  <c r="KC14" i="65"/>
  <c r="JZ15" i="65"/>
  <c r="JW15" i="65"/>
  <c r="KB15" i="65"/>
  <c r="KC15" i="65"/>
  <c r="JZ16" i="65"/>
  <c r="JW16" i="65"/>
  <c r="KB16" i="65"/>
  <c r="KC16" i="65"/>
  <c r="JZ17" i="65"/>
  <c r="JW17" i="65"/>
  <c r="KB17" i="65"/>
  <c r="KC17" i="65"/>
  <c r="KN19" i="65"/>
  <c r="KM19" i="65"/>
  <c r="KA3" i="65"/>
  <c r="KA4" i="65"/>
  <c r="KA5" i="65"/>
  <c r="KA6" i="65"/>
  <c r="KA7" i="65"/>
  <c r="KA8" i="65"/>
  <c r="KA9" i="65"/>
  <c r="KA10" i="65"/>
  <c r="KA11" i="65"/>
  <c r="KA12" i="65"/>
  <c r="KA13" i="65"/>
  <c r="KA14" i="65"/>
  <c r="KA15" i="65"/>
  <c r="KA16" i="65"/>
  <c r="KA17" i="65"/>
  <c r="KL19" i="65"/>
  <c r="KK19" i="65"/>
  <c r="KJ19" i="65"/>
  <c r="KI19" i="65"/>
  <c r="KH19" i="65"/>
  <c r="KG19" i="65"/>
  <c r="KF19" i="65"/>
  <c r="IP3" i="65"/>
  <c r="IP4" i="65"/>
  <c r="IP5" i="65"/>
  <c r="IP6" i="65"/>
  <c r="IP7" i="65"/>
  <c r="IP8" i="65"/>
  <c r="IP9" i="65"/>
  <c r="IP10" i="65"/>
  <c r="IP11" i="65"/>
  <c r="IP12" i="65"/>
  <c r="IP13" i="65"/>
  <c r="IP14" i="65"/>
  <c r="IP15" i="65"/>
  <c r="IP16" i="65"/>
  <c r="IP17" i="65"/>
  <c r="IP19" i="65"/>
  <c r="IO19" i="65"/>
  <c r="IN19" i="65"/>
  <c r="IM3" i="65"/>
  <c r="IM4" i="65"/>
  <c r="IM5" i="65"/>
  <c r="IM6" i="65"/>
  <c r="IM7" i="65"/>
  <c r="IM8" i="65"/>
  <c r="IM9" i="65"/>
  <c r="IM10" i="65"/>
  <c r="IM11" i="65"/>
  <c r="IM12" i="65"/>
  <c r="IM13" i="65"/>
  <c r="IM14" i="65"/>
  <c r="IM15" i="65"/>
  <c r="IM16" i="65"/>
  <c r="IM17" i="65"/>
  <c r="IM19" i="65"/>
  <c r="IL3" i="65"/>
  <c r="IL4" i="65"/>
  <c r="IL5" i="65"/>
  <c r="IL6" i="65"/>
  <c r="IL7" i="65"/>
  <c r="IL8" i="65"/>
  <c r="IL9" i="65"/>
  <c r="IL10" i="65"/>
  <c r="IL11" i="65"/>
  <c r="IL12" i="65"/>
  <c r="IL13" i="65"/>
  <c r="IL14" i="65"/>
  <c r="IL15" i="65"/>
  <c r="IL16" i="65"/>
  <c r="IL17" i="65"/>
  <c r="IL19" i="65"/>
  <c r="IK19" i="65"/>
  <c r="IJ19" i="65"/>
  <c r="II3" i="65"/>
  <c r="II4" i="65"/>
  <c r="II5" i="65"/>
  <c r="II6" i="65"/>
  <c r="II7" i="65"/>
  <c r="II8" i="65"/>
  <c r="II9" i="65"/>
  <c r="II10" i="65"/>
  <c r="II11" i="65"/>
  <c r="II12" i="65"/>
  <c r="II13" i="65"/>
  <c r="II14" i="65"/>
  <c r="II15" i="65"/>
  <c r="II16" i="65"/>
  <c r="II17" i="65"/>
  <c r="II19" i="65"/>
  <c r="IG19" i="65"/>
  <c r="IF19" i="65"/>
  <c r="IE19" i="65"/>
  <c r="ID19" i="65"/>
  <c r="IC19" i="65"/>
  <c r="IB19" i="65"/>
  <c r="IA19" i="65"/>
  <c r="HZ19" i="65"/>
  <c r="HY19" i="65"/>
  <c r="HX19" i="65"/>
  <c r="HW19" i="65"/>
  <c r="HV19" i="65"/>
  <c r="HU19" i="65"/>
  <c r="HT19" i="65"/>
  <c r="HS19" i="65"/>
  <c r="HR19" i="65"/>
  <c r="HQ19" i="65"/>
  <c r="HP19" i="65"/>
  <c r="HO19" i="65"/>
  <c r="HN19" i="65"/>
  <c r="HM19" i="65"/>
  <c r="HL19" i="65"/>
  <c r="HK19" i="65"/>
  <c r="HJ19" i="65"/>
  <c r="HI19" i="65"/>
  <c r="HH19" i="65"/>
  <c r="HG19" i="65"/>
  <c r="HF19" i="65"/>
  <c r="HE19" i="65"/>
  <c r="HD19" i="65"/>
  <c r="HC19" i="65"/>
  <c r="HB19" i="65"/>
  <c r="HA19" i="65"/>
  <c r="GZ19" i="65"/>
  <c r="GY19" i="65"/>
  <c r="GX19" i="65"/>
  <c r="GW19" i="65"/>
  <c r="GV19" i="65"/>
  <c r="GU19" i="65"/>
  <c r="GT19" i="65"/>
  <c r="GS19" i="65"/>
  <c r="GR19" i="65"/>
  <c r="GP19" i="65"/>
  <c r="GO19" i="65"/>
  <c r="GN19" i="65"/>
  <c r="GM19" i="65"/>
  <c r="GL19" i="65"/>
  <c r="GK19" i="65"/>
  <c r="GJ19" i="65"/>
  <c r="GI19" i="65"/>
  <c r="MB18" i="65"/>
  <c r="MA18" i="65"/>
  <c r="LZ18" i="65"/>
  <c r="LY18" i="65"/>
  <c r="LX18" i="65"/>
  <c r="LW18" i="65"/>
  <c r="LV18" i="65"/>
  <c r="LU18" i="65"/>
  <c r="LT18" i="65"/>
  <c r="LS18" i="65"/>
  <c r="LR18" i="65"/>
  <c r="LQ18" i="65"/>
  <c r="LP18" i="65"/>
  <c r="LO18" i="65"/>
  <c r="LN18" i="65"/>
  <c r="LM18" i="65"/>
  <c r="LL18" i="65"/>
  <c r="LK18" i="65"/>
  <c r="LJ18" i="65"/>
  <c r="LI18" i="65"/>
  <c r="LH18" i="65"/>
  <c r="LG18" i="65"/>
  <c r="LF18" i="65"/>
  <c r="LE18" i="65"/>
  <c r="LD18" i="65"/>
  <c r="LC18" i="65"/>
  <c r="LB18" i="65"/>
  <c r="LA18" i="65"/>
  <c r="KC18" i="65"/>
  <c r="KB18" i="65"/>
  <c r="KA18" i="65"/>
  <c r="JZ18" i="65"/>
  <c r="JY18" i="65"/>
  <c r="JX18" i="65"/>
  <c r="JW18" i="65"/>
  <c r="JV18" i="65"/>
  <c r="JU18" i="65"/>
  <c r="IP18" i="65"/>
  <c r="IO18" i="65"/>
  <c r="IN18" i="65"/>
  <c r="IM18" i="65"/>
  <c r="IL18" i="65"/>
  <c r="IK18" i="65"/>
  <c r="IJ18" i="65"/>
  <c r="II18" i="65"/>
  <c r="IH18" i="65"/>
  <c r="IG18" i="65"/>
  <c r="IF18" i="65"/>
  <c r="IE18" i="65"/>
  <c r="ID18" i="65"/>
  <c r="IC18" i="65"/>
  <c r="IB18" i="65"/>
  <c r="IA18" i="65"/>
  <c r="HZ18" i="65"/>
  <c r="HY18" i="65"/>
  <c r="HX18" i="65"/>
  <c r="HW18" i="65"/>
  <c r="HV18" i="65"/>
  <c r="HU18" i="65"/>
  <c r="HT18" i="65"/>
  <c r="HS18" i="65"/>
  <c r="HR18" i="65"/>
  <c r="HQ18" i="65"/>
  <c r="HP18" i="65"/>
  <c r="HO18" i="65"/>
  <c r="HN18" i="65"/>
  <c r="HM18" i="65"/>
  <c r="HL18" i="65"/>
  <c r="HK18" i="65"/>
  <c r="HJ18" i="65"/>
  <c r="HI18" i="65"/>
  <c r="HH18" i="65"/>
  <c r="HG18" i="65"/>
  <c r="HE18" i="65"/>
  <c r="HD18" i="65"/>
  <c r="HB18" i="65"/>
  <c r="HA18" i="65"/>
  <c r="GZ18" i="65"/>
  <c r="GY18" i="65"/>
  <c r="GX18" i="65"/>
  <c r="GW18" i="65"/>
  <c r="GV18" i="65"/>
  <c r="GU18" i="65"/>
  <c r="GT18" i="65"/>
  <c r="GS18" i="65"/>
  <c r="GR18" i="65"/>
  <c r="GQ18" i="65"/>
  <c r="GP18" i="65"/>
  <c r="GO18" i="65"/>
  <c r="GN18" i="65"/>
  <c r="GL18" i="65"/>
  <c r="GK18" i="65"/>
  <c r="GJ18" i="65"/>
  <c r="GI18" i="65"/>
  <c r="GG18" i="65"/>
  <c r="GE18" i="65"/>
  <c r="GD18" i="65"/>
  <c r="GC18" i="65"/>
  <c r="GB18" i="65"/>
  <c r="GA18" i="65"/>
  <c r="FZ18" i="65"/>
  <c r="FY18" i="65"/>
  <c r="FX18" i="65"/>
  <c r="FW18" i="65"/>
  <c r="FV18" i="65"/>
  <c r="FU18" i="65"/>
  <c r="FT18" i="65"/>
  <c r="FS18" i="65"/>
  <c r="FR18" i="65"/>
  <c r="FQ18" i="65"/>
  <c r="FE18" i="65"/>
  <c r="FD18" i="65"/>
  <c r="ER18" i="65"/>
  <c r="EQ18" i="65"/>
  <c r="EO18" i="65"/>
  <c r="EL18" i="65"/>
  <c r="EK18" i="65"/>
  <c r="EJ18" i="65"/>
  <c r="EI18" i="65"/>
  <c r="EH18" i="65"/>
  <c r="EG18" i="65"/>
  <c r="EF18" i="65"/>
  <c r="EE18" i="65"/>
  <c r="ED18" i="65"/>
  <c r="EC18" i="65"/>
  <c r="EB18" i="65"/>
  <c r="EA18" i="65"/>
  <c r="DY18" i="65"/>
  <c r="DX18" i="65"/>
  <c r="DW18" i="65"/>
  <c r="DV18" i="65"/>
  <c r="DU18" i="65"/>
  <c r="DT18" i="65"/>
  <c r="DS18" i="65"/>
  <c r="DR18" i="65"/>
  <c r="DQ18" i="65"/>
  <c r="DP18" i="65"/>
  <c r="DO18" i="65"/>
  <c r="DN18" i="65"/>
  <c r="DL18" i="65"/>
  <c r="DK18" i="65"/>
  <c r="DJ18" i="65"/>
  <c r="DI18" i="65"/>
  <c r="DH18" i="65"/>
  <c r="DG18" i="65"/>
  <c r="DF18" i="65"/>
  <c r="DE18" i="65"/>
  <c r="DD18" i="65"/>
  <c r="DC18" i="65"/>
  <c r="DB18" i="65"/>
  <c r="DA18" i="65"/>
  <c r="CT18" i="65"/>
  <c r="CS18" i="65"/>
  <c r="CR18" i="65"/>
  <c r="CQ18" i="65"/>
  <c r="CP18" i="65"/>
  <c r="CO18" i="65"/>
  <c r="CN18" i="65"/>
  <c r="CM18" i="65"/>
  <c r="CL18" i="65"/>
  <c r="Y18" i="65"/>
  <c r="X18" i="65"/>
  <c r="W18" i="65"/>
  <c r="V18" i="65"/>
  <c r="U18" i="65"/>
  <c r="KD17" i="65"/>
  <c r="IT17" i="65"/>
  <c r="IR17" i="65"/>
  <c r="KD16" i="65"/>
  <c r="IT16" i="65"/>
  <c r="IR16" i="65"/>
  <c r="KD15" i="65"/>
  <c r="IT15" i="65"/>
  <c r="IR15" i="65"/>
  <c r="KD14" i="65"/>
  <c r="IR14" i="65"/>
  <c r="KD13" i="65"/>
  <c r="IR13" i="65"/>
  <c r="KD12" i="65"/>
  <c r="IT12" i="65"/>
  <c r="IR12" i="65"/>
  <c r="KD11" i="65"/>
  <c r="IT11" i="65"/>
  <c r="IR11" i="65"/>
  <c r="KD10" i="65"/>
  <c r="IR10" i="65"/>
  <c r="KD9" i="65"/>
  <c r="IR9" i="65"/>
  <c r="KD8" i="65"/>
  <c r="IT8" i="65"/>
  <c r="IR8" i="65"/>
  <c r="KD7" i="65"/>
  <c r="IT7" i="65"/>
  <c r="IR7" i="65"/>
  <c r="KD6" i="65"/>
  <c r="IT6" i="65"/>
  <c r="IR6" i="65"/>
  <c r="KD5" i="65"/>
  <c r="IT5" i="65"/>
  <c r="IR5" i="65"/>
  <c r="KD4" i="65"/>
  <c r="IT4" i="65"/>
  <c r="IR4" i="65"/>
  <c r="KD3" i="65"/>
  <c r="IT3" i="65"/>
  <c r="HQ26" i="25"/>
  <c r="HQ27" i="25"/>
  <c r="HE26" i="25"/>
  <c r="HE27" i="25"/>
  <c r="HA26" i="25"/>
  <c r="HA27" i="25"/>
  <c r="GV26" i="25"/>
  <c r="GV27" i="25"/>
  <c r="IE51" i="25"/>
  <c r="ID51" i="25"/>
  <c r="HZ51" i="25"/>
  <c r="IC51" i="25"/>
  <c r="IB51" i="25"/>
  <c r="IG51" i="25"/>
  <c r="IH51" i="25"/>
  <c r="IH49" i="25"/>
  <c r="II51" i="25"/>
  <c r="HW37" i="25"/>
  <c r="II37" i="25"/>
  <c r="IH37" i="25"/>
  <c r="IG37" i="25"/>
  <c r="IF37" i="25"/>
  <c r="IE37" i="25"/>
  <c r="ID37" i="25"/>
  <c r="IC37" i="25"/>
  <c r="IB37" i="25"/>
  <c r="IA37" i="25"/>
  <c r="HZ37" i="25"/>
  <c r="HY37" i="25"/>
  <c r="HX37" i="25"/>
  <c r="II36" i="25"/>
  <c r="IH36" i="25"/>
  <c r="IG36" i="25"/>
  <c r="IF36" i="25"/>
  <c r="IE36" i="25"/>
  <c r="ID36" i="25"/>
  <c r="IC36" i="25"/>
  <c r="IB36" i="25"/>
  <c r="IA36" i="25"/>
  <c r="HZ36" i="25"/>
  <c r="HY36" i="25"/>
  <c r="HX36" i="25"/>
  <c r="HW36" i="25"/>
  <c r="CM24" i="25"/>
  <c r="CM25" i="25"/>
  <c r="CN24" i="25"/>
  <c r="CN25" i="25"/>
  <c r="CO24" i="25"/>
  <c r="CO25" i="25"/>
  <c r="CP24" i="25"/>
  <c r="CP25" i="25"/>
  <c r="CQ24" i="25"/>
  <c r="CQ25" i="25"/>
  <c r="CR24" i="25"/>
  <c r="CR25" i="25"/>
  <c r="CS24" i="25"/>
  <c r="CS25" i="25"/>
  <c r="CT24" i="25"/>
  <c r="CT25" i="25"/>
  <c r="CL24" i="25"/>
  <c r="CL25" i="25"/>
  <c r="JB28" i="25"/>
  <c r="IX28" i="25"/>
  <c r="IT28" i="25"/>
  <c r="IP28" i="25"/>
  <c r="IS22" i="25"/>
  <c r="IP4" i="25"/>
  <c r="IP5" i="25"/>
  <c r="IP6" i="25"/>
  <c r="IP8" i="25"/>
  <c r="IP11" i="25"/>
  <c r="IP12" i="25"/>
  <c r="IP13" i="25"/>
  <c r="IP14" i="25"/>
  <c r="IP15" i="25"/>
  <c r="IP17" i="25"/>
  <c r="IP19" i="25"/>
  <c r="IP20" i="25"/>
  <c r="IP21" i="25"/>
  <c r="IP22" i="25"/>
  <c r="IP3" i="25"/>
  <c r="IL28" i="25"/>
  <c r="IH28" i="25"/>
  <c r="IH4" i="25"/>
  <c r="IH5" i="25"/>
  <c r="IH6" i="25"/>
  <c r="IH8" i="25"/>
  <c r="IH11" i="25"/>
  <c r="IH12" i="25"/>
  <c r="IH13" i="25"/>
  <c r="IH14" i="25"/>
  <c r="IH15" i="25"/>
  <c r="IH17" i="25"/>
  <c r="IH19" i="25"/>
  <c r="IH20" i="25"/>
  <c r="IH21" i="25"/>
  <c r="IH22" i="25"/>
  <c r="IH3" i="25"/>
  <c r="ID3" i="25"/>
  <c r="IC4" i="25"/>
  <c r="IC5" i="25"/>
  <c r="IC6" i="25"/>
  <c r="IC7" i="25"/>
  <c r="IC8" i="25"/>
  <c r="IC9" i="25"/>
  <c r="IC10" i="25"/>
  <c r="IC11" i="25"/>
  <c r="IC12" i="25"/>
  <c r="IC13" i="25"/>
  <c r="IC14" i="25"/>
  <c r="IC15" i="25"/>
  <c r="IC16" i="25"/>
  <c r="IC17" i="25"/>
  <c r="IC18" i="25"/>
  <c r="IC19" i="25"/>
  <c r="IC20" i="25"/>
  <c r="IC21" i="25"/>
  <c r="IC22" i="25"/>
  <c r="IC3" i="25"/>
  <c r="ID28" i="25"/>
  <c r="HZ28" i="25"/>
  <c r="HZ26" i="25"/>
  <c r="HV28" i="25"/>
  <c r="HR28" i="25"/>
  <c r="HN28" i="25"/>
  <c r="HJ28" i="25"/>
  <c r="HF28" i="25"/>
  <c r="HB28" i="25"/>
  <c r="GW28" i="25"/>
  <c r="IW26" i="25"/>
  <c r="HI26" i="25"/>
  <c r="HM26" i="25"/>
  <c r="HU26" i="25"/>
  <c r="HY26" i="25"/>
  <c r="IC26" i="25"/>
  <c r="IG26" i="25"/>
  <c r="IK26" i="25"/>
  <c r="IO26" i="25"/>
  <c r="IS26" i="25"/>
  <c r="JA26" i="25"/>
  <c r="GU23" i="25"/>
  <c r="GV3" i="25"/>
  <c r="GV4" i="25"/>
  <c r="GV5" i="25"/>
  <c r="GV6" i="25"/>
  <c r="GV8" i="25"/>
  <c r="GV11" i="25"/>
  <c r="GV12" i="25"/>
  <c r="GV13" i="25"/>
  <c r="GV14" i="25"/>
  <c r="GV15" i="25"/>
  <c r="GV17" i="25"/>
  <c r="GV19" i="25"/>
  <c r="GV20" i="25"/>
  <c r="GV21" i="25"/>
  <c r="GV22" i="25"/>
  <c r="GV23" i="25"/>
  <c r="GW3" i="25"/>
  <c r="GW4" i="25"/>
  <c r="GW5" i="25"/>
  <c r="GW6" i="25"/>
  <c r="GW8" i="25"/>
  <c r="GW11" i="25"/>
  <c r="GW12" i="25"/>
  <c r="GW13" i="25"/>
  <c r="GW14" i="25"/>
  <c r="GW15" i="25"/>
  <c r="GW17" i="25"/>
  <c r="GW19" i="25"/>
  <c r="GW20" i="25"/>
  <c r="GW21" i="25"/>
  <c r="GW22" i="25"/>
  <c r="GW23" i="25"/>
  <c r="GX3" i="25"/>
  <c r="GX4" i="25"/>
  <c r="GX5" i="25"/>
  <c r="GX6" i="25"/>
  <c r="GX8" i="25"/>
  <c r="GX11" i="25"/>
  <c r="GX12" i="25"/>
  <c r="GX13" i="25"/>
  <c r="GX14" i="25"/>
  <c r="GX15" i="25"/>
  <c r="GX17" i="25"/>
  <c r="GX19" i="25"/>
  <c r="GX20" i="25"/>
  <c r="GX21" i="25"/>
  <c r="GX22" i="25"/>
  <c r="GX23" i="25"/>
  <c r="GY23" i="25"/>
  <c r="GZ23" i="25"/>
  <c r="HA3" i="25"/>
  <c r="HA4" i="25"/>
  <c r="HA5" i="25"/>
  <c r="HA6" i="25"/>
  <c r="HA8" i="25"/>
  <c r="HA11" i="25"/>
  <c r="HA12" i="25"/>
  <c r="HA13" i="25"/>
  <c r="HA14" i="25"/>
  <c r="HA15" i="25"/>
  <c r="HA17" i="25"/>
  <c r="HA19" i="25"/>
  <c r="HA20" i="25"/>
  <c r="HA21" i="25"/>
  <c r="HA22" i="25"/>
  <c r="HA23" i="25"/>
  <c r="HB3" i="25"/>
  <c r="HB4" i="25"/>
  <c r="HB5" i="25"/>
  <c r="HB6" i="25"/>
  <c r="HB8" i="25"/>
  <c r="HB11" i="25"/>
  <c r="HB12" i="25"/>
  <c r="HB13" i="25"/>
  <c r="HB14" i="25"/>
  <c r="HB15" i="25"/>
  <c r="HB17" i="25"/>
  <c r="HB19" i="25"/>
  <c r="HB20" i="25"/>
  <c r="HB21" i="25"/>
  <c r="HB22" i="25"/>
  <c r="HB23" i="25"/>
  <c r="HC23" i="25"/>
  <c r="HD23" i="25"/>
  <c r="HE3" i="25"/>
  <c r="HE4" i="25"/>
  <c r="HE5" i="25"/>
  <c r="HE6" i="25"/>
  <c r="HE8" i="25"/>
  <c r="HE11" i="25"/>
  <c r="HE12" i="25"/>
  <c r="HE13" i="25"/>
  <c r="HE14" i="25"/>
  <c r="HE15" i="25"/>
  <c r="HE17" i="25"/>
  <c r="HE19" i="25"/>
  <c r="HE20" i="25"/>
  <c r="HE21" i="25"/>
  <c r="HE22" i="25"/>
  <c r="HE23" i="25"/>
  <c r="HF3" i="25"/>
  <c r="HF4" i="25"/>
  <c r="HF5" i="25"/>
  <c r="HF6" i="25"/>
  <c r="HF8" i="25"/>
  <c r="HF11" i="25"/>
  <c r="HF12" i="25"/>
  <c r="HF13" i="25"/>
  <c r="HF14" i="25"/>
  <c r="HF15" i="25"/>
  <c r="HF17" i="25"/>
  <c r="HF19" i="25"/>
  <c r="HF20" i="25"/>
  <c r="HF21" i="25"/>
  <c r="HF22" i="25"/>
  <c r="HF23" i="25"/>
  <c r="HG23" i="25"/>
  <c r="HH23" i="25"/>
  <c r="HI3" i="25"/>
  <c r="HI4" i="25"/>
  <c r="HI5" i="25"/>
  <c r="HI6" i="25"/>
  <c r="HI8" i="25"/>
  <c r="HI11" i="25"/>
  <c r="HI12" i="25"/>
  <c r="HI13" i="25"/>
  <c r="HI14" i="25"/>
  <c r="HI15" i="25"/>
  <c r="HI17" i="25"/>
  <c r="HI19" i="25"/>
  <c r="HI20" i="25"/>
  <c r="HI21" i="25"/>
  <c r="HI22" i="25"/>
  <c r="HI23" i="25"/>
  <c r="HJ3" i="25"/>
  <c r="HJ4" i="25"/>
  <c r="HJ5" i="25"/>
  <c r="HJ6" i="25"/>
  <c r="HJ8" i="25"/>
  <c r="HJ11" i="25"/>
  <c r="HJ12" i="25"/>
  <c r="HJ13" i="25"/>
  <c r="HJ14" i="25"/>
  <c r="HJ15" i="25"/>
  <c r="HJ17" i="25"/>
  <c r="HJ19" i="25"/>
  <c r="HJ20" i="25"/>
  <c r="HJ21" i="25"/>
  <c r="HJ22" i="25"/>
  <c r="HJ23" i="25"/>
  <c r="HK23" i="25"/>
  <c r="HL23" i="25"/>
  <c r="HM3" i="25"/>
  <c r="HM4" i="25"/>
  <c r="HM5" i="25"/>
  <c r="HM6" i="25"/>
  <c r="HM8" i="25"/>
  <c r="HM11" i="25"/>
  <c r="HM12" i="25"/>
  <c r="HM13" i="25"/>
  <c r="HM14" i="25"/>
  <c r="HM15" i="25"/>
  <c r="HM17" i="25"/>
  <c r="HM19" i="25"/>
  <c r="HM20" i="25"/>
  <c r="HM21" i="25"/>
  <c r="HM22" i="25"/>
  <c r="HM23" i="25"/>
  <c r="HN3" i="25"/>
  <c r="HN4" i="25"/>
  <c r="HN5" i="25"/>
  <c r="HN6" i="25"/>
  <c r="HN8" i="25"/>
  <c r="HN11" i="25"/>
  <c r="HN12" i="25"/>
  <c r="HN13" i="25"/>
  <c r="HN14" i="25"/>
  <c r="HN15" i="25"/>
  <c r="HN17" i="25"/>
  <c r="HN19" i="25"/>
  <c r="HN20" i="25"/>
  <c r="HN21" i="25"/>
  <c r="HN22" i="25"/>
  <c r="HN23" i="25"/>
  <c r="HO23" i="25"/>
  <c r="HP23" i="25"/>
  <c r="HQ3" i="25"/>
  <c r="HQ4" i="25"/>
  <c r="HQ5" i="25"/>
  <c r="HQ6" i="25"/>
  <c r="HQ8" i="25"/>
  <c r="HQ11" i="25"/>
  <c r="HQ12" i="25"/>
  <c r="HQ13" i="25"/>
  <c r="HQ14" i="25"/>
  <c r="HQ15" i="25"/>
  <c r="HQ17" i="25"/>
  <c r="HQ19" i="25"/>
  <c r="HQ20" i="25"/>
  <c r="HQ21" i="25"/>
  <c r="HQ22" i="25"/>
  <c r="HQ23" i="25"/>
  <c r="HR3" i="25"/>
  <c r="HR4" i="25"/>
  <c r="HR5" i="25"/>
  <c r="HR6" i="25"/>
  <c r="HR8" i="25"/>
  <c r="HR11" i="25"/>
  <c r="HR12" i="25"/>
  <c r="HR13" i="25"/>
  <c r="HR14" i="25"/>
  <c r="HR15" i="25"/>
  <c r="HR17" i="25"/>
  <c r="HR19" i="25"/>
  <c r="HR20" i="25"/>
  <c r="HR21" i="25"/>
  <c r="HR22" i="25"/>
  <c r="HR23" i="25"/>
  <c r="HS23" i="25"/>
  <c r="HT23" i="25"/>
  <c r="HU3" i="25"/>
  <c r="HU4" i="25"/>
  <c r="HU5" i="25"/>
  <c r="HU6" i="25"/>
  <c r="HU8" i="25"/>
  <c r="HU11" i="25"/>
  <c r="HU12" i="25"/>
  <c r="HU13" i="25"/>
  <c r="HU14" i="25"/>
  <c r="HU15" i="25"/>
  <c r="HU17" i="25"/>
  <c r="HU19" i="25"/>
  <c r="HU20" i="25"/>
  <c r="HU21" i="25"/>
  <c r="HU22" i="25"/>
  <c r="HU23" i="25"/>
  <c r="HV3" i="25"/>
  <c r="HV4" i="25"/>
  <c r="HV5" i="25"/>
  <c r="HV6" i="25"/>
  <c r="HV8" i="25"/>
  <c r="HV11" i="25"/>
  <c r="HV12" i="25"/>
  <c r="HV13" i="25"/>
  <c r="HV14" i="25"/>
  <c r="HV15" i="25"/>
  <c r="HV17" i="25"/>
  <c r="HV19" i="25"/>
  <c r="HV20" i="25"/>
  <c r="HV21" i="25"/>
  <c r="HV22" i="25"/>
  <c r="HV23" i="25"/>
  <c r="HW23" i="25"/>
  <c r="HX23" i="25"/>
  <c r="HY3" i="25"/>
  <c r="HY4" i="25"/>
  <c r="HY5" i="25"/>
  <c r="HY6" i="25"/>
  <c r="HY8" i="25"/>
  <c r="HY11" i="25"/>
  <c r="HY12" i="25"/>
  <c r="HY13" i="25"/>
  <c r="HY14" i="25"/>
  <c r="HY15" i="25"/>
  <c r="HY17" i="25"/>
  <c r="HY19" i="25"/>
  <c r="HY20" i="25"/>
  <c r="HY21" i="25"/>
  <c r="HY22" i="25"/>
  <c r="HY23" i="25"/>
  <c r="HZ3" i="25"/>
  <c r="HZ4" i="25"/>
  <c r="HZ5" i="25"/>
  <c r="HZ6" i="25"/>
  <c r="HZ8" i="25"/>
  <c r="HZ11" i="25"/>
  <c r="HZ12" i="25"/>
  <c r="HZ13" i="25"/>
  <c r="HZ14" i="25"/>
  <c r="HZ15" i="25"/>
  <c r="HZ17" i="25"/>
  <c r="HZ19" i="25"/>
  <c r="HZ20" i="25"/>
  <c r="HZ21" i="25"/>
  <c r="HZ22" i="25"/>
  <c r="HZ23" i="25"/>
  <c r="IA23" i="25"/>
  <c r="IB23" i="25"/>
  <c r="IC23" i="25"/>
  <c r="ID4" i="25"/>
  <c r="ID5" i="25"/>
  <c r="ID6" i="25"/>
  <c r="ID8" i="25"/>
  <c r="ID11" i="25"/>
  <c r="ID12" i="25"/>
  <c r="ID13" i="25"/>
  <c r="ID14" i="25"/>
  <c r="ID15" i="25"/>
  <c r="ID17" i="25"/>
  <c r="ID19" i="25"/>
  <c r="ID20" i="25"/>
  <c r="ID21" i="25"/>
  <c r="ID22" i="25"/>
  <c r="ID23" i="25"/>
  <c r="IE23" i="25"/>
  <c r="IF23" i="25"/>
  <c r="IG3" i="25"/>
  <c r="IG4" i="25"/>
  <c r="IG5" i="25"/>
  <c r="IG6" i="25"/>
  <c r="IG8" i="25"/>
  <c r="IG11" i="25"/>
  <c r="IG12" i="25"/>
  <c r="IG13" i="25"/>
  <c r="IG14" i="25"/>
  <c r="IG15" i="25"/>
  <c r="IG17" i="25"/>
  <c r="IG19" i="25"/>
  <c r="IG20" i="25"/>
  <c r="IG21" i="25"/>
  <c r="IG22" i="25"/>
  <c r="IG23" i="25"/>
  <c r="IH23" i="25"/>
  <c r="II23" i="25"/>
  <c r="IJ23" i="25"/>
  <c r="IK3" i="25"/>
  <c r="IK4" i="25"/>
  <c r="IK5" i="25"/>
  <c r="IK6" i="25"/>
  <c r="IK8" i="25"/>
  <c r="IK11" i="25"/>
  <c r="IK12" i="25"/>
  <c r="IK13" i="25"/>
  <c r="IK14" i="25"/>
  <c r="IK15" i="25"/>
  <c r="IK17" i="25"/>
  <c r="IK19" i="25"/>
  <c r="IK20" i="25"/>
  <c r="IK21" i="25"/>
  <c r="IK22" i="25"/>
  <c r="IK23" i="25"/>
  <c r="IL3" i="25"/>
  <c r="IL4" i="25"/>
  <c r="IL5" i="25"/>
  <c r="IL6" i="25"/>
  <c r="IL8" i="25"/>
  <c r="IL11" i="25"/>
  <c r="IL12" i="25"/>
  <c r="IL13" i="25"/>
  <c r="IL14" i="25"/>
  <c r="IL15" i="25"/>
  <c r="IL17" i="25"/>
  <c r="IL19" i="25"/>
  <c r="IL20" i="25"/>
  <c r="IL21" i="25"/>
  <c r="IL22" i="25"/>
  <c r="IL23" i="25"/>
  <c r="IM23" i="25"/>
  <c r="IN23" i="25"/>
  <c r="IO3" i="25"/>
  <c r="IO4" i="25"/>
  <c r="IO5" i="25"/>
  <c r="IO6" i="25"/>
  <c r="IO8" i="25"/>
  <c r="IO11" i="25"/>
  <c r="IO12" i="25"/>
  <c r="IO13" i="25"/>
  <c r="IO14" i="25"/>
  <c r="IO15" i="25"/>
  <c r="IO17" i="25"/>
  <c r="IO19" i="25"/>
  <c r="IO20" i="25"/>
  <c r="IO21" i="25"/>
  <c r="IO22" i="25"/>
  <c r="IO23" i="25"/>
  <c r="IP23" i="25"/>
  <c r="IQ23" i="25"/>
  <c r="IR23" i="25"/>
  <c r="IS3" i="25"/>
  <c r="IS4" i="25"/>
  <c r="IS5" i="25"/>
  <c r="IS6" i="25"/>
  <c r="IS8" i="25"/>
  <c r="IS11" i="25"/>
  <c r="IS12" i="25"/>
  <c r="IS13" i="25"/>
  <c r="IS14" i="25"/>
  <c r="IS15" i="25"/>
  <c r="IS17" i="25"/>
  <c r="IS19" i="25"/>
  <c r="IS20" i="25"/>
  <c r="IS21" i="25"/>
  <c r="IS23" i="25"/>
  <c r="IT3" i="25"/>
  <c r="IT4" i="25"/>
  <c r="IT5" i="25"/>
  <c r="IT6" i="25"/>
  <c r="IT8" i="25"/>
  <c r="IT11" i="25"/>
  <c r="IT12" i="25"/>
  <c r="IT13" i="25"/>
  <c r="IT14" i="25"/>
  <c r="IT15" i="25"/>
  <c r="IT17" i="25"/>
  <c r="IT19" i="25"/>
  <c r="IT20" i="25"/>
  <c r="IT21" i="25"/>
  <c r="IT22" i="25"/>
  <c r="IT23" i="25"/>
  <c r="IU23" i="25"/>
  <c r="IV23" i="25"/>
  <c r="IW3" i="25"/>
  <c r="IW4" i="25"/>
  <c r="IW5" i="25"/>
  <c r="IW6" i="25"/>
  <c r="IW8" i="25"/>
  <c r="IW11" i="25"/>
  <c r="IW12" i="25"/>
  <c r="IW13" i="25"/>
  <c r="IW14" i="25"/>
  <c r="IW15" i="25"/>
  <c r="IW17" i="25"/>
  <c r="IW19" i="25"/>
  <c r="IW20" i="25"/>
  <c r="IW21" i="25"/>
  <c r="IW22" i="25"/>
  <c r="IW23" i="25"/>
  <c r="IX3" i="25"/>
  <c r="IX4" i="25"/>
  <c r="IX5" i="25"/>
  <c r="IX6" i="25"/>
  <c r="IX8" i="25"/>
  <c r="IX11" i="25"/>
  <c r="IX12" i="25"/>
  <c r="IX13" i="25"/>
  <c r="IX14" i="25"/>
  <c r="IX15" i="25"/>
  <c r="IX17" i="25"/>
  <c r="IX19" i="25"/>
  <c r="IX20" i="25"/>
  <c r="IX21" i="25"/>
  <c r="IX22" i="25"/>
  <c r="IX23" i="25"/>
  <c r="IY23" i="25"/>
  <c r="IZ23" i="25"/>
  <c r="JA3" i="25"/>
  <c r="JA4" i="25"/>
  <c r="JA5" i="25"/>
  <c r="JA6" i="25"/>
  <c r="JA8" i="25"/>
  <c r="JA11" i="25"/>
  <c r="JA12" i="25"/>
  <c r="JA13" i="25"/>
  <c r="JA14" i="25"/>
  <c r="JA15" i="25"/>
  <c r="JA17" i="25"/>
  <c r="JA19" i="25"/>
  <c r="JA20" i="25"/>
  <c r="JA21" i="25"/>
  <c r="JA22" i="25"/>
  <c r="JA23" i="25"/>
  <c r="JB3" i="25"/>
  <c r="JB4" i="25"/>
  <c r="JB5" i="25"/>
  <c r="JB6" i="25"/>
  <c r="JB8" i="25"/>
  <c r="JB11" i="25"/>
  <c r="JB12" i="25"/>
  <c r="JB13" i="25"/>
  <c r="JB14" i="25"/>
  <c r="JB15" i="25"/>
  <c r="JB17" i="25"/>
  <c r="JB19" i="25"/>
  <c r="JB20" i="25"/>
  <c r="JB21" i="25"/>
  <c r="JB22" i="25"/>
  <c r="JB23" i="25"/>
  <c r="GU24" i="25"/>
  <c r="GV24" i="25"/>
  <c r="GW24" i="25"/>
  <c r="GX24" i="25"/>
  <c r="GY24" i="25"/>
  <c r="GZ24" i="25"/>
  <c r="HA24" i="25"/>
  <c r="HB24" i="25"/>
  <c r="HC24" i="25"/>
  <c r="HD24" i="25"/>
  <c r="HE24" i="25"/>
  <c r="HF24" i="25"/>
  <c r="HG24" i="25"/>
  <c r="HH24" i="25"/>
  <c r="HI24" i="25"/>
  <c r="HJ24" i="25"/>
  <c r="HK24" i="25"/>
  <c r="HL24" i="25"/>
  <c r="HM24" i="25"/>
  <c r="HN24" i="25"/>
  <c r="HO24" i="25"/>
  <c r="HP24" i="25"/>
  <c r="HQ24" i="25"/>
  <c r="HR24" i="25"/>
  <c r="HS24" i="25"/>
  <c r="HT24" i="25"/>
  <c r="HU24" i="25"/>
  <c r="HV24" i="25"/>
  <c r="HW24" i="25"/>
  <c r="HX24" i="25"/>
  <c r="HY24" i="25"/>
  <c r="HZ24" i="25"/>
  <c r="IA24" i="25"/>
  <c r="IB24" i="25"/>
  <c r="IC24" i="25"/>
  <c r="ID24" i="25"/>
  <c r="IE24" i="25"/>
  <c r="IF24" i="25"/>
  <c r="IG24" i="25"/>
  <c r="IH24" i="25"/>
  <c r="II24" i="25"/>
  <c r="IJ24" i="25"/>
  <c r="IK24" i="25"/>
  <c r="IL24" i="25"/>
  <c r="IM24" i="25"/>
  <c r="IN24" i="25"/>
  <c r="IO24" i="25"/>
  <c r="IP24" i="25"/>
  <c r="IQ24" i="25"/>
  <c r="IR24" i="25"/>
  <c r="IS24" i="25"/>
  <c r="IT24" i="25"/>
  <c r="IU24" i="25"/>
  <c r="IV24" i="25"/>
  <c r="IW24" i="25"/>
  <c r="IX24" i="25"/>
  <c r="IY24" i="25"/>
  <c r="IZ24" i="25"/>
  <c r="JA24" i="25"/>
  <c r="JB24" i="25"/>
  <c r="GT24" i="25"/>
  <c r="GT23" i="25"/>
  <c r="JC4" i="25"/>
  <c r="JC5" i="25"/>
  <c r="JC6" i="25"/>
  <c r="JC8" i="25"/>
  <c r="JC11" i="25"/>
  <c r="JC12" i="25"/>
  <c r="JC13" i="25"/>
  <c r="JC14" i="25"/>
  <c r="JC15" i="25"/>
  <c r="JC17" i="25"/>
  <c r="JC19" i="25"/>
  <c r="JC20" i="25"/>
  <c r="JC21" i="25"/>
  <c r="JC22" i="25"/>
  <c r="JC3" i="25"/>
  <c r="MI4" i="25"/>
  <c r="ML4" i="25"/>
  <c r="MM4" i="25"/>
  <c r="MI5" i="25"/>
  <c r="ML5" i="25"/>
  <c r="MM5" i="25"/>
  <c r="MI6" i="25"/>
  <c r="ML6" i="25"/>
  <c r="MM6" i="25"/>
  <c r="MI8" i="25"/>
  <c r="ML8" i="25"/>
  <c r="MM8" i="25"/>
  <c r="MI11" i="25"/>
  <c r="ML11" i="25"/>
  <c r="MM11" i="25"/>
  <c r="MI12" i="25"/>
  <c r="ML12" i="25"/>
  <c r="MM12" i="25"/>
  <c r="MI13" i="25"/>
  <c r="ML13" i="25"/>
  <c r="MM13" i="25"/>
  <c r="MI14" i="25"/>
  <c r="ML14" i="25"/>
  <c r="MM14" i="25"/>
  <c r="MI15" i="25"/>
  <c r="ML15" i="25"/>
  <c r="MM15" i="25"/>
  <c r="MI17" i="25"/>
  <c r="ML17" i="25"/>
  <c r="MM17" i="25"/>
  <c r="MI19" i="25"/>
  <c r="ML19" i="25"/>
  <c r="MM19" i="25"/>
  <c r="MI20" i="25"/>
  <c r="ML20" i="25"/>
  <c r="MM20" i="25"/>
  <c r="MI21" i="25"/>
  <c r="ML21" i="25"/>
  <c r="MM21" i="25"/>
  <c r="MI22" i="25"/>
  <c r="ML22" i="25"/>
  <c r="MM22" i="25"/>
  <c r="MI3" i="25"/>
  <c r="ML3" i="25"/>
  <c r="MM3" i="25"/>
  <c r="MB4" i="25"/>
  <c r="ME4" i="25"/>
  <c r="MF4" i="25"/>
  <c r="MB5" i="25"/>
  <c r="ME5" i="25"/>
  <c r="MF5" i="25"/>
  <c r="MB6" i="25"/>
  <c r="ME6" i="25"/>
  <c r="MF6" i="25"/>
  <c r="MB8" i="25"/>
  <c r="ME8" i="25"/>
  <c r="MF8" i="25"/>
  <c r="MB11" i="25"/>
  <c r="ME11" i="25"/>
  <c r="MF11" i="25"/>
  <c r="MB12" i="25"/>
  <c r="ME12" i="25"/>
  <c r="MF12" i="25"/>
  <c r="MB13" i="25"/>
  <c r="ME13" i="25"/>
  <c r="MF13" i="25"/>
  <c r="MB14" i="25"/>
  <c r="ME14" i="25"/>
  <c r="MF14" i="25"/>
  <c r="MB15" i="25"/>
  <c r="ME15" i="25"/>
  <c r="MF15" i="25"/>
  <c r="MB17" i="25"/>
  <c r="ME17" i="25"/>
  <c r="MF17" i="25"/>
  <c r="MB19" i="25"/>
  <c r="ME19" i="25"/>
  <c r="MF19" i="25"/>
  <c r="MB20" i="25"/>
  <c r="ME20" i="25"/>
  <c r="MF20" i="25"/>
  <c r="MB21" i="25"/>
  <c r="ME21" i="25"/>
  <c r="MF21" i="25"/>
  <c r="MB22" i="25"/>
  <c r="ME22" i="25"/>
  <c r="MF22" i="25"/>
  <c r="MB3" i="25"/>
  <c r="ME3" i="25"/>
  <c r="MF3" i="25"/>
  <c r="LT23" i="25"/>
  <c r="LU3" i="25"/>
  <c r="LU4" i="25"/>
  <c r="LU5" i="25"/>
  <c r="LU6" i="25"/>
  <c r="LU8" i="25"/>
  <c r="LU11" i="25"/>
  <c r="LU12" i="25"/>
  <c r="LU13" i="25"/>
  <c r="LU14" i="25"/>
  <c r="LU15" i="25"/>
  <c r="LU17" i="25"/>
  <c r="LU19" i="25"/>
  <c r="LU20" i="25"/>
  <c r="LU21" i="25"/>
  <c r="LU22" i="25"/>
  <c r="LU23" i="25"/>
  <c r="LV23" i="25"/>
  <c r="LW23" i="25"/>
  <c r="LX3" i="25"/>
  <c r="LX4" i="25"/>
  <c r="LX5" i="25"/>
  <c r="LX6" i="25"/>
  <c r="LX8" i="25"/>
  <c r="LX11" i="25"/>
  <c r="LX12" i="25"/>
  <c r="LX13" i="25"/>
  <c r="LX14" i="25"/>
  <c r="LX15" i="25"/>
  <c r="LX17" i="25"/>
  <c r="LX19" i="25"/>
  <c r="LX20" i="25"/>
  <c r="LX21" i="25"/>
  <c r="LX22" i="25"/>
  <c r="LX23" i="25"/>
  <c r="LY3" i="25"/>
  <c r="LY4" i="25"/>
  <c r="LY5" i="25"/>
  <c r="LY6" i="25"/>
  <c r="LY8" i="25"/>
  <c r="LY11" i="25"/>
  <c r="LY12" i="25"/>
  <c r="LY13" i="25"/>
  <c r="LY14" i="25"/>
  <c r="LY15" i="25"/>
  <c r="LY17" i="25"/>
  <c r="LY19" i="25"/>
  <c r="LY20" i="25"/>
  <c r="LY21" i="25"/>
  <c r="LY22" i="25"/>
  <c r="LY23" i="25"/>
  <c r="LZ23" i="25"/>
  <c r="MA23" i="25"/>
  <c r="MB23" i="25"/>
  <c r="MC23" i="25"/>
  <c r="MD23" i="25"/>
  <c r="ME23" i="25"/>
  <c r="MF23" i="25"/>
  <c r="MG23" i="25"/>
  <c r="MH23" i="25"/>
  <c r="MI23" i="25"/>
  <c r="MJ23" i="25"/>
  <c r="MK23" i="25"/>
  <c r="ML23" i="25"/>
  <c r="MM23" i="25"/>
  <c r="LT24" i="25"/>
  <c r="LU24" i="25"/>
  <c r="LV24" i="25"/>
  <c r="LW24" i="25"/>
  <c r="LX24" i="25"/>
  <c r="LY24" i="25"/>
  <c r="LZ24" i="25"/>
  <c r="MA24" i="25"/>
  <c r="MB24" i="25"/>
  <c r="MC24" i="25"/>
  <c r="MD24" i="25"/>
  <c r="ME24" i="25"/>
  <c r="MF24" i="25"/>
  <c r="MG24" i="25"/>
  <c r="MH24" i="25"/>
  <c r="MI24" i="25"/>
  <c r="MJ24" i="25"/>
  <c r="MK24" i="25"/>
  <c r="ML24" i="25"/>
  <c r="MM24" i="25"/>
  <c r="LN3" i="25"/>
  <c r="LN4" i="25"/>
  <c r="LN5" i="25"/>
  <c r="LN6" i="25"/>
  <c r="LN8" i="25"/>
  <c r="LN11" i="25"/>
  <c r="LN12" i="25"/>
  <c r="LN13" i="25"/>
  <c r="LN14" i="25"/>
  <c r="LN15" i="25"/>
  <c r="LN17" i="25"/>
  <c r="LN19" i="25"/>
  <c r="LN20" i="25"/>
  <c r="LN21" i="25"/>
  <c r="LN22" i="25"/>
  <c r="LN23" i="25"/>
  <c r="LN24" i="25"/>
  <c r="LQ3" i="25"/>
  <c r="LQ4" i="25"/>
  <c r="LQ5" i="25"/>
  <c r="LQ6" i="25"/>
  <c r="LQ8" i="25"/>
  <c r="LQ11" i="25"/>
  <c r="LQ12" i="25"/>
  <c r="LQ13" i="25"/>
  <c r="LQ14" i="25"/>
  <c r="LQ15" i="25"/>
  <c r="LQ17" i="25"/>
  <c r="LQ19" i="25"/>
  <c r="LQ20" i="25"/>
  <c r="LQ21" i="25"/>
  <c r="LQ22" i="25"/>
  <c r="LQ23" i="25"/>
  <c r="LR3" i="25"/>
  <c r="LR4" i="25"/>
  <c r="LR5" i="25"/>
  <c r="LR6" i="25"/>
  <c r="LR8" i="25"/>
  <c r="LR11" i="25"/>
  <c r="LR12" i="25"/>
  <c r="LR13" i="25"/>
  <c r="LR14" i="25"/>
  <c r="LR15" i="25"/>
  <c r="LR17" i="25"/>
  <c r="LR19" i="25"/>
  <c r="LR20" i="25"/>
  <c r="LR21" i="25"/>
  <c r="LR22" i="25"/>
  <c r="LR23" i="25"/>
  <c r="LQ24" i="25"/>
  <c r="LR24" i="25"/>
  <c r="LM24" i="25"/>
  <c r="LO24" i="25"/>
  <c r="LP24" i="25"/>
  <c r="LS24" i="25"/>
  <c r="LL24" i="25"/>
  <c r="LM23" i="25"/>
  <c r="LO23" i="25"/>
  <c r="LP23" i="25"/>
  <c r="LS23" i="25"/>
  <c r="LL23" i="25"/>
  <c r="KK4" i="25"/>
  <c r="KH4" i="25"/>
  <c r="KM4" i="25"/>
  <c r="KN4" i="25"/>
  <c r="KO4" i="25"/>
  <c r="KK5" i="25"/>
  <c r="KH5" i="25"/>
  <c r="KM5" i="25"/>
  <c r="KN5" i="25"/>
  <c r="KO5" i="25"/>
  <c r="KK6" i="25"/>
  <c r="KH6" i="25"/>
  <c r="KM6" i="25"/>
  <c r="KN6" i="25"/>
  <c r="KO6" i="25"/>
  <c r="KK8" i="25"/>
  <c r="KH8" i="25"/>
  <c r="KM8" i="25"/>
  <c r="KN8" i="25"/>
  <c r="KO8" i="25"/>
  <c r="KK11" i="25"/>
  <c r="KH11" i="25"/>
  <c r="KM11" i="25"/>
  <c r="KN11" i="25"/>
  <c r="KO11" i="25"/>
  <c r="KK12" i="25"/>
  <c r="KH12" i="25"/>
  <c r="KM12" i="25"/>
  <c r="KN12" i="25"/>
  <c r="KO12" i="25"/>
  <c r="KK13" i="25"/>
  <c r="KH13" i="25"/>
  <c r="KM13" i="25"/>
  <c r="KN13" i="25"/>
  <c r="KO13" i="25"/>
  <c r="KK14" i="25"/>
  <c r="KH14" i="25"/>
  <c r="KM14" i="25"/>
  <c r="KN14" i="25"/>
  <c r="KO14" i="25"/>
  <c r="KK15" i="25"/>
  <c r="KH15" i="25"/>
  <c r="KM15" i="25"/>
  <c r="KN15" i="25"/>
  <c r="KO15" i="25"/>
  <c r="KK17" i="25"/>
  <c r="KH17" i="25"/>
  <c r="KM17" i="25"/>
  <c r="KN17" i="25"/>
  <c r="KO17" i="25"/>
  <c r="KK19" i="25"/>
  <c r="KH19" i="25"/>
  <c r="KM19" i="25"/>
  <c r="KN19" i="25"/>
  <c r="KO19" i="25"/>
  <c r="KK20" i="25"/>
  <c r="KH20" i="25"/>
  <c r="KM20" i="25"/>
  <c r="KN20" i="25"/>
  <c r="KO20" i="25"/>
  <c r="KK21" i="25"/>
  <c r="KH21" i="25"/>
  <c r="KM21" i="25"/>
  <c r="KN21" i="25"/>
  <c r="KO21" i="25"/>
  <c r="KK22" i="25"/>
  <c r="KH22" i="25"/>
  <c r="KM22" i="25"/>
  <c r="KN22" i="25"/>
  <c r="KO22" i="25"/>
  <c r="KK3" i="25"/>
  <c r="KH3" i="25"/>
  <c r="KM3" i="25"/>
  <c r="KN3" i="25"/>
  <c r="KO3" i="25"/>
  <c r="GF23" i="25"/>
  <c r="GG23" i="25"/>
  <c r="GH23" i="25"/>
  <c r="GI23" i="25"/>
  <c r="GJ23" i="25"/>
  <c r="GK23" i="25"/>
  <c r="GL23" i="25"/>
  <c r="GE23" i="25"/>
  <c r="KG24" i="25"/>
  <c r="KH24" i="25"/>
  <c r="KI24" i="25"/>
  <c r="KJ24" i="25"/>
  <c r="KK24" i="25"/>
  <c r="KL3" i="25"/>
  <c r="KL4" i="25"/>
  <c r="KL5" i="25"/>
  <c r="KL6" i="25"/>
  <c r="KL8" i="25"/>
  <c r="KL11" i="25"/>
  <c r="KL12" i="25"/>
  <c r="KL13" i="25"/>
  <c r="KL14" i="25"/>
  <c r="KL15" i="25"/>
  <c r="KL17" i="25"/>
  <c r="KL19" i="25"/>
  <c r="KL20" i="25"/>
  <c r="KL21" i="25"/>
  <c r="KL22" i="25"/>
  <c r="KL24" i="25"/>
  <c r="KM24" i="25"/>
  <c r="KN24" i="25"/>
  <c r="KF24" i="25"/>
  <c r="KG23" i="25"/>
  <c r="KH23" i="25"/>
  <c r="KI23" i="25"/>
  <c r="KJ23" i="25"/>
  <c r="KK23" i="25"/>
  <c r="KL23" i="25"/>
  <c r="KM23" i="25"/>
  <c r="KN23" i="25"/>
  <c r="KF23" i="25"/>
  <c r="JO4" i="25"/>
  <c r="JO5" i="25"/>
  <c r="JO6" i="25"/>
  <c r="JO8" i="25"/>
  <c r="JO9" i="25"/>
  <c r="JO11" i="25"/>
  <c r="JO14" i="25"/>
  <c r="JO15" i="25"/>
  <c r="JO16" i="25"/>
  <c r="JO18" i="25"/>
  <c r="JO20" i="25"/>
  <c r="JO21" i="25"/>
  <c r="JO22" i="25"/>
  <c r="JO3" i="25"/>
  <c r="JE4" i="25"/>
  <c r="JE5" i="25"/>
  <c r="JE6" i="25"/>
  <c r="JE8" i="25"/>
  <c r="JE9" i="25"/>
  <c r="JE11" i="25"/>
  <c r="JE14" i="25"/>
  <c r="JE15" i="25"/>
  <c r="JE16" i="25"/>
  <c r="JE18" i="25"/>
  <c r="JE20" i="25"/>
  <c r="JE21" i="25"/>
  <c r="JE22" i="25"/>
  <c r="JE3" i="25"/>
  <c r="ER3" i="25"/>
  <c r="ER4" i="25"/>
  <c r="ER5" i="25"/>
  <c r="ER6" i="25"/>
  <c r="ER8" i="25"/>
  <c r="ER9" i="25"/>
  <c r="ER11" i="25"/>
  <c r="ER12" i="25"/>
  <c r="ER14" i="25"/>
  <c r="ER15" i="25"/>
  <c r="ER16" i="25"/>
  <c r="ER18" i="25"/>
  <c r="ER20" i="25"/>
  <c r="ER21" i="25"/>
  <c r="ER22" i="25"/>
  <c r="ER23" i="25"/>
  <c r="CL23" i="25"/>
  <c r="EH3" i="25"/>
  <c r="ED3" i="25"/>
  <c r="EL3" i="25"/>
  <c r="EH4" i="25"/>
  <c r="ED4" i="25"/>
  <c r="EL4" i="25"/>
  <c r="EH5" i="25"/>
  <c r="ED5" i="25"/>
  <c r="EL5" i="25"/>
  <c r="EH6" i="25"/>
  <c r="ED6" i="25"/>
  <c r="EL6" i="25"/>
  <c r="EH8" i="25"/>
  <c r="ED8" i="25"/>
  <c r="EL8" i="25"/>
  <c r="EH11" i="25"/>
  <c r="ED11" i="25"/>
  <c r="EL11" i="25"/>
  <c r="EH12" i="25"/>
  <c r="ED12" i="25"/>
  <c r="EL12" i="25"/>
  <c r="EH13" i="25"/>
  <c r="ED13" i="25"/>
  <c r="EL13" i="25"/>
  <c r="EH14" i="25"/>
  <c r="ED14" i="25"/>
  <c r="EL14" i="25"/>
  <c r="EH15" i="25"/>
  <c r="ED15" i="25"/>
  <c r="EL15" i="25"/>
  <c r="EH17" i="25"/>
  <c r="ED17" i="25"/>
  <c r="EL17" i="25"/>
  <c r="EH19" i="25"/>
  <c r="ED19" i="25"/>
  <c r="EL19" i="25"/>
  <c r="EH20" i="25"/>
  <c r="ED20" i="25"/>
  <c r="EL20" i="25"/>
  <c r="EH21" i="25"/>
  <c r="ED21" i="25"/>
  <c r="EL21" i="25"/>
  <c r="EH22" i="25"/>
  <c r="ED22" i="25"/>
  <c r="EL22" i="25"/>
  <c r="EL23" i="25"/>
  <c r="GM23" i="25"/>
  <c r="GN23" i="25"/>
  <c r="GO23" i="25"/>
  <c r="GP23" i="25"/>
  <c r="GR23" i="25"/>
  <c r="GD23" i="25"/>
  <c r="GC23" i="25"/>
  <c r="GB23" i="25"/>
  <c r="GA23" i="25"/>
  <c r="FZ23" i="25"/>
  <c r="FY23" i="25"/>
  <c r="FX23" i="25"/>
  <c r="FW23" i="25"/>
  <c r="FV23" i="25"/>
  <c r="FU23" i="25"/>
  <c r="FT23" i="25"/>
  <c r="FS23" i="25"/>
  <c r="FR23" i="25"/>
  <c r="FQ23" i="25"/>
  <c r="FP23" i="25"/>
  <c r="FO23" i="25"/>
  <c r="FN23" i="25"/>
  <c r="FM23" i="25"/>
  <c r="FL23" i="25"/>
  <c r="FK23" i="25"/>
  <c r="FJ23" i="25"/>
  <c r="FI23" i="25"/>
  <c r="FH23" i="25"/>
  <c r="FG23" i="25"/>
  <c r="FF23" i="25"/>
  <c r="FE23" i="25"/>
  <c r="FD23" i="25"/>
  <c r="EQ23" i="25"/>
  <c r="EO23" i="25"/>
  <c r="EK3" i="25"/>
  <c r="EK4" i="25"/>
  <c r="EK5" i="25"/>
  <c r="EK6" i="25"/>
  <c r="EK8" i="25"/>
  <c r="EK11" i="25"/>
  <c r="EK12" i="25"/>
  <c r="EK13" i="25"/>
  <c r="EK14" i="25"/>
  <c r="EK15" i="25"/>
  <c r="EK17" i="25"/>
  <c r="EK19" i="25"/>
  <c r="EK20" i="25"/>
  <c r="EK21" i="25"/>
  <c r="EK22" i="25"/>
  <c r="EK23" i="25"/>
  <c r="EJ3" i="25"/>
  <c r="EJ4" i="25"/>
  <c r="EJ5" i="25"/>
  <c r="EJ6" i="25"/>
  <c r="EJ8" i="25"/>
  <c r="EJ11" i="25"/>
  <c r="EJ12" i="25"/>
  <c r="EJ13" i="25"/>
  <c r="EJ14" i="25"/>
  <c r="EJ15" i="25"/>
  <c r="EJ17" i="25"/>
  <c r="EJ19" i="25"/>
  <c r="EJ20" i="25"/>
  <c r="EJ21" i="25"/>
  <c r="EJ22" i="25"/>
  <c r="EJ23" i="25"/>
  <c r="EI3" i="25"/>
  <c r="EI4" i="25"/>
  <c r="EI5" i="25"/>
  <c r="EI6" i="25"/>
  <c r="EI8" i="25"/>
  <c r="EI11" i="25"/>
  <c r="EI12" i="25"/>
  <c r="EI13" i="25"/>
  <c r="EI14" i="25"/>
  <c r="EI15" i="25"/>
  <c r="EI17" i="25"/>
  <c r="EI19" i="25"/>
  <c r="EI20" i="25"/>
  <c r="EI21" i="25"/>
  <c r="EI22" i="25"/>
  <c r="EI23" i="25"/>
  <c r="EH23" i="25"/>
  <c r="EG23" i="25"/>
  <c r="EF23" i="25"/>
  <c r="EE23" i="25"/>
  <c r="ED23" i="25"/>
  <c r="EC23" i="25"/>
  <c r="EB23" i="25"/>
  <c r="EA23" i="25"/>
  <c r="DU3" i="25"/>
  <c r="DQ3" i="25"/>
  <c r="DY3" i="25"/>
  <c r="DU4" i="25"/>
  <c r="DQ4" i="25"/>
  <c r="DY4" i="25"/>
  <c r="DU5" i="25"/>
  <c r="DQ5" i="25"/>
  <c r="DY5" i="25"/>
  <c r="DU6" i="25"/>
  <c r="DQ6" i="25"/>
  <c r="DY6" i="25"/>
  <c r="DU8" i="25"/>
  <c r="DQ8" i="25"/>
  <c r="DY8" i="25"/>
  <c r="DU11" i="25"/>
  <c r="DQ11" i="25"/>
  <c r="DY11" i="25"/>
  <c r="DU12" i="25"/>
  <c r="DQ12" i="25"/>
  <c r="DY12" i="25"/>
  <c r="DU13" i="25"/>
  <c r="DQ13" i="25"/>
  <c r="DY13" i="25"/>
  <c r="DU14" i="25"/>
  <c r="DQ14" i="25"/>
  <c r="DY14" i="25"/>
  <c r="DU15" i="25"/>
  <c r="DQ15" i="25"/>
  <c r="DY15" i="25"/>
  <c r="DU17" i="25"/>
  <c r="DQ17" i="25"/>
  <c r="DY17" i="25"/>
  <c r="DU19" i="25"/>
  <c r="DQ19" i="25"/>
  <c r="DY19" i="25"/>
  <c r="DU20" i="25"/>
  <c r="DQ20" i="25"/>
  <c r="DY20" i="25"/>
  <c r="DU21" i="25"/>
  <c r="DQ21" i="25"/>
  <c r="DY21" i="25"/>
  <c r="DU22" i="25"/>
  <c r="DQ22" i="25"/>
  <c r="DY22" i="25"/>
  <c r="DY23" i="25"/>
  <c r="DX3" i="25"/>
  <c r="DX4" i="25"/>
  <c r="DX5" i="25"/>
  <c r="DX6" i="25"/>
  <c r="DX8" i="25"/>
  <c r="DX11" i="25"/>
  <c r="DX12" i="25"/>
  <c r="DX13" i="25"/>
  <c r="DX14" i="25"/>
  <c r="DX15" i="25"/>
  <c r="DX17" i="25"/>
  <c r="DX19" i="25"/>
  <c r="DX20" i="25"/>
  <c r="DX21" i="25"/>
  <c r="DX22" i="25"/>
  <c r="DX23" i="25"/>
  <c r="DW3" i="25"/>
  <c r="DW4" i="25"/>
  <c r="DW5" i="25"/>
  <c r="DW6" i="25"/>
  <c r="DW8" i="25"/>
  <c r="DW11" i="25"/>
  <c r="DW12" i="25"/>
  <c r="DW13" i="25"/>
  <c r="DW14" i="25"/>
  <c r="DW15" i="25"/>
  <c r="DW17" i="25"/>
  <c r="DW19" i="25"/>
  <c r="DW20" i="25"/>
  <c r="DW21" i="25"/>
  <c r="DW22" i="25"/>
  <c r="DW23" i="25"/>
  <c r="DV3" i="25"/>
  <c r="DV4" i="25"/>
  <c r="DV5" i="25"/>
  <c r="DV6" i="25"/>
  <c r="DV8" i="25"/>
  <c r="DV11" i="25"/>
  <c r="DV12" i="25"/>
  <c r="DV13" i="25"/>
  <c r="DV14" i="25"/>
  <c r="DV15" i="25"/>
  <c r="DV17" i="25"/>
  <c r="DV19" i="25"/>
  <c r="DV20" i="25"/>
  <c r="DV21" i="25"/>
  <c r="DV22" i="25"/>
  <c r="DV23" i="25"/>
  <c r="DU23" i="25"/>
  <c r="DT23" i="25"/>
  <c r="DS23" i="25"/>
  <c r="DR23" i="25"/>
  <c r="DQ23" i="25"/>
  <c r="DP23" i="25"/>
  <c r="DO23" i="25"/>
  <c r="DN23" i="25"/>
  <c r="DH3" i="25"/>
  <c r="DD3" i="25"/>
  <c r="DL3" i="25"/>
  <c r="DH4" i="25"/>
  <c r="DD4" i="25"/>
  <c r="DL4" i="25"/>
  <c r="DH5" i="25"/>
  <c r="DD5" i="25"/>
  <c r="DL5" i="25"/>
  <c r="DH6" i="25"/>
  <c r="DD6" i="25"/>
  <c r="DL6" i="25"/>
  <c r="DH8" i="25"/>
  <c r="DD8" i="25"/>
  <c r="DL8" i="25"/>
  <c r="DH11" i="25"/>
  <c r="DD11" i="25"/>
  <c r="DL11" i="25"/>
  <c r="DH12" i="25"/>
  <c r="DD12" i="25"/>
  <c r="DL12" i="25"/>
  <c r="DH13" i="25"/>
  <c r="DD13" i="25"/>
  <c r="DL13" i="25"/>
  <c r="DH14" i="25"/>
  <c r="DD14" i="25"/>
  <c r="DL14" i="25"/>
  <c r="DH15" i="25"/>
  <c r="DD15" i="25"/>
  <c r="DL15" i="25"/>
  <c r="DH17" i="25"/>
  <c r="DD17" i="25"/>
  <c r="DL17" i="25"/>
  <c r="DH19" i="25"/>
  <c r="DD19" i="25"/>
  <c r="DL19" i="25"/>
  <c r="DH20" i="25"/>
  <c r="DD20" i="25"/>
  <c r="DL20" i="25"/>
  <c r="DH21" i="25"/>
  <c r="DD21" i="25"/>
  <c r="DL21" i="25"/>
  <c r="DH22" i="25"/>
  <c r="DD22" i="25"/>
  <c r="DL22" i="25"/>
  <c r="DL23" i="25"/>
  <c r="DK3" i="25"/>
  <c r="DK4" i="25"/>
  <c r="DK5" i="25"/>
  <c r="DK6" i="25"/>
  <c r="DK8" i="25"/>
  <c r="DK11" i="25"/>
  <c r="DK12" i="25"/>
  <c r="DK13" i="25"/>
  <c r="DK14" i="25"/>
  <c r="DK15" i="25"/>
  <c r="DK17" i="25"/>
  <c r="DK19" i="25"/>
  <c r="DK20" i="25"/>
  <c r="DK21" i="25"/>
  <c r="DK22" i="25"/>
  <c r="DK23" i="25"/>
  <c r="DJ3" i="25"/>
  <c r="DJ4" i="25"/>
  <c r="DJ5" i="25"/>
  <c r="DJ6" i="25"/>
  <c r="DJ8" i="25"/>
  <c r="DJ11" i="25"/>
  <c r="DJ12" i="25"/>
  <c r="DJ13" i="25"/>
  <c r="DJ14" i="25"/>
  <c r="DJ15" i="25"/>
  <c r="DJ17" i="25"/>
  <c r="DJ19" i="25"/>
  <c r="DJ20" i="25"/>
  <c r="DJ21" i="25"/>
  <c r="DJ22" i="25"/>
  <c r="DJ23" i="25"/>
  <c r="DI3" i="25"/>
  <c r="DI4" i="25"/>
  <c r="DI5" i="25"/>
  <c r="DI6" i="25"/>
  <c r="DI8" i="25"/>
  <c r="DI11" i="25"/>
  <c r="DI12" i="25"/>
  <c r="DI13" i="25"/>
  <c r="DI14" i="25"/>
  <c r="DI15" i="25"/>
  <c r="DI17" i="25"/>
  <c r="DI19" i="25"/>
  <c r="DI20" i="25"/>
  <c r="DI21" i="25"/>
  <c r="DI22" i="25"/>
  <c r="DI23" i="25"/>
  <c r="DH23" i="25"/>
  <c r="DG23" i="25"/>
  <c r="DF23" i="25"/>
  <c r="DE23" i="25"/>
  <c r="DD23" i="25"/>
  <c r="DC23" i="25"/>
  <c r="DB23" i="25"/>
  <c r="DA23" i="25"/>
  <c r="CT23" i="25"/>
  <c r="CS23" i="25"/>
  <c r="CR23" i="25"/>
  <c r="CQ23" i="25"/>
  <c r="CP23" i="25"/>
  <c r="CO23" i="25"/>
  <c r="CN23" i="25"/>
  <c r="CM23" i="25"/>
  <c r="Y23" i="25"/>
  <c r="X23" i="25"/>
  <c r="W23" i="25"/>
  <c r="V23" i="25"/>
  <c r="U23" i="25"/>
  <c r="BY22" i="25"/>
  <c r="BU22" i="25"/>
  <c r="BY21" i="25"/>
  <c r="BU21" i="25"/>
  <c r="BY20" i="25"/>
  <c r="BU20" i="25"/>
  <c r="BY19" i="25"/>
  <c r="BY18" i="25"/>
  <c r="BU18" i="25"/>
  <c r="BY17" i="25"/>
  <c r="BY16" i="25"/>
  <c r="BU16" i="25"/>
  <c r="BY15" i="25"/>
  <c r="BU15" i="25"/>
  <c r="BY14" i="25"/>
  <c r="BU14" i="25"/>
  <c r="BY13" i="25"/>
  <c r="BY12" i="25"/>
  <c r="BU12" i="25"/>
  <c r="BY11" i="25"/>
  <c r="BU11" i="25"/>
  <c r="BY10" i="25"/>
  <c r="BY9" i="25"/>
  <c r="BU9" i="25"/>
  <c r="BY8" i="25"/>
  <c r="BU8" i="25"/>
  <c r="BY7" i="25"/>
  <c r="BY6" i="25"/>
  <c r="BU6" i="25"/>
  <c r="BY5" i="25"/>
  <c r="BU5" i="25"/>
  <c r="BY4" i="25"/>
  <c r="BU4" i="25"/>
  <c r="BY3" i="25"/>
  <c r="BU3" i="25"/>
  <c r="FZ23" i="20"/>
  <c r="GA23" i="20"/>
  <c r="GB23" i="20"/>
  <c r="GC23" i="20"/>
  <c r="GD23" i="20"/>
  <c r="GE23" i="20"/>
  <c r="GF23" i="20"/>
  <c r="GG23" i="20"/>
  <c r="FO23" i="20"/>
  <c r="FP23" i="20"/>
  <c r="FQ23" i="20"/>
  <c r="FR23" i="20"/>
  <c r="FS23" i="20"/>
  <c r="FT23" i="20"/>
  <c r="FU23" i="20"/>
  <c r="FV23" i="20"/>
  <c r="FW23" i="20"/>
  <c r="FX23" i="20"/>
  <c r="FY23" i="20"/>
  <c r="FB23" i="20"/>
  <c r="FC23" i="20"/>
  <c r="FD23" i="20"/>
  <c r="FE23" i="20"/>
  <c r="FF23" i="20"/>
  <c r="FG23" i="20"/>
  <c r="FH23" i="20"/>
  <c r="FI23" i="20"/>
  <c r="FJ23" i="20"/>
  <c r="FK23" i="20"/>
  <c r="FL23" i="20"/>
  <c r="FM23" i="20"/>
  <c r="FN23" i="20"/>
  <c r="FA23" i="20"/>
  <c r="V23" i="20"/>
  <c r="W23" i="20"/>
  <c r="X23" i="20"/>
  <c r="Y23" i="20"/>
  <c r="U23" i="20"/>
  <c r="DL52" i="3"/>
  <c r="DL4" i="3"/>
  <c r="DL5" i="3"/>
  <c r="DL6" i="3"/>
  <c r="DL7" i="3"/>
  <c r="DL8" i="3"/>
  <c r="DL9" i="3"/>
  <c r="DL10" i="3"/>
  <c r="DL11" i="3"/>
  <c r="DL12" i="3"/>
  <c r="DL13" i="3"/>
  <c r="DL14" i="3"/>
  <c r="DL15" i="3"/>
  <c r="DL16" i="3"/>
  <c r="DL17" i="3"/>
  <c r="DL18" i="3"/>
  <c r="DL19" i="3"/>
  <c r="DL20" i="3"/>
  <c r="DL21" i="3"/>
  <c r="DL22" i="3"/>
  <c r="DL23" i="3"/>
  <c r="DM3" i="3"/>
  <c r="DM4" i="3"/>
  <c r="DM5" i="3"/>
  <c r="DM6" i="3"/>
  <c r="DM7" i="3"/>
  <c r="DM8" i="3"/>
  <c r="DM9" i="3"/>
  <c r="DM10" i="3"/>
  <c r="DM11" i="3"/>
  <c r="DM12" i="3"/>
  <c r="DM13" i="3"/>
  <c r="DM14" i="3"/>
  <c r="DM15" i="3"/>
  <c r="DM16" i="3"/>
  <c r="DM17" i="3"/>
  <c r="DM18" i="3"/>
  <c r="DM19" i="3"/>
  <c r="DM20" i="3"/>
  <c r="DM21" i="3"/>
  <c r="DM22" i="3"/>
  <c r="DM23" i="3"/>
  <c r="DN3" i="3"/>
  <c r="DN4" i="3"/>
  <c r="DN5" i="3"/>
  <c r="DN6" i="3"/>
  <c r="DN7" i="3"/>
  <c r="DN8" i="3"/>
  <c r="DN9" i="3"/>
  <c r="DN10" i="3"/>
  <c r="DN11" i="3"/>
  <c r="DN12" i="3"/>
  <c r="DN13" i="3"/>
  <c r="DN14" i="3"/>
  <c r="DN15" i="3"/>
  <c r="DN16" i="3"/>
  <c r="DN17" i="3"/>
  <c r="DN18" i="3"/>
  <c r="DN19" i="3"/>
  <c r="DN20" i="3"/>
  <c r="DN21" i="3"/>
  <c r="DN22" i="3"/>
  <c r="DN23" i="3"/>
  <c r="DO3" i="3"/>
  <c r="DO4" i="3"/>
  <c r="DO5" i="3"/>
  <c r="DO6" i="3"/>
  <c r="DO7" i="3"/>
  <c r="DO8" i="3"/>
  <c r="DO9" i="3"/>
  <c r="DO10" i="3"/>
  <c r="DO11" i="3"/>
  <c r="DO12" i="3"/>
  <c r="DO13" i="3"/>
  <c r="DO14" i="3"/>
  <c r="DO15" i="3"/>
  <c r="DO16" i="3"/>
  <c r="DO17" i="3"/>
  <c r="DO18" i="3"/>
  <c r="DO19" i="3"/>
  <c r="DO20" i="3"/>
  <c r="DO21" i="3"/>
  <c r="DO22" i="3"/>
  <c r="DO23" i="3"/>
  <c r="DP3" i="3"/>
  <c r="DP4" i="3"/>
  <c r="DP5" i="3"/>
  <c r="DP6" i="3"/>
  <c r="DP7" i="3"/>
  <c r="DP8" i="3"/>
  <c r="DP9" i="3"/>
  <c r="DP10" i="3"/>
  <c r="DP11" i="3"/>
  <c r="DP12" i="3"/>
  <c r="DP13" i="3"/>
  <c r="DP14" i="3"/>
  <c r="DP15" i="3"/>
  <c r="DP16" i="3"/>
  <c r="DP17" i="3"/>
  <c r="DP18" i="3"/>
  <c r="DP19" i="3"/>
  <c r="DP20" i="3"/>
  <c r="DP21" i="3"/>
  <c r="DP22" i="3"/>
  <c r="DP23" i="3"/>
  <c r="DQ3" i="3"/>
  <c r="DQ4" i="3"/>
  <c r="DQ5" i="3"/>
  <c r="DQ6" i="3"/>
  <c r="DQ7" i="3"/>
  <c r="DQ8" i="3"/>
  <c r="DQ9" i="3"/>
  <c r="DQ10" i="3"/>
  <c r="DQ11" i="3"/>
  <c r="DQ12" i="3"/>
  <c r="DQ13" i="3"/>
  <c r="DQ14" i="3"/>
  <c r="DQ15" i="3"/>
  <c r="DQ16" i="3"/>
  <c r="DQ17" i="3"/>
  <c r="DQ18" i="3"/>
  <c r="DQ19" i="3"/>
  <c r="DQ20" i="3"/>
  <c r="DQ21" i="3"/>
  <c r="DQ22" i="3"/>
  <c r="DQ23" i="3"/>
  <c r="DR3" i="3"/>
  <c r="DR4" i="3"/>
  <c r="DR5" i="3"/>
  <c r="DR6" i="3"/>
  <c r="DR7" i="3"/>
  <c r="DR8" i="3"/>
  <c r="DR9" i="3"/>
  <c r="DR10" i="3"/>
  <c r="DR11" i="3"/>
  <c r="DR12" i="3"/>
  <c r="DR13" i="3"/>
  <c r="DR14" i="3"/>
  <c r="DR15" i="3"/>
  <c r="DR16" i="3"/>
  <c r="DR17" i="3"/>
  <c r="DR18" i="3"/>
  <c r="DR19" i="3"/>
  <c r="DR20" i="3"/>
  <c r="DR21" i="3"/>
  <c r="DR22" i="3"/>
  <c r="DR23" i="3"/>
  <c r="DS3" i="3"/>
  <c r="DS4" i="3"/>
  <c r="DS5" i="3"/>
  <c r="DS6" i="3"/>
  <c r="DS7" i="3"/>
  <c r="DS8" i="3"/>
  <c r="DS9" i="3"/>
  <c r="DS10" i="3"/>
  <c r="DS11" i="3"/>
  <c r="DS12" i="3"/>
  <c r="DS13" i="3"/>
  <c r="DS14" i="3"/>
  <c r="DS15" i="3"/>
  <c r="DS16" i="3"/>
  <c r="DS17" i="3"/>
  <c r="DS18" i="3"/>
  <c r="DS19" i="3"/>
  <c r="DS20" i="3"/>
  <c r="DS21" i="3"/>
  <c r="DS22" i="3"/>
  <c r="DS23" i="3"/>
  <c r="DT3" i="3"/>
  <c r="DT4" i="3"/>
  <c r="DT5" i="3"/>
  <c r="DT6" i="3"/>
  <c r="DT7" i="3"/>
  <c r="DT8" i="3"/>
  <c r="DT9" i="3"/>
  <c r="DT10" i="3"/>
  <c r="DT11" i="3"/>
  <c r="DT12" i="3"/>
  <c r="DT13" i="3"/>
  <c r="DT14" i="3"/>
  <c r="DT15" i="3"/>
  <c r="DT16" i="3"/>
  <c r="DT17" i="3"/>
  <c r="DT18" i="3"/>
  <c r="DT19" i="3"/>
  <c r="DT20" i="3"/>
  <c r="DT21" i="3"/>
  <c r="DT22" i="3"/>
  <c r="DT23" i="3"/>
  <c r="DU3" i="3"/>
  <c r="DU4" i="3"/>
  <c r="DU5" i="3"/>
  <c r="DU6" i="3"/>
  <c r="DU7" i="3"/>
  <c r="DU8" i="3"/>
  <c r="DU9" i="3"/>
  <c r="DU10" i="3"/>
  <c r="DU11" i="3"/>
  <c r="DU12" i="3"/>
  <c r="DU13" i="3"/>
  <c r="DU14" i="3"/>
  <c r="DU15" i="3"/>
  <c r="DU16" i="3"/>
  <c r="DU17" i="3"/>
  <c r="DU18" i="3"/>
  <c r="DU19" i="3"/>
  <c r="DU20" i="3"/>
  <c r="DU21" i="3"/>
  <c r="DU22" i="3"/>
  <c r="DU23" i="3"/>
  <c r="DV3" i="3"/>
  <c r="DV4" i="3"/>
  <c r="DV5" i="3"/>
  <c r="DV6" i="3"/>
  <c r="DV7" i="3"/>
  <c r="DV8" i="3"/>
  <c r="DV9" i="3"/>
  <c r="DV10" i="3"/>
  <c r="DV11" i="3"/>
  <c r="DV12" i="3"/>
  <c r="DV13" i="3"/>
  <c r="DV14" i="3"/>
  <c r="DV15" i="3"/>
  <c r="DV16" i="3"/>
  <c r="DV17" i="3"/>
  <c r="DV18" i="3"/>
  <c r="DV19" i="3"/>
  <c r="DV20" i="3"/>
  <c r="DV21" i="3"/>
  <c r="DV22" i="3"/>
  <c r="DV23" i="3"/>
  <c r="DL24" i="3"/>
  <c r="DM24" i="3"/>
  <c r="DN24" i="3"/>
  <c r="DO24" i="3"/>
  <c r="DP24" i="3"/>
  <c r="DQ24" i="3"/>
  <c r="DR24" i="3"/>
  <c r="DS24" i="3"/>
  <c r="DT24" i="3"/>
  <c r="DU24" i="3"/>
  <c r="DV24" i="3"/>
  <c r="AK24" i="3"/>
  <c r="AK25" i="3"/>
  <c r="DL25" i="3"/>
  <c r="DM25" i="3"/>
  <c r="BC24" i="3"/>
  <c r="BC25" i="3"/>
  <c r="AV24" i="3"/>
  <c r="AV25" i="3"/>
  <c r="DN25" i="3"/>
  <c r="BD24" i="3"/>
  <c r="BD25" i="3"/>
  <c r="AW24" i="3"/>
  <c r="AW25" i="3"/>
  <c r="DO25" i="3"/>
  <c r="BE24" i="3"/>
  <c r="BE25" i="3"/>
  <c r="AX24" i="3"/>
  <c r="AX25" i="3"/>
  <c r="AO24" i="3"/>
  <c r="AO25" i="3"/>
  <c r="DP25" i="3"/>
  <c r="BF24" i="3"/>
  <c r="BF25" i="3"/>
  <c r="AP24" i="3"/>
  <c r="AP25" i="3"/>
  <c r="DQ25" i="3"/>
  <c r="BG24" i="3"/>
  <c r="BG25" i="3"/>
  <c r="AZ24" i="3"/>
  <c r="AZ25" i="3"/>
  <c r="AQ24" i="3"/>
  <c r="AQ25" i="3"/>
  <c r="DR25" i="3"/>
  <c r="BH24" i="3"/>
  <c r="BH25" i="3"/>
  <c r="DS25" i="3"/>
  <c r="BI24" i="3"/>
  <c r="BI25" i="3"/>
  <c r="DT25" i="3"/>
  <c r="BJ24" i="3"/>
  <c r="BJ25" i="3"/>
  <c r="DU25" i="3"/>
  <c r="BK24" i="3"/>
  <c r="BK25" i="3"/>
  <c r="DV25" i="3"/>
  <c r="BA4" i="4"/>
  <c r="BA30" i="4"/>
  <c r="BI4" i="4"/>
  <c r="BA5" i="4"/>
  <c r="BA31" i="4"/>
  <c r="BI5" i="4"/>
  <c r="BA6" i="4"/>
  <c r="BA32" i="4"/>
  <c r="BI6" i="4"/>
  <c r="BA7" i="4"/>
  <c r="BA33" i="4"/>
  <c r="BI7" i="4"/>
  <c r="BA8" i="4"/>
  <c r="BA34" i="4"/>
  <c r="BI8" i="4"/>
  <c r="BA9" i="4"/>
  <c r="BA35" i="4"/>
  <c r="BI9" i="4"/>
  <c r="BA10" i="4"/>
  <c r="BA36" i="4"/>
  <c r="BI10" i="4"/>
  <c r="BA11" i="4"/>
  <c r="BA37" i="4"/>
  <c r="BI11" i="4"/>
  <c r="BA12" i="4"/>
  <c r="BA38" i="4"/>
  <c r="BI12" i="4"/>
  <c r="BA13" i="4"/>
  <c r="BA39" i="4"/>
  <c r="BI13" i="4"/>
  <c r="BA14" i="4"/>
  <c r="BA40" i="4"/>
  <c r="BI14" i="4"/>
  <c r="BA15" i="4"/>
  <c r="BA41" i="4"/>
  <c r="BI15" i="4"/>
  <c r="BA16" i="4"/>
  <c r="BA42" i="4"/>
  <c r="BI16" i="4"/>
  <c r="BA17" i="4"/>
  <c r="BA43" i="4"/>
  <c r="BI17" i="4"/>
  <c r="BA18" i="4"/>
  <c r="BA44" i="4"/>
  <c r="BI18" i="4"/>
  <c r="BA19" i="4"/>
  <c r="BA45" i="4"/>
  <c r="BI19" i="4"/>
  <c r="BA20" i="4"/>
  <c r="BA46" i="4"/>
  <c r="BI20" i="4"/>
  <c r="BA21" i="4"/>
  <c r="BA47" i="4"/>
  <c r="BI21" i="4"/>
  <c r="BA22" i="4"/>
  <c r="BA48" i="4"/>
  <c r="BI22" i="4"/>
  <c r="BA23" i="4"/>
  <c r="BA49" i="4"/>
  <c r="BI23" i="4"/>
  <c r="BI24" i="4"/>
  <c r="BB4" i="4"/>
  <c r="BB30" i="4"/>
  <c r="BJ4" i="4"/>
  <c r="BB5" i="4"/>
  <c r="BB31" i="4"/>
  <c r="BJ5" i="4"/>
  <c r="BB6" i="4"/>
  <c r="BB32" i="4"/>
  <c r="BJ6" i="4"/>
  <c r="BB7" i="4"/>
  <c r="BB33" i="4"/>
  <c r="BJ7" i="4"/>
  <c r="BB8" i="4"/>
  <c r="BB34" i="4"/>
  <c r="BJ8" i="4"/>
  <c r="BB9" i="4"/>
  <c r="BB35" i="4"/>
  <c r="BJ9" i="4"/>
  <c r="BB10" i="4"/>
  <c r="BB36" i="4"/>
  <c r="BJ10" i="4"/>
  <c r="BB11" i="4"/>
  <c r="BB37" i="4"/>
  <c r="BJ11" i="4"/>
  <c r="BB12" i="4"/>
  <c r="BB38" i="4"/>
  <c r="BJ12" i="4"/>
  <c r="BB13" i="4"/>
  <c r="BB39" i="4"/>
  <c r="BJ13" i="4"/>
  <c r="BB14" i="4"/>
  <c r="BB40" i="4"/>
  <c r="BJ14" i="4"/>
  <c r="BB15" i="4"/>
  <c r="BB41" i="4"/>
  <c r="BJ15" i="4"/>
  <c r="BB16" i="4"/>
  <c r="BB42" i="4"/>
  <c r="BJ16" i="4"/>
  <c r="BB17" i="4"/>
  <c r="BB43" i="4"/>
  <c r="BJ17" i="4"/>
  <c r="BB18" i="4"/>
  <c r="BB44" i="4"/>
  <c r="BJ18" i="4"/>
  <c r="BB19" i="4"/>
  <c r="BB45" i="4"/>
  <c r="BJ19" i="4"/>
  <c r="BB20" i="4"/>
  <c r="BB46" i="4"/>
  <c r="BJ20" i="4"/>
  <c r="BB21" i="4"/>
  <c r="BB47" i="4"/>
  <c r="BJ21" i="4"/>
  <c r="BB22" i="4"/>
  <c r="BB48" i="4"/>
  <c r="BJ22" i="4"/>
  <c r="BB23" i="4"/>
  <c r="BB49" i="4"/>
  <c r="BJ23" i="4"/>
  <c r="BJ24" i="4"/>
  <c r="BC4" i="4"/>
  <c r="BC30" i="4"/>
  <c r="BK4" i="4"/>
  <c r="BC5" i="4"/>
  <c r="BC31" i="4"/>
  <c r="BK5" i="4"/>
  <c r="BC6" i="4"/>
  <c r="BC32" i="4"/>
  <c r="BK6" i="4"/>
  <c r="BC7" i="4"/>
  <c r="BC33" i="4"/>
  <c r="BK7" i="4"/>
  <c r="BC8" i="4"/>
  <c r="BC34" i="4"/>
  <c r="BK8" i="4"/>
  <c r="BC9" i="4"/>
  <c r="BC35" i="4"/>
  <c r="BK9" i="4"/>
  <c r="BC10" i="4"/>
  <c r="BC36" i="4"/>
  <c r="BK10" i="4"/>
  <c r="BC11" i="4"/>
  <c r="BC37" i="4"/>
  <c r="BK11" i="4"/>
  <c r="BC12" i="4"/>
  <c r="BC38" i="4"/>
  <c r="BK12" i="4"/>
  <c r="BC13" i="4"/>
  <c r="BC39" i="4"/>
  <c r="BK13" i="4"/>
  <c r="BC14" i="4"/>
  <c r="BC40" i="4"/>
  <c r="BK14" i="4"/>
  <c r="BC15" i="4"/>
  <c r="BC41" i="4"/>
  <c r="BK15" i="4"/>
  <c r="BC16" i="4"/>
  <c r="BC42" i="4"/>
  <c r="BK16" i="4"/>
  <c r="BC17" i="4"/>
  <c r="BC43" i="4"/>
  <c r="BK17" i="4"/>
  <c r="BC18" i="4"/>
  <c r="BC44" i="4"/>
  <c r="BK18" i="4"/>
  <c r="BC19" i="4"/>
  <c r="BC45" i="4"/>
  <c r="BK19" i="4"/>
  <c r="BC20" i="4"/>
  <c r="BC46" i="4"/>
  <c r="BK20" i="4"/>
  <c r="BC21" i="4"/>
  <c r="BC47" i="4"/>
  <c r="BK21" i="4"/>
  <c r="BC22" i="4"/>
  <c r="BC48" i="4"/>
  <c r="BK22" i="4"/>
  <c r="BC23" i="4"/>
  <c r="BC49" i="4"/>
  <c r="BK23" i="4"/>
  <c r="BK24" i="4"/>
  <c r="BD4" i="4"/>
  <c r="BD30" i="4"/>
  <c r="BL4" i="4"/>
  <c r="BD5" i="4"/>
  <c r="BD31" i="4"/>
  <c r="BL5" i="4"/>
  <c r="BD6" i="4"/>
  <c r="BD32" i="4"/>
  <c r="BL6" i="4"/>
  <c r="BD7" i="4"/>
  <c r="BD33" i="4"/>
  <c r="BL7" i="4"/>
  <c r="BD8" i="4"/>
  <c r="BD34" i="4"/>
  <c r="BL8" i="4"/>
  <c r="BD9" i="4"/>
  <c r="BD35" i="4"/>
  <c r="BL9" i="4"/>
  <c r="BD10" i="4"/>
  <c r="BD36" i="4"/>
  <c r="BL10" i="4"/>
  <c r="BD11" i="4"/>
  <c r="BD37" i="4"/>
  <c r="BL11" i="4"/>
  <c r="BD12" i="4"/>
  <c r="BD38" i="4"/>
  <c r="BL12" i="4"/>
  <c r="BD13" i="4"/>
  <c r="BD39" i="4"/>
  <c r="BL13" i="4"/>
  <c r="BD14" i="4"/>
  <c r="BD40" i="4"/>
  <c r="BL14" i="4"/>
  <c r="BD15" i="4"/>
  <c r="BD41" i="4"/>
  <c r="BL15" i="4"/>
  <c r="BD16" i="4"/>
  <c r="BD42" i="4"/>
  <c r="BL16" i="4"/>
  <c r="BD17" i="4"/>
  <c r="BD43" i="4"/>
  <c r="BL17" i="4"/>
  <c r="BD18" i="4"/>
  <c r="BD44" i="4"/>
  <c r="BL18" i="4"/>
  <c r="BD19" i="4"/>
  <c r="BD45" i="4"/>
  <c r="BL19" i="4"/>
  <c r="BD20" i="4"/>
  <c r="BD46" i="4"/>
  <c r="BL20" i="4"/>
  <c r="BD21" i="4"/>
  <c r="BD47" i="4"/>
  <c r="BL21" i="4"/>
  <c r="BD22" i="4"/>
  <c r="BD48" i="4"/>
  <c r="BL22" i="4"/>
  <c r="BD23" i="4"/>
  <c r="BD49" i="4"/>
  <c r="BL23" i="4"/>
  <c r="BL24" i="4"/>
  <c r="BE4" i="4"/>
  <c r="BE30" i="4"/>
  <c r="BM4" i="4"/>
  <c r="BE5" i="4"/>
  <c r="BE31" i="4"/>
  <c r="BM5" i="4"/>
  <c r="BE6" i="4"/>
  <c r="BE32" i="4"/>
  <c r="BM6" i="4"/>
  <c r="BE7" i="4"/>
  <c r="BE33" i="4"/>
  <c r="BM7" i="4"/>
  <c r="BE8" i="4"/>
  <c r="BE34" i="4"/>
  <c r="BM8" i="4"/>
  <c r="BE9" i="4"/>
  <c r="BE35" i="4"/>
  <c r="BM9" i="4"/>
  <c r="BE10" i="4"/>
  <c r="BE36" i="4"/>
  <c r="BM10" i="4"/>
  <c r="BE11" i="4"/>
  <c r="BE37" i="4"/>
  <c r="BM11" i="4"/>
  <c r="BE12" i="4"/>
  <c r="BE38" i="4"/>
  <c r="BM12" i="4"/>
  <c r="BE13" i="4"/>
  <c r="BE39" i="4"/>
  <c r="BM13" i="4"/>
  <c r="BE14" i="4"/>
  <c r="BE40" i="4"/>
  <c r="BM14" i="4"/>
  <c r="BE15" i="4"/>
  <c r="BE41" i="4"/>
  <c r="BM15" i="4"/>
  <c r="BE16" i="4"/>
  <c r="BE42" i="4"/>
  <c r="BM16" i="4"/>
  <c r="BE17" i="4"/>
  <c r="BE43" i="4"/>
  <c r="BM17" i="4"/>
  <c r="BE18" i="4"/>
  <c r="BE44" i="4"/>
  <c r="BM18" i="4"/>
  <c r="BE19" i="4"/>
  <c r="BE45" i="4"/>
  <c r="BM19" i="4"/>
  <c r="BE20" i="4"/>
  <c r="BE46" i="4"/>
  <c r="BM20" i="4"/>
  <c r="BE21" i="4"/>
  <c r="BE47" i="4"/>
  <c r="BM21" i="4"/>
  <c r="BE22" i="4"/>
  <c r="BE48" i="4"/>
  <c r="BM22" i="4"/>
  <c r="BE23" i="4"/>
  <c r="BE49" i="4"/>
  <c r="BM23" i="4"/>
  <c r="BM24" i="4"/>
  <c r="BF4" i="4"/>
  <c r="BF30" i="4"/>
  <c r="BN4" i="4"/>
  <c r="BF5" i="4"/>
  <c r="BF31" i="4"/>
  <c r="BN5" i="4"/>
  <c r="BF6" i="4"/>
  <c r="BF32" i="4"/>
  <c r="BN6" i="4"/>
  <c r="BF7" i="4"/>
  <c r="BF33" i="4"/>
  <c r="BN7" i="4"/>
  <c r="BF8" i="4"/>
  <c r="BF34" i="4"/>
  <c r="BN8" i="4"/>
  <c r="BF9" i="4"/>
  <c r="BF35" i="4"/>
  <c r="BN9" i="4"/>
  <c r="BF10" i="4"/>
  <c r="BF36" i="4"/>
  <c r="BN10" i="4"/>
  <c r="BF11" i="4"/>
  <c r="BF37" i="4"/>
  <c r="BN11" i="4"/>
  <c r="BF12" i="4"/>
  <c r="BF38" i="4"/>
  <c r="BN12" i="4"/>
  <c r="BF13" i="4"/>
  <c r="BF39" i="4"/>
  <c r="BN13" i="4"/>
  <c r="BF14" i="4"/>
  <c r="BF40" i="4"/>
  <c r="BN14" i="4"/>
  <c r="BF15" i="4"/>
  <c r="BF41" i="4"/>
  <c r="BN15" i="4"/>
  <c r="BF16" i="4"/>
  <c r="BF42" i="4"/>
  <c r="BN16" i="4"/>
  <c r="BF17" i="4"/>
  <c r="BF43" i="4"/>
  <c r="BN17" i="4"/>
  <c r="BF18" i="4"/>
  <c r="BF44" i="4"/>
  <c r="BN18" i="4"/>
  <c r="BF19" i="4"/>
  <c r="BF45" i="4"/>
  <c r="BN19" i="4"/>
  <c r="BF20" i="4"/>
  <c r="BF46" i="4"/>
  <c r="BN20" i="4"/>
  <c r="BF21" i="4"/>
  <c r="BF47" i="4"/>
  <c r="BN21" i="4"/>
  <c r="BF22" i="4"/>
  <c r="BF48" i="4"/>
  <c r="BN22" i="4"/>
  <c r="BF23" i="4"/>
  <c r="BF49" i="4"/>
  <c r="BN23" i="4"/>
  <c r="BN24" i="4"/>
  <c r="BG4" i="4"/>
  <c r="BG30" i="4"/>
  <c r="BO4" i="4"/>
  <c r="BG5" i="4"/>
  <c r="BG31" i="4"/>
  <c r="BO5" i="4"/>
  <c r="BG6" i="4"/>
  <c r="BG32" i="4"/>
  <c r="BO6" i="4"/>
  <c r="BG7" i="4"/>
  <c r="BG33" i="4"/>
  <c r="BO7" i="4"/>
  <c r="BG8" i="4"/>
  <c r="BG34" i="4"/>
  <c r="BO8" i="4"/>
  <c r="BG9" i="4"/>
  <c r="BG35" i="4"/>
  <c r="BO9" i="4"/>
  <c r="BG10" i="4"/>
  <c r="BG36" i="4"/>
  <c r="BO10" i="4"/>
  <c r="BG11" i="4"/>
  <c r="BG37" i="4"/>
  <c r="BO11" i="4"/>
  <c r="BG12" i="4"/>
  <c r="BG38" i="4"/>
  <c r="BO12" i="4"/>
  <c r="BG13" i="4"/>
  <c r="BG39" i="4"/>
  <c r="BO13" i="4"/>
  <c r="BG14" i="4"/>
  <c r="BG40" i="4"/>
  <c r="BO14" i="4"/>
  <c r="BG15" i="4"/>
  <c r="BG41" i="4"/>
  <c r="BO15" i="4"/>
  <c r="BG16" i="4"/>
  <c r="BG42" i="4"/>
  <c r="BO16" i="4"/>
  <c r="BG17" i="4"/>
  <c r="BG43" i="4"/>
  <c r="BO17" i="4"/>
  <c r="BG18" i="4"/>
  <c r="BG44" i="4"/>
  <c r="BO18" i="4"/>
  <c r="BG19" i="4"/>
  <c r="BG45" i="4"/>
  <c r="BO19" i="4"/>
  <c r="BG20" i="4"/>
  <c r="BG46" i="4"/>
  <c r="BO20" i="4"/>
  <c r="BG21" i="4"/>
  <c r="BG47" i="4"/>
  <c r="BO21" i="4"/>
  <c r="BG22" i="4"/>
  <c r="BG48" i="4"/>
  <c r="BO22" i="4"/>
  <c r="BG23" i="4"/>
  <c r="BG49" i="4"/>
  <c r="BO23" i="4"/>
  <c r="BO24" i="4"/>
  <c r="BI25" i="4"/>
  <c r="BJ25" i="4"/>
  <c r="BK25" i="4"/>
  <c r="BL25" i="4"/>
  <c r="BM25" i="4"/>
  <c r="BN25" i="4"/>
  <c r="BO25" i="4"/>
  <c r="BI26" i="4"/>
  <c r="BJ26" i="4"/>
  <c r="BK26" i="4"/>
  <c r="BL26" i="4"/>
  <c r="BM26" i="4"/>
  <c r="BN26" i="4"/>
  <c r="BO26" i="4"/>
  <c r="EN23" i="20"/>
  <c r="EM3" i="20"/>
  <c r="EM4" i="20"/>
  <c r="EM5" i="20"/>
  <c r="EM6" i="20"/>
  <c r="EM8" i="20"/>
  <c r="EM9" i="20"/>
  <c r="EM11" i="20"/>
  <c r="EM12" i="20"/>
  <c r="EM14" i="20"/>
  <c r="EM15" i="20"/>
  <c r="EM16" i="20"/>
  <c r="EM18" i="20"/>
  <c r="EM20" i="20"/>
  <c r="EM21" i="20"/>
  <c r="EM22" i="20"/>
  <c r="EO23" i="20"/>
  <c r="EL23" i="20"/>
  <c r="BB54" i="4"/>
  <c r="BC54" i="4"/>
  <c r="BD54" i="4"/>
  <c r="BE54" i="4"/>
  <c r="BF54" i="4"/>
  <c r="BG54" i="4"/>
  <c r="BA54" i="4"/>
  <c r="BB53" i="4"/>
  <c r="BC53" i="4"/>
  <c r="BD53" i="4"/>
  <c r="BE53" i="4"/>
  <c r="BF53" i="4"/>
  <c r="BG53" i="4"/>
  <c r="BA53" i="4"/>
  <c r="CO23" i="20"/>
  <c r="CP23" i="20"/>
  <c r="CQ23" i="20"/>
  <c r="CR23" i="20"/>
  <c r="CS23" i="20"/>
  <c r="CT23" i="20"/>
  <c r="CU23" i="20"/>
  <c r="CV23" i="20"/>
  <c r="CX23" i="20"/>
  <c r="CY23" i="20"/>
  <c r="CZ23" i="20"/>
  <c r="CY3" i="20"/>
  <c r="CY4" i="20"/>
  <c r="CY5" i="20"/>
  <c r="CY6" i="20"/>
  <c r="CY8" i="20"/>
  <c r="CY11" i="20"/>
  <c r="CY12" i="20"/>
  <c r="CY13" i="20"/>
  <c r="CY14" i="20"/>
  <c r="CY15" i="20"/>
  <c r="CY17" i="20"/>
  <c r="CY19" i="20"/>
  <c r="CY20" i="20"/>
  <c r="CY21" i="20"/>
  <c r="CY22" i="20"/>
  <c r="DA23" i="20"/>
  <c r="DB23" i="20"/>
  <c r="DC23" i="20"/>
  <c r="DD23" i="20"/>
  <c r="DC3" i="20"/>
  <c r="DC4" i="20"/>
  <c r="DC5" i="20"/>
  <c r="DC6" i="20"/>
  <c r="DC8" i="20"/>
  <c r="DC11" i="20"/>
  <c r="DC12" i="20"/>
  <c r="DC13" i="20"/>
  <c r="DC14" i="20"/>
  <c r="DC15" i="20"/>
  <c r="DC17" i="20"/>
  <c r="DC19" i="20"/>
  <c r="DC20" i="20"/>
  <c r="DC21" i="20"/>
  <c r="DC22" i="20"/>
  <c r="DE23" i="20"/>
  <c r="DD3" i="20"/>
  <c r="DD4" i="20"/>
  <c r="DD5" i="20"/>
  <c r="DD6" i="20"/>
  <c r="DD8" i="20"/>
  <c r="DD11" i="20"/>
  <c r="DD12" i="20"/>
  <c r="DD13" i="20"/>
  <c r="DD14" i="20"/>
  <c r="DD15" i="20"/>
  <c r="DD17" i="20"/>
  <c r="DD19" i="20"/>
  <c r="DD20" i="20"/>
  <c r="DD21" i="20"/>
  <c r="DD22" i="20"/>
  <c r="DF23" i="20"/>
  <c r="DE3" i="20"/>
  <c r="DE4" i="20"/>
  <c r="DE5" i="20"/>
  <c r="DE6" i="20"/>
  <c r="DE8" i="20"/>
  <c r="DE11" i="20"/>
  <c r="DE12" i="20"/>
  <c r="DE13" i="20"/>
  <c r="DE14" i="20"/>
  <c r="DE15" i="20"/>
  <c r="DE17" i="20"/>
  <c r="DE19" i="20"/>
  <c r="DE20" i="20"/>
  <c r="DE21" i="20"/>
  <c r="DE22" i="20"/>
  <c r="DG23" i="20"/>
  <c r="DF3" i="20"/>
  <c r="DF4" i="20"/>
  <c r="DF5" i="20"/>
  <c r="DF6" i="20"/>
  <c r="DF8" i="20"/>
  <c r="DF11" i="20"/>
  <c r="DF12" i="20"/>
  <c r="DF13" i="20"/>
  <c r="DF14" i="20"/>
  <c r="DF15" i="20"/>
  <c r="DF17" i="20"/>
  <c r="DF19" i="20"/>
  <c r="DF20" i="20"/>
  <c r="DF21" i="20"/>
  <c r="DF22" i="20"/>
  <c r="DH23" i="20"/>
  <c r="DG3" i="20"/>
  <c r="DG4" i="20"/>
  <c r="DG5" i="20"/>
  <c r="DG6" i="20"/>
  <c r="DG8" i="20"/>
  <c r="DG11" i="20"/>
  <c r="DG12" i="20"/>
  <c r="DG13" i="20"/>
  <c r="DG14" i="20"/>
  <c r="DG15" i="20"/>
  <c r="DG17" i="20"/>
  <c r="DG19" i="20"/>
  <c r="DG20" i="20"/>
  <c r="DG21" i="20"/>
  <c r="DG22" i="20"/>
  <c r="DI23" i="20"/>
  <c r="DK23" i="20"/>
  <c r="DL23" i="20"/>
  <c r="DM23" i="20"/>
  <c r="DL3" i="20"/>
  <c r="DL4" i="20"/>
  <c r="DL5" i="20"/>
  <c r="DL6" i="20"/>
  <c r="DL8" i="20"/>
  <c r="DL11" i="20"/>
  <c r="DL12" i="20"/>
  <c r="DL13" i="20"/>
  <c r="DL14" i="20"/>
  <c r="DL15" i="20"/>
  <c r="DL17" i="20"/>
  <c r="DL19" i="20"/>
  <c r="DL20" i="20"/>
  <c r="DL21" i="20"/>
  <c r="DL22" i="20"/>
  <c r="DN23" i="20"/>
  <c r="DO23" i="20"/>
  <c r="DP23" i="20"/>
  <c r="DQ23" i="20"/>
  <c r="DP3" i="20"/>
  <c r="DP4" i="20"/>
  <c r="DP5" i="20"/>
  <c r="DP6" i="20"/>
  <c r="DP8" i="20"/>
  <c r="DP11" i="20"/>
  <c r="DP12" i="20"/>
  <c r="DP13" i="20"/>
  <c r="DP14" i="20"/>
  <c r="DP15" i="20"/>
  <c r="DP17" i="20"/>
  <c r="DP19" i="20"/>
  <c r="DP20" i="20"/>
  <c r="DP21" i="20"/>
  <c r="DP22" i="20"/>
  <c r="DR23" i="20"/>
  <c r="DQ3" i="20"/>
  <c r="DQ4" i="20"/>
  <c r="DQ5" i="20"/>
  <c r="DQ6" i="20"/>
  <c r="DQ8" i="20"/>
  <c r="DQ11" i="20"/>
  <c r="DQ12" i="20"/>
  <c r="DQ13" i="20"/>
  <c r="DQ14" i="20"/>
  <c r="DQ15" i="20"/>
  <c r="DQ17" i="20"/>
  <c r="DQ19" i="20"/>
  <c r="DQ20" i="20"/>
  <c r="DQ21" i="20"/>
  <c r="DQ22" i="20"/>
  <c r="DS23" i="20"/>
  <c r="DR3" i="20"/>
  <c r="DR4" i="20"/>
  <c r="DR5" i="20"/>
  <c r="DR6" i="20"/>
  <c r="DR8" i="20"/>
  <c r="DR11" i="20"/>
  <c r="DR12" i="20"/>
  <c r="DR13" i="20"/>
  <c r="DR14" i="20"/>
  <c r="DR15" i="20"/>
  <c r="DR17" i="20"/>
  <c r="DR19" i="20"/>
  <c r="DR20" i="20"/>
  <c r="DR21" i="20"/>
  <c r="DR22" i="20"/>
  <c r="DT23" i="20"/>
  <c r="DS3" i="20"/>
  <c r="DS4" i="20"/>
  <c r="DS5" i="20"/>
  <c r="DS6" i="20"/>
  <c r="DS8" i="20"/>
  <c r="DS11" i="20"/>
  <c r="DS12" i="20"/>
  <c r="DS13" i="20"/>
  <c r="DS14" i="20"/>
  <c r="DS15" i="20"/>
  <c r="DS17" i="20"/>
  <c r="DS19" i="20"/>
  <c r="DS20" i="20"/>
  <c r="DS21" i="20"/>
  <c r="DS22" i="20"/>
  <c r="DU23" i="20"/>
  <c r="DT3" i="20"/>
  <c r="DT4" i="20"/>
  <c r="DT5" i="20"/>
  <c r="DT6" i="20"/>
  <c r="DT8" i="20"/>
  <c r="DT11" i="20"/>
  <c r="DT12" i="20"/>
  <c r="DT13" i="20"/>
  <c r="DT14" i="20"/>
  <c r="DT15" i="20"/>
  <c r="DT17" i="20"/>
  <c r="DT19" i="20"/>
  <c r="DT20" i="20"/>
  <c r="DT21" i="20"/>
  <c r="DT22" i="20"/>
  <c r="DV23" i="20"/>
  <c r="DX23" i="20"/>
  <c r="DY23" i="20"/>
  <c r="DZ23" i="20"/>
  <c r="DY3" i="20"/>
  <c r="DY4" i="20"/>
  <c r="DY5" i="20"/>
  <c r="DY6" i="20"/>
  <c r="DY8" i="20"/>
  <c r="DY11" i="20"/>
  <c r="DY12" i="20"/>
  <c r="DY13" i="20"/>
  <c r="DY14" i="20"/>
  <c r="DY15" i="20"/>
  <c r="DY17" i="20"/>
  <c r="DY19" i="20"/>
  <c r="DY20" i="20"/>
  <c r="DY21" i="20"/>
  <c r="DY22" i="20"/>
  <c r="EA23" i="20"/>
  <c r="EB23" i="20"/>
  <c r="EC23" i="20"/>
  <c r="ED23" i="20"/>
  <c r="EC3" i="20"/>
  <c r="EC4" i="20"/>
  <c r="EC5" i="20"/>
  <c r="EC6" i="20"/>
  <c r="EC8" i="20"/>
  <c r="EC11" i="20"/>
  <c r="EC12" i="20"/>
  <c r="EC13" i="20"/>
  <c r="EC14" i="20"/>
  <c r="EC15" i="20"/>
  <c r="EC17" i="20"/>
  <c r="EC19" i="20"/>
  <c r="EC20" i="20"/>
  <c r="EC21" i="20"/>
  <c r="EC22" i="20"/>
  <c r="EE23" i="20"/>
  <c r="ED3" i="20"/>
  <c r="ED4" i="20"/>
  <c r="ED5" i="20"/>
  <c r="ED6" i="20"/>
  <c r="ED8" i="20"/>
  <c r="ED11" i="20"/>
  <c r="ED12" i="20"/>
  <c r="ED13" i="20"/>
  <c r="ED14" i="20"/>
  <c r="ED15" i="20"/>
  <c r="ED17" i="20"/>
  <c r="ED19" i="20"/>
  <c r="ED20" i="20"/>
  <c r="ED21" i="20"/>
  <c r="ED22" i="20"/>
  <c r="EF23" i="20"/>
  <c r="EE3" i="20"/>
  <c r="EE4" i="20"/>
  <c r="EE5" i="20"/>
  <c r="EE6" i="20"/>
  <c r="EE8" i="20"/>
  <c r="EE11" i="20"/>
  <c r="EE12" i="20"/>
  <c r="EE13" i="20"/>
  <c r="EE14" i="20"/>
  <c r="EE15" i="20"/>
  <c r="EE17" i="20"/>
  <c r="EE19" i="20"/>
  <c r="EE20" i="20"/>
  <c r="EE21" i="20"/>
  <c r="EE22" i="20"/>
  <c r="EG23" i="20"/>
  <c r="EF3" i="20"/>
  <c r="EF4" i="20"/>
  <c r="EF5" i="20"/>
  <c r="EF6" i="20"/>
  <c r="EF8" i="20"/>
  <c r="EF11" i="20"/>
  <c r="EF12" i="20"/>
  <c r="EF13" i="20"/>
  <c r="EF14" i="20"/>
  <c r="EF15" i="20"/>
  <c r="EF17" i="20"/>
  <c r="EF19" i="20"/>
  <c r="EF20" i="20"/>
  <c r="EF21" i="20"/>
  <c r="EF22" i="20"/>
  <c r="EH23" i="20"/>
  <c r="EG3" i="20"/>
  <c r="EG4" i="20"/>
  <c r="EG5" i="20"/>
  <c r="EG6" i="20"/>
  <c r="EG8" i="20"/>
  <c r="EG11" i="20"/>
  <c r="EG12" i="20"/>
  <c r="EG13" i="20"/>
  <c r="EG14" i="20"/>
  <c r="EG15" i="20"/>
  <c r="EG17" i="20"/>
  <c r="EG19" i="20"/>
  <c r="EG20" i="20"/>
  <c r="EG21" i="20"/>
  <c r="EG22" i="20"/>
  <c r="EI23" i="20"/>
  <c r="CN23" i="20"/>
  <c r="BY4" i="20"/>
  <c r="BY5" i="20"/>
  <c r="BY6" i="20"/>
  <c r="BY7" i="20"/>
  <c r="BY8" i="20"/>
  <c r="BY9" i="20"/>
  <c r="BY10" i="20"/>
  <c r="BY11" i="20"/>
  <c r="BY12" i="20"/>
  <c r="BY13" i="20"/>
  <c r="BY14" i="20"/>
  <c r="BY15" i="20"/>
  <c r="BY16" i="20"/>
  <c r="BY17" i="20"/>
  <c r="BY18" i="20"/>
  <c r="BY19" i="20"/>
  <c r="BY20" i="20"/>
  <c r="BY21" i="20"/>
  <c r="BY22" i="20"/>
  <c r="BY3" i="20"/>
  <c r="B22" i="9"/>
  <c r="B24" i="9"/>
  <c r="BU4" i="20"/>
  <c r="BU5" i="20"/>
  <c r="BU6" i="20"/>
  <c r="BU8" i="20"/>
  <c r="BU9" i="20"/>
  <c r="BU11" i="20"/>
  <c r="BU12" i="20"/>
  <c r="BU14" i="20"/>
  <c r="BU15" i="20"/>
  <c r="BU16" i="20"/>
  <c r="BU18" i="20"/>
  <c r="BU20" i="20"/>
  <c r="BU21" i="20"/>
  <c r="BU22" i="20"/>
  <c r="BU3" i="20"/>
  <c r="E28" i="21"/>
  <c r="C26" i="22"/>
  <c r="I3" i="22"/>
  <c r="I4" i="22"/>
  <c r="I5" i="22"/>
  <c r="I6" i="22"/>
  <c r="I7" i="22"/>
  <c r="I8" i="22"/>
  <c r="I9" i="22"/>
  <c r="I11" i="22"/>
  <c r="I12" i="22"/>
  <c r="I13" i="22"/>
  <c r="I14" i="22"/>
  <c r="I16" i="22"/>
  <c r="I17" i="22"/>
  <c r="I18" i="22"/>
  <c r="I19" i="22"/>
  <c r="I20" i="22"/>
  <c r="I21" i="22"/>
  <c r="I22" i="22"/>
  <c r="I23" i="22"/>
  <c r="I24" i="22"/>
  <c r="I25" i="22"/>
  <c r="H3" i="22"/>
  <c r="H4" i="22"/>
  <c r="H5" i="22"/>
  <c r="H6" i="22"/>
  <c r="H7" i="22"/>
  <c r="H8" i="22"/>
  <c r="H9" i="22"/>
  <c r="H11" i="22"/>
  <c r="H12" i="22"/>
  <c r="H13" i="22"/>
  <c r="H14" i="22"/>
  <c r="H16" i="22"/>
  <c r="H17" i="22"/>
  <c r="H18" i="22"/>
  <c r="H19" i="22"/>
  <c r="H20" i="22"/>
  <c r="H21" i="22"/>
  <c r="H22" i="22"/>
  <c r="H23" i="22"/>
  <c r="H24" i="22"/>
  <c r="H25" i="22"/>
  <c r="C24" i="22"/>
  <c r="C25" i="22"/>
  <c r="D24" i="22"/>
  <c r="D25" i="22"/>
  <c r="E24" i="22"/>
  <c r="E25" i="22"/>
  <c r="F24" i="22"/>
  <c r="F25" i="22"/>
  <c r="G24" i="22"/>
  <c r="G25" i="22"/>
  <c r="B24" i="22"/>
  <c r="B25" i="22"/>
  <c r="C23" i="22"/>
  <c r="D23" i="22"/>
  <c r="E23" i="22"/>
  <c r="F23" i="22"/>
  <c r="G23" i="22"/>
  <c r="B23" i="22"/>
  <c r="AB2" i="23"/>
  <c r="AB3" i="23"/>
  <c r="AB5" i="23"/>
  <c r="AB6" i="23"/>
  <c r="AB7" i="23"/>
  <c r="AB10" i="23"/>
  <c r="AB11" i="23"/>
  <c r="AB12" i="23"/>
  <c r="AB13" i="23"/>
  <c r="AB15" i="23"/>
  <c r="AB16" i="23"/>
  <c r="AB17" i="23"/>
  <c r="AB18" i="23"/>
  <c r="AB19" i="23"/>
  <c r="AB20" i="23"/>
  <c r="AB21" i="23"/>
  <c r="AB23" i="23"/>
  <c r="AB24" i="23"/>
  <c r="AC2" i="23"/>
  <c r="AC3" i="23"/>
  <c r="AC5" i="23"/>
  <c r="AC6" i="23"/>
  <c r="AC7" i="23"/>
  <c r="AC10" i="23"/>
  <c r="AC11" i="23"/>
  <c r="AC12" i="23"/>
  <c r="AC13" i="23"/>
  <c r="AC15" i="23"/>
  <c r="AC16" i="23"/>
  <c r="AC17" i="23"/>
  <c r="AC18" i="23"/>
  <c r="AC19" i="23"/>
  <c r="AC20" i="23"/>
  <c r="AC21" i="23"/>
  <c r="AC23" i="23"/>
  <c r="AD2" i="23"/>
  <c r="AD3" i="23"/>
  <c r="AD5" i="23"/>
  <c r="AD6" i="23"/>
  <c r="AD7" i="23"/>
  <c r="AD10" i="23"/>
  <c r="AD11" i="23"/>
  <c r="AD12" i="23"/>
  <c r="AD13" i="23"/>
  <c r="AD15" i="23"/>
  <c r="AD16" i="23"/>
  <c r="AD17" i="23"/>
  <c r="AD18" i="23"/>
  <c r="AD19" i="23"/>
  <c r="AD20" i="23"/>
  <c r="AD21" i="23"/>
  <c r="AD23" i="23"/>
  <c r="AE2" i="23"/>
  <c r="AE3" i="23"/>
  <c r="AE5" i="23"/>
  <c r="AE6" i="23"/>
  <c r="AE7" i="23"/>
  <c r="AE10" i="23"/>
  <c r="AE11" i="23"/>
  <c r="AE12" i="23"/>
  <c r="AE13" i="23"/>
  <c r="AE15" i="23"/>
  <c r="AE16" i="23"/>
  <c r="AE17" i="23"/>
  <c r="AE18" i="23"/>
  <c r="AE19" i="23"/>
  <c r="AE20" i="23"/>
  <c r="AE21" i="23"/>
  <c r="AE23" i="23"/>
  <c r="AF2" i="23"/>
  <c r="AF3" i="23"/>
  <c r="AF5" i="23"/>
  <c r="AF6" i="23"/>
  <c r="AF7" i="23"/>
  <c r="AF10" i="23"/>
  <c r="AF11" i="23"/>
  <c r="AF12" i="23"/>
  <c r="AF13" i="23"/>
  <c r="AF15" i="23"/>
  <c r="AF16" i="23"/>
  <c r="AF17" i="23"/>
  <c r="AF18" i="23"/>
  <c r="AF19" i="23"/>
  <c r="AF20" i="23"/>
  <c r="AF21" i="23"/>
  <c r="AF23" i="23"/>
  <c r="AG2" i="23"/>
  <c r="AG3" i="23"/>
  <c r="AG5" i="23"/>
  <c r="AG6" i="23"/>
  <c r="AG7" i="23"/>
  <c r="AG10" i="23"/>
  <c r="AG11" i="23"/>
  <c r="AG12" i="23"/>
  <c r="AG13" i="23"/>
  <c r="AG15" i="23"/>
  <c r="AG16" i="23"/>
  <c r="AG17" i="23"/>
  <c r="AG18" i="23"/>
  <c r="AG19" i="23"/>
  <c r="AG20" i="23"/>
  <c r="AG21" i="23"/>
  <c r="AG23" i="23"/>
  <c r="AH2" i="23"/>
  <c r="AH3" i="23"/>
  <c r="AH5" i="23"/>
  <c r="AH6" i="23"/>
  <c r="AH7" i="23"/>
  <c r="AH10" i="23"/>
  <c r="AH11" i="23"/>
  <c r="AH12" i="23"/>
  <c r="AH13" i="23"/>
  <c r="AH15" i="23"/>
  <c r="AH16" i="23"/>
  <c r="AH17" i="23"/>
  <c r="AH18" i="23"/>
  <c r="AH19" i="23"/>
  <c r="AH20" i="23"/>
  <c r="AH21" i="23"/>
  <c r="AH23" i="23"/>
  <c r="AI2" i="23"/>
  <c r="AI3" i="23"/>
  <c r="AI5" i="23"/>
  <c r="AI6" i="23"/>
  <c r="AI7" i="23"/>
  <c r="AI10" i="23"/>
  <c r="AI11" i="23"/>
  <c r="AI12" i="23"/>
  <c r="AI13" i="23"/>
  <c r="AI15" i="23"/>
  <c r="AI16" i="23"/>
  <c r="AI17" i="23"/>
  <c r="AI18" i="23"/>
  <c r="AI19" i="23"/>
  <c r="AI20" i="23"/>
  <c r="AI21" i="23"/>
  <c r="AI23" i="23"/>
  <c r="AC22" i="23"/>
  <c r="AD22" i="23"/>
  <c r="AE22" i="23"/>
  <c r="AF22" i="23"/>
  <c r="AG22" i="23"/>
  <c r="AH22" i="23"/>
  <c r="AI22" i="23"/>
  <c r="AB22" i="23"/>
  <c r="T25" i="24"/>
  <c r="U2" i="24"/>
  <c r="U5" i="24"/>
  <c r="U6" i="24"/>
  <c r="U7" i="24"/>
  <c r="U10" i="24"/>
  <c r="U11" i="24"/>
  <c r="U13" i="24"/>
  <c r="U15" i="24"/>
  <c r="U16" i="24"/>
  <c r="U17" i="24"/>
  <c r="U18" i="24"/>
  <c r="U19" i="24"/>
  <c r="U20" i="24"/>
  <c r="U21" i="24"/>
  <c r="U23" i="24"/>
  <c r="U24" i="24"/>
  <c r="V2" i="24"/>
  <c r="V5" i="24"/>
  <c r="V6" i="24"/>
  <c r="V7" i="24"/>
  <c r="V10" i="24"/>
  <c r="V11" i="24"/>
  <c r="V13" i="24"/>
  <c r="V15" i="24"/>
  <c r="V16" i="24"/>
  <c r="V17" i="24"/>
  <c r="V18" i="24"/>
  <c r="V19" i="24"/>
  <c r="V20" i="24"/>
  <c r="V21" i="24"/>
  <c r="V23" i="24"/>
  <c r="V24" i="24"/>
  <c r="W2" i="24"/>
  <c r="W5" i="24"/>
  <c r="W6" i="24"/>
  <c r="W7" i="24"/>
  <c r="W10" i="24"/>
  <c r="W11" i="24"/>
  <c r="W13" i="24"/>
  <c r="W15" i="24"/>
  <c r="W16" i="24"/>
  <c r="W17" i="24"/>
  <c r="W18" i="24"/>
  <c r="W19" i="24"/>
  <c r="W20" i="24"/>
  <c r="W21" i="24"/>
  <c r="W23" i="24"/>
  <c r="W24" i="24"/>
  <c r="X2" i="24"/>
  <c r="X5" i="24"/>
  <c r="X6" i="24"/>
  <c r="X7" i="24"/>
  <c r="X10" i="24"/>
  <c r="X11" i="24"/>
  <c r="X13" i="24"/>
  <c r="X15" i="24"/>
  <c r="X16" i="24"/>
  <c r="X17" i="24"/>
  <c r="X18" i="24"/>
  <c r="X19" i="24"/>
  <c r="X20" i="24"/>
  <c r="X21" i="24"/>
  <c r="X23" i="24"/>
  <c r="X24" i="24"/>
  <c r="T2" i="24"/>
  <c r="T5" i="24"/>
  <c r="T6" i="24"/>
  <c r="T7" i="24"/>
  <c r="T10" i="24"/>
  <c r="T11" i="24"/>
  <c r="T13" i="24"/>
  <c r="T15" i="24"/>
  <c r="T16" i="24"/>
  <c r="T17" i="24"/>
  <c r="T18" i="24"/>
  <c r="T19" i="24"/>
  <c r="T20" i="24"/>
  <c r="T21" i="24"/>
  <c r="T23" i="24"/>
  <c r="T24" i="24"/>
  <c r="U22" i="24"/>
  <c r="T22" i="24"/>
  <c r="V25" i="24"/>
  <c r="W25" i="24"/>
  <c r="X25" i="24"/>
  <c r="E22" i="24"/>
  <c r="E23" i="24"/>
  <c r="E24" i="24"/>
  <c r="M22" i="24"/>
  <c r="M23" i="24"/>
  <c r="M24" i="24"/>
  <c r="N22" i="24"/>
  <c r="X22" i="24"/>
  <c r="W22" i="24"/>
  <c r="V22" i="24"/>
  <c r="Q23" i="24"/>
  <c r="Q24" i="24"/>
  <c r="P23" i="24"/>
  <c r="P24" i="24"/>
  <c r="O23" i="24"/>
  <c r="O24" i="24"/>
  <c r="N23" i="24"/>
  <c r="N24" i="24"/>
  <c r="I23" i="24"/>
  <c r="I24" i="24"/>
  <c r="H23" i="24"/>
  <c r="H24" i="24"/>
  <c r="G23" i="24"/>
  <c r="G24" i="24"/>
  <c r="F23" i="24"/>
  <c r="F24" i="24"/>
  <c r="Q22" i="24"/>
  <c r="P22" i="24"/>
  <c r="O22" i="24"/>
  <c r="I22" i="24"/>
  <c r="H22" i="24"/>
  <c r="G22" i="24"/>
  <c r="F22" i="24"/>
  <c r="AD25" i="23"/>
  <c r="AC25" i="23"/>
  <c r="AE25" i="23"/>
  <c r="AF25" i="23"/>
  <c r="AG25" i="23"/>
  <c r="AH25" i="23"/>
  <c r="AI25" i="23"/>
  <c r="AB25" i="23"/>
  <c r="AC24" i="23"/>
  <c r="AD24" i="23"/>
  <c r="AE24" i="23"/>
  <c r="AF24" i="23"/>
  <c r="AG24" i="23"/>
  <c r="AH24" i="23"/>
  <c r="AI24" i="23"/>
  <c r="T23" i="23"/>
  <c r="T24" i="23"/>
  <c r="U23" i="23"/>
  <c r="U24" i="23"/>
  <c r="V23" i="23"/>
  <c r="V24" i="23"/>
  <c r="W23" i="23"/>
  <c r="W24" i="23"/>
  <c r="X23" i="23"/>
  <c r="X24" i="23"/>
  <c r="Y23" i="23"/>
  <c r="Y24" i="23"/>
  <c r="S23" i="23"/>
  <c r="S24" i="23"/>
  <c r="T22" i="23"/>
  <c r="U22" i="23"/>
  <c r="V22" i="23"/>
  <c r="W22" i="23"/>
  <c r="X22" i="23"/>
  <c r="Y22" i="23"/>
  <c r="S22" i="23"/>
  <c r="G23" i="23"/>
  <c r="G24" i="23"/>
  <c r="H23" i="23"/>
  <c r="H24" i="23"/>
  <c r="I23" i="23"/>
  <c r="I24" i="23"/>
  <c r="J23" i="23"/>
  <c r="J24" i="23"/>
  <c r="K23" i="23"/>
  <c r="K24" i="23"/>
  <c r="L23" i="23"/>
  <c r="L24" i="23"/>
  <c r="F23" i="23"/>
  <c r="F24" i="23"/>
  <c r="G22" i="23"/>
  <c r="H22" i="23"/>
  <c r="I22" i="23"/>
  <c r="J22" i="23"/>
  <c r="K22" i="23"/>
  <c r="L22" i="23"/>
  <c r="F22" i="23"/>
  <c r="R5" i="21"/>
  <c r="S7" i="21"/>
  <c r="T7" i="21"/>
  <c r="U7" i="21"/>
  <c r="S8" i="21"/>
  <c r="T8" i="21"/>
  <c r="U8" i="21"/>
  <c r="S9" i="21"/>
  <c r="T9" i="21"/>
  <c r="U9" i="21"/>
  <c r="S10" i="21"/>
  <c r="T10" i="21"/>
  <c r="U10" i="21"/>
  <c r="S11" i="21"/>
  <c r="T11" i="21"/>
  <c r="U11" i="21"/>
  <c r="S13" i="21"/>
  <c r="T13" i="21"/>
  <c r="U13" i="21"/>
  <c r="S14" i="21"/>
  <c r="T14" i="21"/>
  <c r="U14" i="21"/>
  <c r="S15" i="21"/>
  <c r="T15" i="21"/>
  <c r="U15" i="21"/>
  <c r="S16" i="21"/>
  <c r="T16" i="21"/>
  <c r="U16" i="21"/>
  <c r="S18" i="21"/>
  <c r="T18" i="21"/>
  <c r="U18" i="21"/>
  <c r="S19" i="21"/>
  <c r="T19" i="21"/>
  <c r="U19" i="21"/>
  <c r="S20" i="21"/>
  <c r="T20" i="21"/>
  <c r="U20" i="21"/>
  <c r="S22" i="21"/>
  <c r="T22" i="21"/>
  <c r="U22" i="21"/>
  <c r="S23" i="21"/>
  <c r="T23" i="21"/>
  <c r="U23" i="21"/>
  <c r="S24" i="21"/>
  <c r="T24" i="21"/>
  <c r="U24" i="21"/>
  <c r="S5" i="21"/>
  <c r="T5" i="21"/>
  <c r="U5" i="21"/>
  <c r="S25" i="21"/>
  <c r="T25" i="21"/>
  <c r="U25" i="21"/>
  <c r="S26" i="21"/>
  <c r="T26" i="21"/>
  <c r="U26" i="21"/>
  <c r="P25" i="21"/>
  <c r="Q2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P26" i="21"/>
  <c r="Q26" i="21"/>
  <c r="R26" i="21"/>
  <c r="D26" i="21"/>
  <c r="E26" i="21"/>
  <c r="E27" i="21"/>
  <c r="F26" i="21"/>
  <c r="F27" i="21"/>
  <c r="G26" i="21"/>
  <c r="G27" i="21"/>
  <c r="H26" i="21"/>
  <c r="H27" i="21"/>
  <c r="I26" i="21"/>
  <c r="I27" i="21"/>
  <c r="J26" i="21"/>
  <c r="J27" i="21"/>
  <c r="K26" i="21"/>
  <c r="K27" i="21"/>
  <c r="D27" i="21"/>
  <c r="AC26" i="21"/>
  <c r="AC27" i="21"/>
  <c r="AD26" i="21"/>
  <c r="AD27" i="21"/>
  <c r="AE26" i="21"/>
  <c r="AE27" i="21"/>
  <c r="AF26" i="21"/>
  <c r="AF27" i="21"/>
  <c r="AG26" i="21"/>
  <c r="AG27" i="21"/>
  <c r="AH26" i="21"/>
  <c r="AH27" i="21"/>
  <c r="AI26" i="21"/>
  <c r="AI27" i="21"/>
  <c r="AB26" i="21"/>
  <c r="AB27" i="21"/>
  <c r="AV4" i="20"/>
  <c r="AW4" i="20"/>
  <c r="AX4" i="20"/>
  <c r="AY4" i="20"/>
  <c r="AV5" i="20"/>
  <c r="AW5" i="20"/>
  <c r="AX5" i="20"/>
  <c r="AY5" i="20"/>
  <c r="AV6" i="20"/>
  <c r="AW6" i="20"/>
  <c r="AX6" i="20"/>
  <c r="AY6" i="20"/>
  <c r="AV7" i="20"/>
  <c r="AW7" i="20"/>
  <c r="AX7" i="20"/>
  <c r="AY7" i="20"/>
  <c r="AV8" i="20"/>
  <c r="AW8" i="20"/>
  <c r="AX8" i="20"/>
  <c r="AY8" i="20"/>
  <c r="AV9" i="20"/>
  <c r="AW9" i="20"/>
  <c r="AX9" i="20"/>
  <c r="AY9" i="20"/>
  <c r="AV11" i="20"/>
  <c r="AW11" i="20"/>
  <c r="AX11" i="20"/>
  <c r="AY11" i="20"/>
  <c r="AV12" i="20"/>
  <c r="AW12" i="20"/>
  <c r="AX12" i="20"/>
  <c r="AY12" i="20"/>
  <c r="AV13" i="20"/>
  <c r="AW13" i="20"/>
  <c r="AX13" i="20"/>
  <c r="AY13" i="20"/>
  <c r="AV14" i="20"/>
  <c r="AW14" i="20"/>
  <c r="AX14" i="20"/>
  <c r="AY14" i="20"/>
  <c r="AV15" i="20"/>
  <c r="AW15" i="20"/>
  <c r="AX15" i="20"/>
  <c r="AY15" i="20"/>
  <c r="AV16" i="20"/>
  <c r="AW16" i="20"/>
  <c r="AX16" i="20"/>
  <c r="AY16" i="20"/>
  <c r="AV17" i="20"/>
  <c r="AW17" i="20"/>
  <c r="AX17" i="20"/>
  <c r="AY17" i="20"/>
  <c r="AV18" i="20"/>
  <c r="AW18" i="20"/>
  <c r="AX18" i="20"/>
  <c r="AY18" i="20"/>
  <c r="AV19" i="20"/>
  <c r="AW19" i="20"/>
  <c r="AX19" i="20"/>
  <c r="AY19" i="20"/>
  <c r="AV20" i="20"/>
  <c r="AW20" i="20"/>
  <c r="AX20" i="20"/>
  <c r="AY20" i="20"/>
  <c r="AV21" i="20"/>
  <c r="AW21" i="20"/>
  <c r="AX21" i="20"/>
  <c r="AY21" i="20"/>
  <c r="AV22" i="20"/>
  <c r="AW22" i="20"/>
  <c r="AX22" i="20"/>
  <c r="AY22" i="20"/>
  <c r="AW3" i="20"/>
  <c r="AX3" i="20"/>
  <c r="AY3" i="20"/>
  <c r="AV3" i="20"/>
  <c r="N5" i="21"/>
  <c r="N7" i="21"/>
  <c r="N8" i="21"/>
  <c r="N9" i="21"/>
  <c r="N10" i="21"/>
  <c r="N11" i="21"/>
  <c r="N13" i="21"/>
  <c r="N14" i="21"/>
  <c r="N15" i="21"/>
  <c r="N16" i="21"/>
  <c r="N18" i="21"/>
  <c r="N19" i="21"/>
  <c r="N20" i="21"/>
  <c r="N22" i="21"/>
  <c r="N23" i="21"/>
  <c r="N24" i="21"/>
  <c r="N25" i="21"/>
  <c r="M5" i="21"/>
  <c r="M7" i="21"/>
  <c r="M8" i="21"/>
  <c r="M9" i="21"/>
  <c r="M10" i="21"/>
  <c r="M11" i="21"/>
  <c r="M13" i="21"/>
  <c r="M14" i="21"/>
  <c r="M15" i="21"/>
  <c r="M16" i="21"/>
  <c r="M18" i="21"/>
  <c r="M19" i="21"/>
  <c r="M20" i="21"/>
  <c r="M22" i="21"/>
  <c r="M23" i="21"/>
  <c r="M24" i="21"/>
  <c r="M25" i="21"/>
  <c r="O5" i="21"/>
  <c r="O7" i="21"/>
  <c r="O8" i="21"/>
  <c r="O9" i="21"/>
  <c r="O10" i="21"/>
  <c r="O11" i="21"/>
  <c r="O13" i="21"/>
  <c r="O14" i="21"/>
  <c r="O15" i="21"/>
  <c r="O16" i="21"/>
  <c r="O18" i="21"/>
  <c r="O19" i="21"/>
  <c r="O20" i="21"/>
  <c r="O22" i="21"/>
  <c r="O23" i="21"/>
  <c r="O24" i="21"/>
  <c r="O25" i="21"/>
  <c r="L26" i="21"/>
  <c r="M26" i="21"/>
  <c r="N26" i="21"/>
  <c r="O26" i="21"/>
  <c r="AE29" i="21"/>
  <c r="AD29" i="21"/>
  <c r="AC29" i="21"/>
  <c r="AB29" i="21"/>
  <c r="AE28" i="21"/>
  <c r="AD28" i="21"/>
  <c r="AC28" i="21"/>
  <c r="AB28" i="21"/>
  <c r="AI25" i="21"/>
  <c r="AH25" i="21"/>
  <c r="AG25" i="21"/>
  <c r="AF25" i="21"/>
  <c r="AE25" i="21"/>
  <c r="AD25" i="21"/>
  <c r="AC25" i="21"/>
  <c r="AB25" i="21"/>
  <c r="E29" i="21"/>
  <c r="F29" i="21"/>
  <c r="G29" i="21"/>
  <c r="D29" i="21"/>
  <c r="F28" i="21"/>
  <c r="G28" i="21"/>
  <c r="D28" i="21"/>
  <c r="H25" i="21"/>
  <c r="I25" i="21"/>
  <c r="J25" i="21"/>
  <c r="K25" i="21"/>
  <c r="E25" i="21"/>
  <c r="F25" i="21"/>
  <c r="G25" i="21"/>
  <c r="D25" i="21"/>
  <c r="BX20" i="9"/>
  <c r="BY20" i="9"/>
  <c r="BZ20" i="9"/>
  <c r="BX21" i="9"/>
  <c r="BY21" i="9"/>
  <c r="BZ21" i="9"/>
  <c r="BX22" i="9"/>
  <c r="BY22" i="9"/>
  <c r="BZ22" i="9"/>
  <c r="CF20" i="9"/>
  <c r="CF21" i="9"/>
  <c r="CF22" i="9"/>
  <c r="CA20" i="9"/>
  <c r="CB20" i="9"/>
  <c r="CC20" i="9"/>
  <c r="CD20" i="9"/>
  <c r="CE20" i="9"/>
  <c r="CA21" i="9"/>
  <c r="CB21" i="9"/>
  <c r="CC21" i="9"/>
  <c r="CD21" i="9"/>
  <c r="CE21" i="9"/>
  <c r="CA22" i="9"/>
  <c r="CB22" i="9"/>
  <c r="CC22" i="9"/>
  <c r="CD22" i="9"/>
  <c r="CE22" i="9"/>
  <c r="BV3" i="9"/>
  <c r="BS3" i="9"/>
  <c r="BW3" i="9"/>
  <c r="BV4" i="9"/>
  <c r="BS4" i="9"/>
  <c r="BW4" i="9"/>
  <c r="BV5" i="9"/>
  <c r="BS5" i="9"/>
  <c r="BW5" i="9"/>
  <c r="BV6" i="9"/>
  <c r="BS6" i="9"/>
  <c r="BW6" i="9"/>
  <c r="BV7" i="9"/>
  <c r="BS7" i="9"/>
  <c r="BW7" i="9"/>
  <c r="BV8" i="9"/>
  <c r="BS8" i="9"/>
  <c r="BW8" i="9"/>
  <c r="BV9" i="9"/>
  <c r="BS9" i="9"/>
  <c r="BW9" i="9"/>
  <c r="BV10" i="9"/>
  <c r="BS10" i="9"/>
  <c r="BW10" i="9"/>
  <c r="BV11" i="9"/>
  <c r="BS11" i="9"/>
  <c r="BW11" i="9"/>
  <c r="BV12" i="9"/>
  <c r="BS12" i="9"/>
  <c r="BW12" i="9"/>
  <c r="BV13" i="9"/>
  <c r="BS13" i="9"/>
  <c r="BW13" i="9"/>
  <c r="BV14" i="9"/>
  <c r="BS14" i="9"/>
  <c r="BW14" i="9"/>
  <c r="BV15" i="9"/>
  <c r="BS15" i="9"/>
  <c r="BW15" i="9"/>
  <c r="BV16" i="9"/>
  <c r="BS16" i="9"/>
  <c r="BW16" i="9"/>
  <c r="BV17" i="9"/>
  <c r="BS17" i="9"/>
  <c r="BW17" i="9"/>
  <c r="BV18" i="9"/>
  <c r="BS18" i="9"/>
  <c r="BW18" i="9"/>
  <c r="BV19" i="9"/>
  <c r="BS19" i="9"/>
  <c r="BW19" i="9"/>
  <c r="BW20" i="9"/>
  <c r="BW21" i="9"/>
  <c r="BW22" i="9"/>
  <c r="BV2" i="9"/>
  <c r="BS2" i="9"/>
  <c r="BW2" i="9"/>
  <c r="BQ20" i="9"/>
  <c r="BR20" i="9"/>
  <c r="BS20" i="9"/>
  <c r="BT20" i="9"/>
  <c r="BU20" i="9"/>
  <c r="BV20" i="9"/>
  <c r="BQ21" i="9"/>
  <c r="BR21" i="9"/>
  <c r="BS21" i="9"/>
  <c r="BT21" i="9"/>
  <c r="BU21" i="9"/>
  <c r="BV21" i="9"/>
  <c r="BQ22" i="9"/>
  <c r="BR22" i="9"/>
  <c r="BS22" i="9"/>
  <c r="BT22" i="9"/>
  <c r="BU22" i="9"/>
  <c r="BV22" i="9"/>
  <c r="BI20" i="9"/>
  <c r="BI21" i="9"/>
  <c r="BI22" i="9"/>
  <c r="BN20" i="9"/>
  <c r="BN21" i="9"/>
  <c r="BN22" i="9"/>
  <c r="BM20" i="9"/>
  <c r="BM21" i="9"/>
  <c r="BM22" i="9"/>
  <c r="BH20" i="9"/>
  <c r="BH21" i="9"/>
  <c r="BH22" i="9"/>
  <c r="BL24" i="9"/>
  <c r="BL20" i="9"/>
  <c r="BL21" i="9"/>
  <c r="BL22" i="9"/>
  <c r="BF21" i="9"/>
  <c r="BF22" i="9"/>
  <c r="BG21" i="9"/>
  <c r="BG22" i="9"/>
  <c r="BE21" i="9"/>
  <c r="BE22" i="9"/>
  <c r="BF20" i="9"/>
  <c r="BG20" i="9"/>
  <c r="BE20" i="9"/>
  <c r="AZ3" i="9"/>
  <c r="AZ4" i="9"/>
  <c r="AZ5" i="9"/>
  <c r="AZ6" i="9"/>
  <c r="AZ7" i="9"/>
  <c r="AZ8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" i="9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3" i="1"/>
  <c r="BD4" i="1"/>
  <c r="BD5" i="1"/>
  <c r="BD6" i="1"/>
  <c r="BD7" i="1"/>
  <c r="BD8" i="1"/>
  <c r="BD9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3" i="1"/>
  <c r="F49" i="1"/>
  <c r="F50" i="1"/>
  <c r="F51" i="1"/>
  <c r="BH50" i="4"/>
  <c r="I25" i="9"/>
  <c r="J25" i="9"/>
  <c r="K25" i="9"/>
  <c r="L25" i="9"/>
  <c r="M25" i="9"/>
  <c r="N25" i="9"/>
  <c r="I26" i="9"/>
  <c r="J26" i="9"/>
  <c r="K26" i="9"/>
  <c r="L26" i="9"/>
  <c r="M26" i="9"/>
  <c r="N26" i="9"/>
  <c r="I27" i="9"/>
  <c r="J27" i="9"/>
  <c r="K27" i="9"/>
  <c r="L27" i="9"/>
  <c r="M27" i="9"/>
  <c r="N27" i="9"/>
  <c r="I28" i="9"/>
  <c r="J28" i="9"/>
  <c r="K28" i="9"/>
  <c r="L28" i="9"/>
  <c r="M28" i="9"/>
  <c r="N28" i="9"/>
  <c r="I29" i="9"/>
  <c r="J29" i="9"/>
  <c r="K29" i="9"/>
  <c r="L29" i="9"/>
  <c r="M29" i="9"/>
  <c r="N29" i="9"/>
  <c r="I30" i="9"/>
  <c r="J30" i="9"/>
  <c r="K30" i="9"/>
  <c r="L30" i="9"/>
  <c r="M30" i="9"/>
  <c r="N30" i="9"/>
  <c r="I31" i="9"/>
  <c r="J31" i="9"/>
  <c r="K31" i="9"/>
  <c r="L31" i="9"/>
  <c r="M31" i="9"/>
  <c r="N31" i="9"/>
  <c r="I32" i="9"/>
  <c r="J32" i="9"/>
  <c r="K32" i="9"/>
  <c r="L32" i="9"/>
  <c r="M32" i="9"/>
  <c r="N32" i="9"/>
  <c r="I33" i="9"/>
  <c r="J33" i="9"/>
  <c r="K33" i="9"/>
  <c r="L33" i="9"/>
  <c r="M33" i="9"/>
  <c r="N33" i="9"/>
  <c r="I34" i="9"/>
  <c r="J34" i="9"/>
  <c r="K34" i="9"/>
  <c r="L34" i="9"/>
  <c r="M34" i="9"/>
  <c r="N34" i="9"/>
  <c r="I35" i="9"/>
  <c r="J35" i="9"/>
  <c r="K35" i="9"/>
  <c r="L35" i="9"/>
  <c r="M35" i="9"/>
  <c r="N35" i="9"/>
  <c r="I36" i="9"/>
  <c r="J36" i="9"/>
  <c r="K36" i="9"/>
  <c r="L36" i="9"/>
  <c r="M36" i="9"/>
  <c r="N36" i="9"/>
  <c r="I37" i="9"/>
  <c r="J37" i="9"/>
  <c r="K37" i="9"/>
  <c r="L37" i="9"/>
  <c r="M37" i="9"/>
  <c r="N37" i="9"/>
  <c r="I38" i="9"/>
  <c r="J38" i="9"/>
  <c r="K38" i="9"/>
  <c r="L38" i="9"/>
  <c r="M38" i="9"/>
  <c r="N38" i="9"/>
  <c r="I39" i="9"/>
  <c r="J39" i="9"/>
  <c r="K39" i="9"/>
  <c r="L39" i="9"/>
  <c r="M39" i="9"/>
  <c r="N39" i="9"/>
  <c r="I40" i="9"/>
  <c r="J40" i="9"/>
  <c r="K40" i="9"/>
  <c r="L40" i="9"/>
  <c r="M40" i="9"/>
  <c r="N40" i="9"/>
  <c r="I41" i="9"/>
  <c r="J41" i="9"/>
  <c r="K41" i="9"/>
  <c r="L41" i="9"/>
  <c r="M41" i="9"/>
  <c r="N41" i="9"/>
  <c r="I42" i="9"/>
  <c r="J42" i="9"/>
  <c r="K42" i="9"/>
  <c r="L42" i="9"/>
  <c r="M42" i="9"/>
  <c r="N42" i="9"/>
  <c r="I43" i="9"/>
  <c r="J43" i="9"/>
  <c r="K43" i="9"/>
  <c r="L43" i="9"/>
  <c r="M43" i="9"/>
  <c r="N43" i="9"/>
  <c r="I44" i="9"/>
  <c r="J44" i="9"/>
  <c r="K44" i="9"/>
  <c r="L44" i="9"/>
  <c r="M44" i="9"/>
  <c r="N4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25" i="9"/>
  <c r="B28" i="9"/>
  <c r="B26" i="9"/>
  <c r="B27" i="9"/>
  <c r="F45" i="9"/>
  <c r="D45" i="9"/>
  <c r="N45" i="9"/>
  <c r="B45" i="9"/>
  <c r="G46" i="9"/>
  <c r="G47" i="9"/>
  <c r="I45" i="9"/>
  <c r="F46" i="9"/>
  <c r="F47" i="9"/>
  <c r="L45" i="9"/>
  <c r="N46" i="9"/>
  <c r="N47" i="9"/>
  <c r="J45" i="9"/>
  <c r="C46" i="9"/>
  <c r="C47" i="9"/>
  <c r="M45" i="9"/>
  <c r="B46" i="9"/>
  <c r="B47" i="9"/>
  <c r="G45" i="9"/>
  <c r="C45" i="9"/>
  <c r="E45" i="9"/>
  <c r="M46" i="9"/>
  <c r="M47" i="9"/>
  <c r="I46" i="9"/>
  <c r="I47" i="9"/>
  <c r="K46" i="9"/>
  <c r="K47" i="9"/>
  <c r="J46" i="9"/>
  <c r="J47" i="9"/>
  <c r="E46" i="9"/>
  <c r="E47" i="9"/>
  <c r="K45" i="9"/>
  <c r="D46" i="9"/>
  <c r="D47" i="9"/>
  <c r="L46" i="9"/>
  <c r="L47" i="9"/>
  <c r="L22" i="9"/>
  <c r="L24" i="9"/>
  <c r="M22" i="9"/>
  <c r="M24" i="9"/>
  <c r="J22" i="9"/>
  <c r="J24" i="9"/>
  <c r="K22" i="9"/>
  <c r="K24" i="9"/>
  <c r="I22" i="9"/>
  <c r="I24" i="9"/>
  <c r="N22" i="9"/>
  <c r="N24" i="9"/>
  <c r="BA25" i="4"/>
  <c r="BA24" i="4"/>
  <c r="BB24" i="4"/>
  <c r="BC24" i="4"/>
  <c r="BD24" i="4"/>
  <c r="BE24" i="4"/>
  <c r="BG24" i="4"/>
  <c r="BF24" i="4"/>
  <c r="F25" i="4"/>
  <c r="F26" i="4"/>
  <c r="G25" i="4"/>
  <c r="G26" i="4"/>
  <c r="H25" i="4"/>
  <c r="H26" i="4"/>
  <c r="I25" i="4"/>
  <c r="I26" i="4"/>
  <c r="J25" i="4"/>
  <c r="J26" i="4"/>
  <c r="K25" i="4"/>
  <c r="K26" i="4"/>
  <c r="L25" i="4"/>
  <c r="L26" i="4"/>
  <c r="M25" i="4"/>
  <c r="M26" i="4"/>
  <c r="N25" i="4"/>
  <c r="N26" i="4"/>
  <c r="O25" i="4"/>
  <c r="O26" i="4"/>
  <c r="P25" i="4"/>
  <c r="P26" i="4"/>
  <c r="Q25" i="4"/>
  <c r="Q26" i="4"/>
  <c r="R25" i="4"/>
  <c r="R26" i="4"/>
  <c r="S25" i="4"/>
  <c r="S26" i="4"/>
  <c r="T25" i="4"/>
  <c r="T26" i="4"/>
  <c r="U25" i="4"/>
  <c r="U26" i="4"/>
  <c r="V25" i="4"/>
  <c r="V26" i="4"/>
  <c r="W25" i="4"/>
  <c r="W26" i="4"/>
  <c r="X25" i="4"/>
  <c r="X26" i="4"/>
  <c r="Y25" i="4"/>
  <c r="Y26" i="4"/>
  <c r="Z25" i="4"/>
  <c r="Z26" i="4"/>
  <c r="AA25" i="4"/>
  <c r="AA26" i="4"/>
  <c r="AB25" i="4"/>
  <c r="AB26" i="4"/>
  <c r="AC25" i="4"/>
  <c r="AC26" i="4"/>
  <c r="AD25" i="4"/>
  <c r="AD26" i="4"/>
  <c r="AE25" i="4"/>
  <c r="AE26" i="4"/>
  <c r="AF25" i="4"/>
  <c r="AF26" i="4"/>
  <c r="AG25" i="4"/>
  <c r="AG26" i="4"/>
  <c r="AH25" i="4"/>
  <c r="AH26" i="4"/>
  <c r="AI25" i="4"/>
  <c r="AI26" i="4"/>
  <c r="AJ25" i="4"/>
  <c r="AJ26" i="4"/>
  <c r="AK25" i="4"/>
  <c r="AK26" i="4"/>
  <c r="AL25" i="4"/>
  <c r="AL26" i="4"/>
  <c r="AM25" i="4"/>
  <c r="AM26" i="4"/>
  <c r="AN25" i="4"/>
  <c r="AN26" i="4"/>
  <c r="AO25" i="4"/>
  <c r="AO26" i="4"/>
  <c r="AP25" i="4"/>
  <c r="AP26" i="4"/>
  <c r="AQ25" i="4"/>
  <c r="AQ26" i="4"/>
  <c r="AR25" i="4"/>
  <c r="AR26" i="4"/>
  <c r="AS25" i="4"/>
  <c r="AS26" i="4"/>
  <c r="AT25" i="4"/>
  <c r="AT26" i="4"/>
  <c r="AU25" i="4"/>
  <c r="AU26" i="4"/>
  <c r="AV25" i="4"/>
  <c r="AV26" i="4"/>
  <c r="AW25" i="4"/>
  <c r="AW26" i="4"/>
  <c r="AX25" i="4"/>
  <c r="AX26" i="4"/>
  <c r="AY25" i="4"/>
  <c r="AY26" i="4"/>
  <c r="AZ25" i="4"/>
  <c r="AZ26" i="4"/>
  <c r="E25" i="4"/>
  <c r="E26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E24" i="4"/>
  <c r="C22" i="9"/>
  <c r="C24" i="9"/>
  <c r="D22" i="9"/>
  <c r="D24" i="9"/>
  <c r="E22" i="9"/>
  <c r="E24" i="9"/>
  <c r="F22" i="9"/>
  <c r="F24" i="9"/>
  <c r="F51" i="4"/>
  <c r="F52" i="4"/>
  <c r="G51" i="4"/>
  <c r="G52" i="4"/>
  <c r="H51" i="4"/>
  <c r="H52" i="4"/>
  <c r="I51" i="4"/>
  <c r="I52" i="4"/>
  <c r="J51" i="4"/>
  <c r="J52" i="4"/>
  <c r="K51" i="4"/>
  <c r="K52" i="4"/>
  <c r="L51" i="4"/>
  <c r="L52" i="4"/>
  <c r="M51" i="4"/>
  <c r="M52" i="4"/>
  <c r="N51" i="4"/>
  <c r="N52" i="4"/>
  <c r="O51" i="4"/>
  <c r="O52" i="4"/>
  <c r="P51" i="4"/>
  <c r="P52" i="4"/>
  <c r="Q51" i="4"/>
  <c r="Q52" i="4"/>
  <c r="R51" i="4"/>
  <c r="R52" i="4"/>
  <c r="S51" i="4"/>
  <c r="S52" i="4"/>
  <c r="T51" i="4"/>
  <c r="T52" i="4"/>
  <c r="U51" i="4"/>
  <c r="U52" i="4"/>
  <c r="V51" i="4"/>
  <c r="V52" i="4"/>
  <c r="W51" i="4"/>
  <c r="W52" i="4"/>
  <c r="X51" i="4"/>
  <c r="X52" i="4"/>
  <c r="Y51" i="4"/>
  <c r="Y52" i="4"/>
  <c r="Z51" i="4"/>
  <c r="Z52" i="4"/>
  <c r="AA51" i="4"/>
  <c r="AA52" i="4"/>
  <c r="AB51" i="4"/>
  <c r="AB52" i="4"/>
  <c r="AC51" i="4"/>
  <c r="AC52" i="4"/>
  <c r="AD51" i="4"/>
  <c r="AD52" i="4"/>
  <c r="AE51" i="4"/>
  <c r="AE52" i="4"/>
  <c r="AF51" i="4"/>
  <c r="AF52" i="4"/>
  <c r="AG51" i="4"/>
  <c r="AG52" i="4"/>
  <c r="AH51" i="4"/>
  <c r="AH52" i="4"/>
  <c r="AI51" i="4"/>
  <c r="AI52" i="4"/>
  <c r="AJ51" i="4"/>
  <c r="AJ52" i="4"/>
  <c r="AK51" i="4"/>
  <c r="AK52" i="4"/>
  <c r="AL51" i="4"/>
  <c r="AL52" i="4"/>
  <c r="AM51" i="4"/>
  <c r="AM52" i="4"/>
  <c r="AN51" i="4"/>
  <c r="AN52" i="4"/>
  <c r="AO51" i="4"/>
  <c r="AO52" i="4"/>
  <c r="AP51" i="4"/>
  <c r="AP52" i="4"/>
  <c r="AQ51" i="4"/>
  <c r="AQ52" i="4"/>
  <c r="AR51" i="4"/>
  <c r="AR52" i="4"/>
  <c r="AS51" i="4"/>
  <c r="AS52" i="4"/>
  <c r="AT51" i="4"/>
  <c r="AT52" i="4"/>
  <c r="AU51" i="4"/>
  <c r="AU52" i="4"/>
  <c r="AV51" i="4"/>
  <c r="AV52" i="4"/>
  <c r="AW51" i="4"/>
  <c r="AW52" i="4"/>
  <c r="AX51" i="4"/>
  <c r="AX52" i="4"/>
  <c r="AY51" i="4"/>
  <c r="AY52" i="4"/>
  <c r="AZ51" i="4"/>
  <c r="AZ52" i="4"/>
  <c r="BA51" i="4"/>
  <c r="BA52" i="4"/>
  <c r="BB51" i="4"/>
  <c r="BB52" i="4"/>
  <c r="BC51" i="4"/>
  <c r="BC52" i="4"/>
  <c r="BD51" i="4"/>
  <c r="BD52" i="4"/>
  <c r="BE51" i="4"/>
  <c r="BE52" i="4"/>
  <c r="BF51" i="4"/>
  <c r="BF52" i="4"/>
  <c r="E51" i="4"/>
  <c r="E52" i="4"/>
  <c r="BG51" i="4"/>
  <c r="BG52" i="4"/>
  <c r="BG50" i="4"/>
  <c r="BB25" i="4"/>
  <c r="BB26" i="4"/>
  <c r="BC25" i="4"/>
  <c r="BC26" i="4"/>
  <c r="BD25" i="4"/>
  <c r="BD26" i="4"/>
  <c r="BE25" i="4"/>
  <c r="BE26" i="4"/>
  <c r="BF25" i="4"/>
  <c r="BF26" i="4"/>
  <c r="BG25" i="4"/>
  <c r="BG26" i="4"/>
  <c r="BA26" i="4"/>
  <c r="BF50" i="4"/>
  <c r="BE50" i="4"/>
  <c r="BD50" i="4"/>
  <c r="BC50" i="4"/>
  <c r="BB50" i="4"/>
  <c r="BA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E50" i="4"/>
  <c r="G22" i="9"/>
  <c r="G24" i="9"/>
  <c r="E49" i="1"/>
  <c r="E50" i="1"/>
  <c r="E51" i="1"/>
  <c r="N49" i="3"/>
  <c r="N50" i="3"/>
  <c r="N51" i="3"/>
  <c r="Z48" i="2"/>
  <c r="Z49" i="2"/>
  <c r="BM49" i="3"/>
  <c r="AA49" i="3"/>
  <c r="CH49" i="3"/>
  <c r="AV49" i="3"/>
  <c r="CT49" i="3"/>
  <c r="L49" i="3"/>
  <c r="CN49" i="3"/>
  <c r="BP49" i="3"/>
  <c r="CA49" i="3"/>
  <c r="CJ49" i="3"/>
  <c r="Z49" i="3"/>
  <c r="CC49" i="3"/>
  <c r="F49" i="3"/>
  <c r="BV49" i="3"/>
  <c r="BK49" i="3"/>
  <c r="CL49" i="3"/>
  <c r="W49" i="3"/>
  <c r="BL49" i="3"/>
  <c r="J49" i="3"/>
  <c r="CP49" i="3"/>
  <c r="E49" i="3"/>
  <c r="K49" i="3"/>
  <c r="BU49" i="3"/>
  <c r="CI49" i="3"/>
  <c r="Y49" i="3"/>
  <c r="AU49" i="3"/>
  <c r="AI49" i="3"/>
  <c r="CB49" i="3"/>
  <c r="CS49" i="3"/>
  <c r="AR49" i="3"/>
  <c r="CE49" i="3"/>
  <c r="H49" i="3"/>
  <c r="Q49" i="3"/>
  <c r="T49" i="3"/>
  <c r="G49" i="3"/>
  <c r="V49" i="3"/>
  <c r="AM49" i="3"/>
  <c r="O49" i="3"/>
  <c r="AW49" i="3"/>
  <c r="BC49" i="3"/>
  <c r="AZ49" i="3"/>
  <c r="CF49" i="3"/>
  <c r="BZ49" i="3"/>
  <c r="AQ49" i="3"/>
  <c r="AN49" i="3"/>
  <c r="BY49" i="3"/>
  <c r="BN49" i="3"/>
  <c r="BI49" i="3"/>
  <c r="AG49" i="3"/>
  <c r="BJ49" i="3"/>
  <c r="AO49" i="3"/>
  <c r="CQ49" i="3"/>
  <c r="AY49" i="3"/>
  <c r="AJ49" i="3"/>
  <c r="CM49" i="3"/>
  <c r="S49" i="3"/>
  <c r="BF49" i="3"/>
  <c r="AB49" i="3"/>
  <c r="BX49" i="3"/>
  <c r="BG49" i="3"/>
  <c r="AH49" i="3"/>
  <c r="P49" i="3"/>
  <c r="BB49" i="3"/>
  <c r="BQ49" i="3"/>
  <c r="BD49" i="3"/>
  <c r="AL49" i="3"/>
  <c r="CR49" i="3"/>
  <c r="BA49" i="3"/>
  <c r="U49" i="3"/>
  <c r="R49" i="3"/>
  <c r="AD49" i="3"/>
  <c r="AX49" i="3"/>
  <c r="BE49" i="3"/>
  <c r="M49" i="3"/>
  <c r="BS49" i="3"/>
  <c r="AS49" i="3"/>
  <c r="CG49" i="3"/>
  <c r="CK49" i="3"/>
  <c r="AP49" i="3"/>
  <c r="AE49" i="3"/>
  <c r="I49" i="3"/>
  <c r="AF49" i="3"/>
  <c r="BR49" i="3"/>
  <c r="BW49" i="3"/>
  <c r="AC49" i="3"/>
  <c r="X49" i="3"/>
  <c r="BH49" i="3"/>
  <c r="CO49" i="3"/>
  <c r="BT49" i="3"/>
  <c r="AT49" i="3"/>
  <c r="AK49" i="3"/>
  <c r="BO49" i="3"/>
  <c r="CD49" i="3"/>
  <c r="BM50" i="3"/>
  <c r="BM51" i="3"/>
  <c r="AA50" i="3"/>
  <c r="AA51" i="3"/>
  <c r="CH50" i="3"/>
  <c r="CH51" i="3"/>
  <c r="AV50" i="3"/>
  <c r="AV51" i="3"/>
  <c r="CT50" i="3"/>
  <c r="CT51" i="3"/>
  <c r="L50" i="3"/>
  <c r="L51" i="3"/>
  <c r="CN50" i="3"/>
  <c r="CN51" i="3"/>
  <c r="BP50" i="3"/>
  <c r="BP51" i="3"/>
  <c r="CA50" i="3"/>
  <c r="CA51" i="3"/>
  <c r="CJ50" i="3"/>
  <c r="CJ51" i="3"/>
  <c r="Z50" i="3"/>
  <c r="Z51" i="3"/>
  <c r="CC50" i="3"/>
  <c r="CC51" i="3"/>
  <c r="F50" i="3"/>
  <c r="F51" i="3"/>
  <c r="BV50" i="3"/>
  <c r="BV51" i="3"/>
  <c r="BK50" i="3"/>
  <c r="BK51" i="3"/>
  <c r="CL50" i="3"/>
  <c r="CL51" i="3"/>
  <c r="W50" i="3"/>
  <c r="W51" i="3"/>
  <c r="BL50" i="3"/>
  <c r="BL51" i="3"/>
  <c r="J50" i="3"/>
  <c r="J51" i="3"/>
  <c r="CP50" i="3"/>
  <c r="CP51" i="3"/>
  <c r="E50" i="3"/>
  <c r="E51" i="3"/>
  <c r="K50" i="3"/>
  <c r="K51" i="3"/>
  <c r="BU50" i="3"/>
  <c r="BU51" i="3"/>
  <c r="CI50" i="3"/>
  <c r="CI51" i="3"/>
  <c r="Y50" i="3"/>
  <c r="Y51" i="3"/>
  <c r="AU50" i="3"/>
  <c r="AU51" i="3"/>
  <c r="AI50" i="3"/>
  <c r="AI51" i="3"/>
  <c r="CB50" i="3"/>
  <c r="CB51" i="3"/>
  <c r="CS50" i="3"/>
  <c r="CS51" i="3"/>
  <c r="AR50" i="3"/>
  <c r="AR51" i="3"/>
  <c r="CE50" i="3"/>
  <c r="CE51" i="3"/>
  <c r="H50" i="3"/>
  <c r="H51" i="3"/>
  <c r="Q50" i="3"/>
  <c r="Q51" i="3"/>
  <c r="T50" i="3"/>
  <c r="T51" i="3"/>
  <c r="G50" i="3"/>
  <c r="G51" i="3"/>
  <c r="V50" i="3"/>
  <c r="V51" i="3"/>
  <c r="AM50" i="3"/>
  <c r="AM51" i="3"/>
  <c r="O50" i="3"/>
  <c r="O51" i="3"/>
  <c r="AW50" i="3"/>
  <c r="AW51" i="3"/>
  <c r="BC50" i="3"/>
  <c r="BC51" i="3"/>
  <c r="AZ50" i="3"/>
  <c r="AZ51" i="3"/>
  <c r="CF50" i="3"/>
  <c r="CF51" i="3"/>
  <c r="BZ50" i="3"/>
  <c r="BZ51" i="3"/>
  <c r="AQ50" i="3"/>
  <c r="AQ51" i="3"/>
  <c r="AN50" i="3"/>
  <c r="AN51" i="3"/>
  <c r="BY50" i="3"/>
  <c r="BY51" i="3"/>
  <c r="BN50" i="3"/>
  <c r="BN51" i="3"/>
  <c r="BI50" i="3"/>
  <c r="BI51" i="3"/>
  <c r="AG50" i="3"/>
  <c r="AG51" i="3"/>
  <c r="BJ50" i="3"/>
  <c r="BJ51" i="3"/>
  <c r="AO50" i="3"/>
  <c r="AO51" i="3"/>
  <c r="CQ50" i="3"/>
  <c r="CQ51" i="3"/>
  <c r="AY50" i="3"/>
  <c r="AY51" i="3"/>
  <c r="AJ50" i="3"/>
  <c r="AJ51" i="3"/>
  <c r="CM50" i="3"/>
  <c r="CM51" i="3"/>
  <c r="S50" i="3"/>
  <c r="S51" i="3"/>
  <c r="BF50" i="3"/>
  <c r="BF51" i="3"/>
  <c r="AB50" i="3"/>
  <c r="AB51" i="3"/>
  <c r="BX50" i="3"/>
  <c r="BX51" i="3"/>
  <c r="BG50" i="3"/>
  <c r="BG51" i="3"/>
  <c r="AH50" i="3"/>
  <c r="AH51" i="3"/>
  <c r="P50" i="3"/>
  <c r="P51" i="3"/>
  <c r="BB50" i="3"/>
  <c r="BB51" i="3"/>
  <c r="BQ50" i="3"/>
  <c r="BQ51" i="3"/>
  <c r="BD50" i="3"/>
  <c r="BD51" i="3"/>
  <c r="AL50" i="3"/>
  <c r="AL51" i="3"/>
  <c r="CR50" i="3"/>
  <c r="CR51" i="3"/>
  <c r="BA50" i="3"/>
  <c r="BA51" i="3"/>
  <c r="U50" i="3"/>
  <c r="U51" i="3"/>
  <c r="R50" i="3"/>
  <c r="R51" i="3"/>
  <c r="AD50" i="3"/>
  <c r="AD51" i="3"/>
  <c r="AX50" i="3"/>
  <c r="AX51" i="3"/>
  <c r="BE50" i="3"/>
  <c r="BE51" i="3"/>
  <c r="M50" i="3"/>
  <c r="M51" i="3"/>
  <c r="BS50" i="3"/>
  <c r="BS51" i="3"/>
  <c r="AS50" i="3"/>
  <c r="AS51" i="3"/>
  <c r="CG50" i="3"/>
  <c r="CG51" i="3"/>
  <c r="CK50" i="3"/>
  <c r="CK51" i="3"/>
  <c r="AP50" i="3"/>
  <c r="AP51" i="3"/>
  <c r="AE50" i="3"/>
  <c r="AE51" i="3"/>
  <c r="I50" i="3"/>
  <c r="I51" i="3"/>
  <c r="AF50" i="3"/>
  <c r="AF51" i="3"/>
  <c r="BR50" i="3"/>
  <c r="BR51" i="3"/>
  <c r="BW50" i="3"/>
  <c r="BW51" i="3"/>
  <c r="AC50" i="3"/>
  <c r="AC51" i="3"/>
  <c r="X50" i="3"/>
  <c r="X51" i="3"/>
  <c r="BH50" i="3"/>
  <c r="BH51" i="3"/>
  <c r="CO50" i="3"/>
  <c r="CO51" i="3"/>
  <c r="BT50" i="3"/>
  <c r="BT51" i="3"/>
  <c r="AT50" i="3"/>
  <c r="AT51" i="3"/>
  <c r="AK50" i="3"/>
  <c r="AK51" i="3"/>
  <c r="BO50" i="3"/>
  <c r="BO51" i="3"/>
  <c r="CD50" i="3"/>
  <c r="CD51" i="3"/>
  <c r="BM23" i="3"/>
  <c r="AA23" i="3"/>
  <c r="CH23" i="3"/>
  <c r="AV23" i="3"/>
  <c r="CT23" i="3"/>
  <c r="L23" i="3"/>
  <c r="CN23" i="3"/>
  <c r="BP23" i="3"/>
  <c r="CA23" i="3"/>
  <c r="CJ23" i="3"/>
  <c r="Z23" i="3"/>
  <c r="CC23" i="3"/>
  <c r="F23" i="3"/>
  <c r="BV23" i="3"/>
  <c r="BK23" i="3"/>
  <c r="CL23" i="3"/>
  <c r="W23" i="3"/>
  <c r="BL23" i="3"/>
  <c r="J23" i="3"/>
  <c r="CP23" i="3"/>
  <c r="E23" i="3"/>
  <c r="K23" i="3"/>
  <c r="BU23" i="3"/>
  <c r="CI23" i="3"/>
  <c r="Y23" i="3"/>
  <c r="AU23" i="3"/>
  <c r="AI23" i="3"/>
  <c r="CB23" i="3"/>
  <c r="CS23" i="3"/>
  <c r="AR23" i="3"/>
  <c r="CE23" i="3"/>
  <c r="H23" i="3"/>
  <c r="Q23" i="3"/>
  <c r="T23" i="3"/>
  <c r="G23" i="3"/>
  <c r="V23" i="3"/>
  <c r="AM23" i="3"/>
  <c r="O23" i="3"/>
  <c r="AW23" i="3"/>
  <c r="BC23" i="3"/>
  <c r="AZ23" i="3"/>
  <c r="CF23" i="3"/>
  <c r="BZ23" i="3"/>
  <c r="AQ23" i="3"/>
  <c r="AN23" i="3"/>
  <c r="BY23" i="3"/>
  <c r="BN23" i="3"/>
  <c r="BI23" i="3"/>
  <c r="AG23" i="3"/>
  <c r="BJ23" i="3"/>
  <c r="AO23" i="3"/>
  <c r="CQ23" i="3"/>
  <c r="AY23" i="3"/>
  <c r="AJ23" i="3"/>
  <c r="CM23" i="3"/>
  <c r="S23" i="3"/>
  <c r="BF23" i="3"/>
  <c r="AB23" i="3"/>
  <c r="BX23" i="3"/>
  <c r="BG23" i="3"/>
  <c r="AH23" i="3"/>
  <c r="P23" i="3"/>
  <c r="BB23" i="3"/>
  <c r="BQ23" i="3"/>
  <c r="BD23" i="3"/>
  <c r="AL23" i="3"/>
  <c r="CR23" i="3"/>
  <c r="BA23" i="3"/>
  <c r="U23" i="3"/>
  <c r="R23" i="3"/>
  <c r="AD23" i="3"/>
  <c r="AX23" i="3"/>
  <c r="BE23" i="3"/>
  <c r="M23" i="3"/>
  <c r="BS23" i="3"/>
  <c r="AS23" i="3"/>
  <c r="CG23" i="3"/>
  <c r="CK23" i="3"/>
  <c r="AP23" i="3"/>
  <c r="AE23" i="3"/>
  <c r="I23" i="3"/>
  <c r="AF23" i="3"/>
  <c r="BR23" i="3"/>
  <c r="BW23" i="3"/>
  <c r="AC23" i="3"/>
  <c r="X23" i="3"/>
  <c r="BH23" i="3"/>
  <c r="CO23" i="3"/>
  <c r="BT23" i="3"/>
  <c r="AT23" i="3"/>
  <c r="AK23" i="3"/>
  <c r="BO23" i="3"/>
  <c r="CD23" i="3"/>
  <c r="BM24" i="3"/>
  <c r="BM25" i="3"/>
  <c r="AA24" i="3"/>
  <c r="AA25" i="3"/>
  <c r="CH24" i="3"/>
  <c r="CH25" i="3"/>
  <c r="CT24" i="3"/>
  <c r="CT25" i="3"/>
  <c r="L24" i="3"/>
  <c r="L25" i="3"/>
  <c r="CA24" i="3"/>
  <c r="CA25" i="3"/>
  <c r="CJ24" i="3"/>
  <c r="CJ25" i="3"/>
  <c r="CC24" i="3"/>
  <c r="CC25" i="3"/>
  <c r="BV24" i="3"/>
  <c r="BV25" i="3"/>
  <c r="CL24" i="3"/>
  <c r="CL25" i="3"/>
  <c r="W24" i="3"/>
  <c r="W25" i="3"/>
  <c r="BL24" i="3"/>
  <c r="BL25" i="3"/>
  <c r="CP24" i="3"/>
  <c r="CP25" i="3"/>
  <c r="BU24" i="3"/>
  <c r="BU25" i="3"/>
  <c r="CI24" i="3"/>
  <c r="CI25" i="3"/>
  <c r="Y24" i="3"/>
  <c r="Y25" i="3"/>
  <c r="CB24" i="3"/>
  <c r="CB25" i="3"/>
  <c r="CS24" i="3"/>
  <c r="CS25" i="3"/>
  <c r="Q24" i="3"/>
  <c r="Q25" i="3"/>
  <c r="T24" i="3"/>
  <c r="T25" i="3"/>
  <c r="G24" i="3"/>
  <c r="G25" i="3"/>
  <c r="V24" i="3"/>
  <c r="V25" i="3"/>
  <c r="BN24" i="3"/>
  <c r="BN25" i="3"/>
  <c r="CQ24" i="3"/>
  <c r="CQ25" i="3"/>
  <c r="AJ24" i="3"/>
  <c r="AJ25" i="3"/>
  <c r="S24" i="3"/>
  <c r="S25" i="3"/>
  <c r="AB24" i="3"/>
  <c r="AB25" i="3"/>
  <c r="BQ24" i="3"/>
  <c r="BQ25" i="3"/>
  <c r="CR24" i="3"/>
  <c r="CR25" i="3"/>
  <c r="U24" i="3"/>
  <c r="U25" i="3"/>
  <c r="R24" i="3"/>
  <c r="R25" i="3"/>
  <c r="BS24" i="3"/>
  <c r="BS25" i="3"/>
  <c r="CK24" i="3"/>
  <c r="CK25" i="3"/>
  <c r="AF24" i="3"/>
  <c r="AF25" i="3"/>
  <c r="BR24" i="3"/>
  <c r="BR25" i="3"/>
  <c r="BW24" i="3"/>
  <c r="BW25" i="3"/>
  <c r="X24" i="3"/>
  <c r="X25" i="3"/>
  <c r="BT24" i="3"/>
  <c r="BT25" i="3"/>
  <c r="BO24" i="3"/>
  <c r="BO25" i="3"/>
  <c r="N23" i="3"/>
  <c r="N24" i="3"/>
  <c r="N25" i="3"/>
  <c r="E23" i="1"/>
  <c r="E24" i="1"/>
  <c r="E25" i="1"/>
  <c r="E47" i="2"/>
  <c r="E48" i="2"/>
  <c r="E49" i="2"/>
  <c r="T48" i="2"/>
  <c r="T49" i="2"/>
  <c r="O48" i="2"/>
  <c r="O49" i="2"/>
  <c r="U48" i="2"/>
  <c r="U49" i="2"/>
  <c r="V48" i="2"/>
  <c r="V49" i="2"/>
  <c r="I48" i="2"/>
  <c r="I49" i="2"/>
  <c r="K48" i="2"/>
  <c r="K49" i="2"/>
  <c r="J48" i="2"/>
  <c r="J49" i="2"/>
  <c r="S48" i="2"/>
  <c r="S49" i="2"/>
  <c r="M48" i="2"/>
  <c r="M49" i="2"/>
  <c r="R48" i="2"/>
  <c r="R49" i="2"/>
  <c r="AF48" i="2"/>
  <c r="AF49" i="2"/>
  <c r="Y48" i="2"/>
  <c r="Y49" i="2"/>
  <c r="AD48" i="2"/>
  <c r="AD49" i="2"/>
  <c r="H48" i="2"/>
  <c r="H49" i="2"/>
  <c r="AA48" i="2"/>
  <c r="AA49" i="2"/>
  <c r="AG48" i="2"/>
  <c r="AG49" i="2"/>
  <c r="W48" i="2"/>
  <c r="W49" i="2"/>
  <c r="AE48" i="2"/>
  <c r="AE49" i="2"/>
  <c r="AC48" i="2"/>
  <c r="AC49" i="2"/>
  <c r="X48" i="2"/>
  <c r="X49" i="2"/>
  <c r="AB48" i="2"/>
  <c r="AB49" i="2"/>
  <c r="N48" i="2"/>
  <c r="N49" i="2"/>
  <c r="L48" i="2"/>
  <c r="L49" i="2"/>
  <c r="G48" i="2"/>
  <c r="G49" i="2"/>
  <c r="Q48" i="2"/>
  <c r="Q49" i="2"/>
  <c r="F48" i="2"/>
  <c r="F49" i="2"/>
  <c r="P48" i="2"/>
  <c r="P49" i="2"/>
  <c r="Z47" i="2"/>
  <c r="T47" i="2"/>
  <c r="O47" i="2"/>
  <c r="U47" i="2"/>
  <c r="V47" i="2"/>
  <c r="I47" i="2"/>
  <c r="K47" i="2"/>
  <c r="J47" i="2"/>
  <c r="S47" i="2"/>
  <c r="M47" i="2"/>
  <c r="R47" i="2"/>
  <c r="AF47" i="2"/>
  <c r="Y47" i="2"/>
  <c r="AD47" i="2"/>
  <c r="H47" i="2"/>
  <c r="AA47" i="2"/>
  <c r="AG47" i="2"/>
  <c r="W47" i="2"/>
  <c r="AE47" i="2"/>
  <c r="AC47" i="2"/>
  <c r="X47" i="2"/>
  <c r="AB47" i="2"/>
  <c r="N47" i="2"/>
  <c r="L47" i="2"/>
  <c r="G47" i="2"/>
  <c r="Q47" i="2"/>
  <c r="F47" i="2"/>
  <c r="P47" i="2"/>
  <c r="Z23" i="2"/>
  <c r="Z24" i="2"/>
  <c r="T23" i="2"/>
  <c r="T24" i="2"/>
  <c r="O23" i="2"/>
  <c r="O24" i="2"/>
  <c r="U23" i="2"/>
  <c r="U24" i="2"/>
  <c r="V23" i="2"/>
  <c r="V24" i="2"/>
  <c r="I23" i="2"/>
  <c r="I24" i="2"/>
  <c r="K23" i="2"/>
  <c r="K24" i="2"/>
  <c r="J23" i="2"/>
  <c r="J24" i="2"/>
  <c r="S23" i="2"/>
  <c r="S24" i="2"/>
  <c r="M23" i="2"/>
  <c r="M24" i="2"/>
  <c r="R23" i="2"/>
  <c r="R24" i="2"/>
  <c r="AF23" i="2"/>
  <c r="AF24" i="2"/>
  <c r="Y23" i="2"/>
  <c r="Y24" i="2"/>
  <c r="AD23" i="2"/>
  <c r="AD24" i="2"/>
  <c r="H23" i="2"/>
  <c r="H24" i="2"/>
  <c r="AA23" i="2"/>
  <c r="AA24" i="2"/>
  <c r="AG23" i="2"/>
  <c r="AG24" i="2"/>
  <c r="W23" i="2"/>
  <c r="W24" i="2"/>
  <c r="AE23" i="2"/>
  <c r="AE24" i="2"/>
  <c r="AC23" i="2"/>
  <c r="AC24" i="2"/>
  <c r="X23" i="2"/>
  <c r="X24" i="2"/>
  <c r="AB23" i="2"/>
  <c r="AB24" i="2"/>
  <c r="N23" i="2"/>
  <c r="N24" i="2"/>
  <c r="L23" i="2"/>
  <c r="L24" i="2"/>
  <c r="G23" i="2"/>
  <c r="G24" i="2"/>
  <c r="Q23" i="2"/>
  <c r="Q24" i="2"/>
  <c r="F23" i="2"/>
  <c r="F24" i="2"/>
  <c r="P23" i="2"/>
  <c r="P24" i="2"/>
  <c r="E23" i="2"/>
  <c r="E24" i="2"/>
  <c r="Z22" i="2"/>
  <c r="T22" i="2"/>
  <c r="O22" i="2"/>
  <c r="U22" i="2"/>
  <c r="V22" i="2"/>
  <c r="I22" i="2"/>
  <c r="K22" i="2"/>
  <c r="J22" i="2"/>
  <c r="S22" i="2"/>
  <c r="M22" i="2"/>
  <c r="R22" i="2"/>
  <c r="AF22" i="2"/>
  <c r="Y22" i="2"/>
  <c r="AD22" i="2"/>
  <c r="H22" i="2"/>
  <c r="AA22" i="2"/>
  <c r="AG22" i="2"/>
  <c r="W22" i="2"/>
  <c r="AE22" i="2"/>
  <c r="AC22" i="2"/>
  <c r="X22" i="2"/>
  <c r="AB22" i="2"/>
  <c r="N22" i="2"/>
  <c r="L22" i="2"/>
  <c r="G22" i="2"/>
  <c r="Q22" i="2"/>
  <c r="F22" i="2"/>
  <c r="P22" i="2"/>
  <c r="E22" i="2"/>
  <c r="R50" i="1"/>
  <c r="R51" i="1"/>
  <c r="L50" i="1"/>
  <c r="L51" i="1"/>
  <c r="G50" i="1"/>
  <c r="G51" i="1"/>
  <c r="K50" i="1"/>
  <c r="K51" i="1"/>
  <c r="N50" i="1"/>
  <c r="N51" i="1"/>
  <c r="W50" i="1"/>
  <c r="W51" i="1"/>
  <c r="S50" i="1"/>
  <c r="S51" i="1"/>
  <c r="T50" i="1"/>
  <c r="T51" i="1"/>
  <c r="AG50" i="1"/>
  <c r="AG51" i="1"/>
  <c r="P50" i="1"/>
  <c r="P51" i="1"/>
  <c r="AE50" i="1"/>
  <c r="AE51" i="1"/>
  <c r="X50" i="1"/>
  <c r="X51" i="1"/>
  <c r="J50" i="1"/>
  <c r="J51" i="1"/>
  <c r="AD50" i="1"/>
  <c r="AD51" i="1"/>
  <c r="AA50" i="1"/>
  <c r="AA51" i="1"/>
  <c r="AC50" i="1"/>
  <c r="AC51" i="1"/>
  <c r="AF50" i="1"/>
  <c r="AF51" i="1"/>
  <c r="I50" i="1"/>
  <c r="I51" i="1"/>
  <c r="U50" i="1"/>
  <c r="U51" i="1"/>
  <c r="H50" i="1"/>
  <c r="H51" i="1"/>
  <c r="O50" i="1"/>
  <c r="O51" i="1"/>
  <c r="M50" i="1"/>
  <c r="M51" i="1"/>
  <c r="V50" i="1"/>
  <c r="V51" i="1"/>
  <c r="Z50" i="1"/>
  <c r="Z51" i="1"/>
  <c r="Q50" i="1"/>
  <c r="Q51" i="1"/>
  <c r="Y50" i="1"/>
  <c r="Y51" i="1"/>
  <c r="AB50" i="1"/>
  <c r="AB51" i="1"/>
  <c r="R49" i="1"/>
  <c r="L49" i="1"/>
  <c r="G49" i="1"/>
  <c r="K49" i="1"/>
  <c r="N49" i="1"/>
  <c r="W49" i="1"/>
  <c r="S49" i="1"/>
  <c r="T49" i="1"/>
  <c r="AG49" i="1"/>
  <c r="P49" i="1"/>
  <c r="AE49" i="1"/>
  <c r="X49" i="1"/>
  <c r="J49" i="1"/>
  <c r="AD49" i="1"/>
  <c r="AA49" i="1"/>
  <c r="AC49" i="1"/>
  <c r="AF49" i="1"/>
  <c r="I49" i="1"/>
  <c r="U49" i="1"/>
  <c r="H49" i="1"/>
  <c r="O49" i="1"/>
  <c r="M49" i="1"/>
  <c r="V49" i="1"/>
  <c r="Z49" i="1"/>
  <c r="Q49" i="1"/>
  <c r="Y49" i="1"/>
  <c r="AB49" i="1"/>
  <c r="R24" i="1"/>
  <c r="R25" i="1"/>
  <c r="L24" i="1"/>
  <c r="L25" i="1"/>
  <c r="G24" i="1"/>
  <c r="G25" i="1"/>
  <c r="F24" i="1"/>
  <c r="F25" i="1"/>
  <c r="K24" i="1"/>
  <c r="K25" i="1"/>
  <c r="N24" i="1"/>
  <c r="N25" i="1"/>
  <c r="W24" i="1"/>
  <c r="W25" i="1"/>
  <c r="S24" i="1"/>
  <c r="S25" i="1"/>
  <c r="T24" i="1"/>
  <c r="T25" i="1"/>
  <c r="AG24" i="1"/>
  <c r="AG25" i="1"/>
  <c r="P24" i="1"/>
  <c r="P25" i="1"/>
  <c r="AE24" i="1"/>
  <c r="AE25" i="1"/>
  <c r="X24" i="1"/>
  <c r="X25" i="1"/>
  <c r="J24" i="1"/>
  <c r="J25" i="1"/>
  <c r="AD24" i="1"/>
  <c r="AD25" i="1"/>
  <c r="AA24" i="1"/>
  <c r="AA25" i="1"/>
  <c r="AC24" i="1"/>
  <c r="AC25" i="1"/>
  <c r="AF24" i="1"/>
  <c r="AF25" i="1"/>
  <c r="I24" i="1"/>
  <c r="I25" i="1"/>
  <c r="U24" i="1"/>
  <c r="U25" i="1"/>
  <c r="H24" i="1"/>
  <c r="H25" i="1"/>
  <c r="O24" i="1"/>
  <c r="O25" i="1"/>
  <c r="M24" i="1"/>
  <c r="M25" i="1"/>
  <c r="V24" i="1"/>
  <c r="V25" i="1"/>
  <c r="Z24" i="1"/>
  <c r="Z25" i="1"/>
  <c r="Q24" i="1"/>
  <c r="Q25" i="1"/>
  <c r="Y24" i="1"/>
  <c r="Y25" i="1"/>
  <c r="AB24" i="1"/>
  <c r="AB25" i="1"/>
  <c r="R23" i="1"/>
  <c r="L23" i="1"/>
  <c r="G23" i="1"/>
  <c r="F23" i="1"/>
  <c r="K23" i="1"/>
  <c r="N23" i="1"/>
  <c r="W23" i="1"/>
  <c r="S23" i="1"/>
  <c r="T23" i="1"/>
  <c r="AG23" i="1"/>
  <c r="P23" i="1"/>
  <c r="AE23" i="1"/>
  <c r="X23" i="1"/>
  <c r="J23" i="1"/>
  <c r="AD23" i="1"/>
  <c r="AA23" i="1"/>
  <c r="AC23" i="1"/>
  <c r="AF23" i="1"/>
  <c r="I23" i="1"/>
  <c r="U23" i="1"/>
  <c r="H23" i="1"/>
  <c r="O23" i="1"/>
  <c r="M23" i="1"/>
  <c r="V23" i="1"/>
  <c r="Z23" i="1"/>
  <c r="Q23" i="1"/>
  <c r="Y23" i="1"/>
  <c r="AB23" i="1"/>
  <c r="KA25" i="65"/>
  <c r="DY23" i="71"/>
  <c r="KL24" i="71"/>
  <c r="MM23" i="71"/>
  <c r="MM24" i="71"/>
  <c r="LY24" i="71"/>
  <c r="LY23" i="71"/>
  <c r="KM24" i="71"/>
  <c r="KM23" i="71"/>
  <c r="KN3" i="71"/>
  <c r="LR24" i="71"/>
  <c r="LR23" i="71"/>
  <c r="KN23" i="71"/>
  <c r="KN24" i="71"/>
  <c r="KO3" i="71"/>
  <c r="CI13" i="70"/>
  <c r="CI14" i="70"/>
  <c r="BW18" i="70"/>
  <c r="CH3" i="70"/>
  <c r="CI5" i="70"/>
  <c r="DA19" i="70"/>
  <c r="CI17" i="70"/>
  <c r="CI15" i="70"/>
  <c r="CI12" i="70"/>
  <c r="CI10" i="70"/>
  <c r="CI6" i="70"/>
  <c r="BM19" i="70"/>
  <c r="CH14" i="70"/>
  <c r="CH10" i="70"/>
  <c r="CH17" i="70"/>
  <c r="CH8" i="70"/>
  <c r="CH6" i="70"/>
  <c r="CI3" i="70"/>
  <c r="CI9" i="70"/>
  <c r="CI7" i="70"/>
  <c r="CI4" i="70"/>
  <c r="CG18" i="70"/>
  <c r="CH13" i="70"/>
  <c r="CH7" i="70"/>
  <c r="AF19" i="70"/>
  <c r="AT19" i="70"/>
  <c r="BS18" i="70"/>
  <c r="BV19" i="70"/>
  <c r="BT19" i="70"/>
  <c r="CU18" i="70"/>
  <c r="DB18" i="70"/>
  <c r="AF18" i="70"/>
  <c r="BZ18" i="70"/>
  <c r="BW19" i="70"/>
  <c r="CH16" i="70"/>
  <c r="CH9" i="70"/>
  <c r="CR19" i="70"/>
  <c r="CI16" i="70"/>
  <c r="CI11" i="70"/>
  <c r="CI8" i="70"/>
  <c r="CH15" i="70"/>
  <c r="CH12" i="70"/>
  <c r="CH5" i="70"/>
  <c r="BH18" i="70"/>
  <c r="CO18" i="70"/>
  <c r="AT18" i="70"/>
  <c r="CU19" i="70"/>
  <c r="CL18" i="70"/>
  <c r="DP18" i="70"/>
  <c r="CG19" i="70"/>
  <c r="BV18" i="70"/>
  <c r="BT18" i="70"/>
  <c r="BS19" i="70"/>
  <c r="CH11" i="70"/>
  <c r="DA18" i="70"/>
  <c r="DB19" i="70"/>
  <c r="BZ19" i="70"/>
  <c r="BH19" i="70"/>
  <c r="BM18" i="70"/>
  <c r="CO19" i="70"/>
  <c r="CH4" i="70"/>
  <c r="CR18" i="70"/>
  <c r="CL19" i="70"/>
  <c r="CI19" i="70"/>
  <c r="CI18" i="70"/>
  <c r="CH19" i="70"/>
  <c r="CH18" i="70"/>
</calcChain>
</file>

<file path=xl/sharedStrings.xml><?xml version="1.0" encoding="utf-8"?>
<sst xmlns="http://schemas.openxmlformats.org/spreadsheetml/2006/main" count="5287" uniqueCount="803">
  <si>
    <t>S1TW</t>
  </si>
  <si>
    <t>S2TS</t>
  </si>
  <si>
    <t>S3LR</t>
  </si>
  <si>
    <t>S4EG</t>
  </si>
  <si>
    <t>S5CW</t>
  </si>
  <si>
    <t>S6KG</t>
  </si>
  <si>
    <t>S7MT</t>
  </si>
  <si>
    <t>S8TSL</t>
  </si>
  <si>
    <t>S9JH</t>
  </si>
  <si>
    <t>S10SM</t>
  </si>
  <si>
    <t>S11DB</t>
  </si>
  <si>
    <t>S12JLH</t>
  </si>
  <si>
    <t>S13ES</t>
  </si>
  <si>
    <t>S14CH</t>
  </si>
  <si>
    <t>S15ST</t>
  </si>
  <si>
    <t>S16DO</t>
  </si>
  <si>
    <t>S17AF</t>
  </si>
  <si>
    <t>S18ADP</t>
  </si>
  <si>
    <t>S19TH</t>
  </si>
  <si>
    <t>S20JD</t>
  </si>
  <si>
    <t>subject #</t>
  </si>
  <si>
    <t>scan #</t>
  </si>
  <si>
    <t>How intense were the drug effects when at their peak ?</t>
  </si>
  <si>
    <t>Things looked strange</t>
  </si>
  <si>
    <t>I saw geometric patterns</t>
  </si>
  <si>
    <t>The experience had a dream like quality</t>
  </si>
  <si>
    <t>My imagintaion was extremely vivid</t>
  </si>
  <si>
    <t>My perception of time was distorted</t>
  </si>
  <si>
    <t>My sense of size and space was distorted</t>
  </si>
  <si>
    <t>I experienced a disintegration of my 'self' or 'ego'</t>
  </si>
  <si>
    <t>My thinking was muddled</t>
  </si>
  <si>
    <t>The experience had a supernatural quality</t>
  </si>
  <si>
    <t>I felt suspicious and paranoid</t>
  </si>
  <si>
    <t>I experienced a sense of merging with my surroundings</t>
  </si>
  <si>
    <t>I feared losing control of my mind</t>
  </si>
  <si>
    <t>The experience had a spiritual or mystical quality</t>
  </si>
  <si>
    <t>My thoughts wandered freely</t>
  </si>
  <si>
    <t>I saw scenes from my past</t>
  </si>
  <si>
    <t>I felt a profound inner peace</t>
  </si>
  <si>
    <t>I felt afraid</t>
  </si>
  <si>
    <t>I felt entirely normal</t>
  </si>
  <si>
    <t>I felt unusual bodily sensations</t>
  </si>
  <si>
    <t>I felt like I was floating</t>
  </si>
  <si>
    <t>Sounds influenced things I saw</t>
  </si>
  <si>
    <t>I saw movement in things that weren't really moving</t>
  </si>
  <si>
    <t>Edges appeared warped</t>
  </si>
  <si>
    <t>I felt energised and enthusiastic about things</t>
  </si>
  <si>
    <t>I felt an inner warmth</t>
  </si>
  <si>
    <t>I felt amazing</t>
  </si>
  <si>
    <t>I felt loved up</t>
  </si>
  <si>
    <t>I felt really sharp</t>
  </si>
  <si>
    <t xml:space="preserve">Order_LSD </t>
  </si>
  <si>
    <t>AVG</t>
  </si>
  <si>
    <t>SD</t>
  </si>
  <si>
    <t>SEM</t>
  </si>
  <si>
    <t>LSD</t>
  </si>
  <si>
    <t>PLAC</t>
  </si>
  <si>
    <t>TTEST_1</t>
  </si>
  <si>
    <t>TTEST_2</t>
  </si>
  <si>
    <t>I felt like I was in a wonderful other world.</t>
  </si>
  <si>
    <t>My thoughts and actions were slowed down.</t>
  </si>
  <si>
    <t>Body sensations were full of enjoyment.</t>
  </si>
  <si>
    <t>I heard single words without knowing where they came from.</t>
  </si>
  <si>
    <t>I heard rings and tones without knowing where they came from.</t>
  </si>
  <si>
    <t>I felt as if dark forces had overtaken me.</t>
  </si>
  <si>
    <t>I saw things I knew were not real.</t>
  </si>
  <si>
    <t>I felt like a doll on a string or a marionette.</t>
  </si>
  <si>
    <t>I felt connected to a higher power.</t>
  </si>
  <si>
    <t>I felt sleepy.</t>
  </si>
  <si>
    <t>I could not get a melody out of my mind.</t>
  </si>
  <si>
    <t>I experienced boundless joy.</t>
  </si>
  <si>
    <t>Meaningless noises sounded like real words or phrases to me.</t>
  </si>
  <si>
    <t xml:space="preserve">I saw regular patterns in complete darkness or with closed eyes. </t>
  </si>
  <si>
    <t>I felt drunk.</t>
  </si>
  <si>
    <t>I thought I would lastingly change in a wonderful way.</t>
  </si>
  <si>
    <t>I felt that I was on the verge of fainting.</t>
  </si>
  <si>
    <t>All things seemed to unify as a whole.</t>
  </si>
  <si>
    <t xml:space="preserve">I heard my thoughts as if I had spoken out loud. </t>
  </si>
  <si>
    <t>Sounds seemed to influence what I saw.</t>
  </si>
  <si>
    <t>I felt tortured.</t>
  </si>
  <si>
    <t>I saw colors in complete darkness or with closed eyes.</t>
  </si>
  <si>
    <t>Shapes seemed to be changed by sounds or noises.</t>
  </si>
  <si>
    <t>I perceived everything blurry, as if through a kind of fog.</t>
  </si>
  <si>
    <t>A voice commented on everything I thought although no one was there.</t>
  </si>
  <si>
    <t>I felt disembodied.</t>
  </si>
  <si>
    <t xml:space="preserve">I was incapable of making even the slightest decision. </t>
  </si>
  <si>
    <t>Some unimportant things acquired special meaning.</t>
  </si>
  <si>
    <t>I felt dozy.</t>
  </si>
  <si>
    <t>I heard full sentences without knowing where they came from.</t>
  </si>
  <si>
    <t>Things in my surroundings had a new or alien meaning.</t>
  </si>
  <si>
    <t xml:space="preserve">I was afraid of not being able to get out of the state in which I found myself. </t>
  </si>
  <si>
    <t>I saw brightness or flashes in complete darkness or with closed eyes.</t>
  </si>
  <si>
    <t>I felt one with my surroundings.</t>
  </si>
  <si>
    <t xml:space="preserve">Worries and fears of everyday life felt irrelevant. </t>
  </si>
  <si>
    <t>My sense of time and space was altered as if I was dreaming.</t>
  </si>
  <si>
    <t>My perception was hazy</t>
  </si>
  <si>
    <t>I had difficulties in distinguishing important from non-important.</t>
  </si>
  <si>
    <t>I saw whole scenes in complete darkness or with closed eyes.</t>
  </si>
  <si>
    <t>I felt extraordinary forces within me.</t>
  </si>
  <si>
    <t xml:space="preserve">I experienced a glimpse of eternity. </t>
  </si>
  <si>
    <t>Oppositions and contradictions seemed to resolve.</t>
  </si>
  <si>
    <t xml:space="preserve">I was scared without knowing why. </t>
  </si>
  <si>
    <t>I experienced everything as frighteningly distorted.</t>
  </si>
  <si>
    <t>The world seemed to me beyond good and evil.</t>
  </si>
  <si>
    <t>My surroundings appeared strange and eerie.</t>
  </si>
  <si>
    <t>I felt paralyzed.</t>
  </si>
  <si>
    <t>I heard music without knowing where it came from.</t>
  </si>
  <si>
    <t>I heard something faintly that I could not identify.</t>
  </si>
  <si>
    <t>I felt particularly profound.</t>
  </si>
  <si>
    <t xml:space="preserve">I felt dazed. </t>
  </si>
  <si>
    <t>I experienced past, present, and future as a unity.</t>
  </si>
  <si>
    <t>I had the feeling of unbearable emptiness.</t>
  </si>
  <si>
    <t xml:space="preserve">Objects in my surroundings touched me more emotionally. </t>
  </si>
  <si>
    <t xml:space="preserve">From an initially diffuse noise, which I could not identify as real, clear rings and tones evolved.  </t>
  </si>
  <si>
    <t>I felt threatened.</t>
  </si>
  <si>
    <t>Many things appeared to me as breathtakingly beautiful.</t>
  </si>
  <si>
    <t>Things came to my mind that I thought long forgotten.</t>
  </si>
  <si>
    <t xml:space="preserve">I felt like I do shortly before falling asleep. </t>
  </si>
  <si>
    <t>My body seemed numb, lifeless, or alien.</t>
  </si>
  <si>
    <t>I felt as if I was half-asleep.</t>
  </si>
  <si>
    <t>I had the impression I was out of my body.</t>
  </si>
  <si>
    <t>I felt like I was floating.</t>
  </si>
  <si>
    <t>I felt isolated from everything and everyone.</t>
  </si>
  <si>
    <t>I heard voices that did not come from the surroundings as usual.</t>
  </si>
  <si>
    <t xml:space="preserve">I heard buzzing, swooshing, or humming without recognizing the cause. </t>
  </si>
  <si>
    <t>My thoughts were always interrupted; I could not think anything to its end.</t>
  </si>
  <si>
    <t>I thought I was about to fall asleep.</t>
  </si>
  <si>
    <t>I had insights into the ways the world works that were mysterious to me before.</t>
  </si>
  <si>
    <t>Many things appeared incredibly funny to me.</t>
  </si>
  <si>
    <t xml:space="preserve">The boundaries between me and my surroundings seemed to vanish. </t>
  </si>
  <si>
    <t>I could see images from my memory or imagination with exceeding clarity.</t>
  </si>
  <si>
    <t>I felt completely free and detached from all obligations.</t>
  </si>
  <si>
    <t xml:space="preserve">I heard diffuse noises without knowing where they came from. </t>
  </si>
  <si>
    <t>Colors seemed to be altered by sounds or noises.</t>
  </si>
  <si>
    <t>Sounds and noises were less intense than normally.</t>
  </si>
  <si>
    <t>I had particularly inventive ideas.</t>
  </si>
  <si>
    <t>I had the impression of no longer having my own will.</t>
  </si>
  <si>
    <t>I was afraid of losing control over myself.</t>
  </si>
  <si>
    <t>I stayed in a very unnatural pose for an extended period of time.</t>
  </si>
  <si>
    <t>I felt full of awe.</t>
  </si>
  <si>
    <t xml:space="preserve">My imagination was extremely vivid. </t>
  </si>
  <si>
    <t>Things in my surroundings appeared smaller or larger.</t>
  </si>
  <si>
    <t>I felt exhausted.</t>
  </si>
  <si>
    <t>Time passed slowly in a painful way.</t>
  </si>
  <si>
    <t>I experienced a profound inner peace</t>
  </si>
  <si>
    <t>Everything around me seemed to be animated with life.</t>
  </si>
  <si>
    <t>Everything happened so fast that I could not follow it all.</t>
  </si>
  <si>
    <t>I had the feeling that something terrible was going to happen.</t>
  </si>
  <si>
    <t xml:space="preserve">I could remember certain events with exceeding clarity. </t>
  </si>
  <si>
    <t>I experienced all-embracing love.</t>
  </si>
  <si>
    <t>There were sounds in the room that I feel were unlikely to have been real.</t>
  </si>
  <si>
    <t>I heard a ticking, knocking, ringing, or rattling without being able to recognize the cause.</t>
  </si>
  <si>
    <t>My experience had a religious character.</t>
  </si>
  <si>
    <t xml:space="preserve">You enjoyed mixing with people </t>
  </si>
  <si>
    <t>You hesitated even when you knew what you are going to say</t>
  </si>
  <si>
    <t xml:space="preserve">Your mood went up and down a lot </t>
  </si>
  <si>
    <t xml:space="preserve">You felt that you could predict what was about to happen </t>
  </si>
  <si>
    <t>You felt more sensitive to light or the colour or brightness of things</t>
  </si>
  <si>
    <t xml:space="preserve">You felt close to people </t>
  </si>
  <si>
    <t xml:space="preserve">You thought you are being talked about </t>
  </si>
  <si>
    <t xml:space="preserve">It was more difficult than normal to follow conversations with people </t>
  </si>
  <si>
    <t xml:space="preserve">You felt rather indifferent about things </t>
  </si>
  <si>
    <t xml:space="preserve">Your mind jumped a lot from one thing to another </t>
  </si>
  <si>
    <t xml:space="preserve">You thought people were saying or doing things to annoy you </t>
  </si>
  <si>
    <t xml:space="preserve">You thought other people could read your mind </t>
  </si>
  <si>
    <t xml:space="preserve">You found it more difficult than usual to start doing things </t>
  </si>
  <si>
    <t xml:space="preserve">You were bothered by the idea that people were watching you </t>
  </si>
  <si>
    <t xml:space="preserve">You found activities less enjoyable than usual </t>
  </si>
  <si>
    <t xml:space="preserve">Your mind was so full of ideas that you couldn’t concentrate on one thing </t>
  </si>
  <si>
    <t xml:space="preserve">You felt that people had it in for you </t>
  </si>
  <si>
    <t xml:space="preserve">It was fun to do things with other people </t>
  </si>
  <si>
    <t xml:space="preserve">You felt that you had special or magical powers </t>
  </si>
  <si>
    <t xml:space="preserve">Your sense of smell was unusually strong or different </t>
  </si>
  <si>
    <t xml:space="preserve">You wanted to be the centre of attention more than usual </t>
  </si>
  <si>
    <t xml:space="preserve">Your experience of time was unnaturally fast or slow </t>
  </si>
  <si>
    <t xml:space="preserve">You felt that no one understands you </t>
  </si>
  <si>
    <t xml:space="preserve">You felt rather uninvolved with other people </t>
  </si>
  <si>
    <t xml:space="preserve">You thought people could put thoughts into your mind </t>
  </si>
  <si>
    <t xml:space="preserve">You were experiencing something very special or important </t>
  </si>
  <si>
    <t xml:space="preserve">Your hearing became very sensitive </t>
  </si>
  <si>
    <t xml:space="preserve">You found it difficult to think clearly </t>
  </si>
  <si>
    <t xml:space="preserve">You stopped to think things over before doing them </t>
  </si>
  <si>
    <t xml:space="preserve">Your speech was difficult to understand because your words were all mixed up </t>
  </si>
  <si>
    <t xml:space="preserve">You felt that you might cause something to happen just by thinking about it </t>
  </si>
  <si>
    <t xml:space="preserve">You felt as though your head, limbs or body had somehow changed </t>
  </si>
  <si>
    <t xml:space="preserve">You felt that you deserved to be punished in some way </t>
  </si>
  <si>
    <t xml:space="preserve">When you tried to concentrate many unrelated thoughts popped into your mind </t>
  </si>
  <si>
    <t xml:space="preserve">Your thoughts were sometimes so strong that you could almost hear them </t>
  </si>
  <si>
    <t xml:space="preserve">You saw a person's face in front of you when no one was in fact there </t>
  </si>
  <si>
    <t xml:space="preserve">Your thoughts stopped suddenly, interrupting what you were saying </t>
  </si>
  <si>
    <t xml:space="preserve">You had a vague sense of danger or sudden dread for reasons you don’t understand </t>
  </si>
  <si>
    <t xml:space="preserve">You would have felt uncomfortable if your friends were to have touched you </t>
  </si>
  <si>
    <t xml:space="preserve">You felt that you could read other people’s minds </t>
  </si>
  <si>
    <t xml:space="preserve">Ideas and insights came to you so fast that you couldn’t express them all </t>
  </si>
  <si>
    <t xml:space="preserve">You thought people were laughing about you behind your back </t>
  </si>
  <si>
    <t xml:space="preserve">You had the feeling of gaining or losing energy when people looked at or touched you </t>
  </si>
  <si>
    <t xml:space="preserve">You could sense an evil presence around you, even though you couldn’t see it </t>
  </si>
  <si>
    <t xml:space="preserve">You could see shapes and forms even though they weren’t there </t>
  </si>
  <si>
    <t xml:space="preserve">You were easily distracted when doing something or talking to someone </t>
  </si>
  <si>
    <t xml:space="preserve">You were confused by too much happening at the same time </t>
  </si>
  <si>
    <t xml:space="preserve">You believed you are a special person with an important mission </t>
  </si>
  <si>
    <t>SORTED ON LSD SCORE (DESCENDING ) - FOR GRAPH</t>
  </si>
  <si>
    <t>na</t>
  </si>
  <si>
    <t>R</t>
  </si>
  <si>
    <t>Delsuional_thinking = 4, 12, 19, 25, 26, 31, 35, 40</t>
  </si>
  <si>
    <t>delusion</t>
  </si>
  <si>
    <t>Perceptual distortion: 5, 20, 22, 27, 32, 36, 43, 44, 45.</t>
  </si>
  <si>
    <t>perception</t>
  </si>
  <si>
    <t>cognition</t>
  </si>
  <si>
    <t>cognitive_disorganisation: 2, 8, 10, 13, 28, 30, 34, 37, 46, 47.</t>
  </si>
  <si>
    <t>anhedonia</t>
  </si>
  <si>
    <t>anhedonia: 1, 6, 9, 15, 18, 24, 39.</t>
  </si>
  <si>
    <t>mania</t>
  </si>
  <si>
    <t>mania: 3, 16, 21, 29, 41, 48.</t>
  </si>
  <si>
    <t>paranoia</t>
  </si>
  <si>
    <t>paranoia: 7, 11, 14 17, 23, 33, 38, 42.</t>
  </si>
  <si>
    <t>Total score</t>
  </si>
  <si>
    <t xml:space="preserve"> </t>
  </si>
  <si>
    <t>OSE</t>
  </si>
  <si>
    <t>AIA</t>
  </si>
  <si>
    <t>VUS</t>
  </si>
  <si>
    <t>AVE</t>
  </si>
  <si>
    <t>VIR</t>
  </si>
  <si>
    <t>G-ABZ</t>
  </si>
  <si>
    <t>OSE = Oceanic boundlessness</t>
  </si>
  <si>
    <t>AIA = Anxious ego dissolution</t>
  </si>
  <si>
    <t>VUS = Visionary restructuralization</t>
  </si>
  <si>
    <t>AVE = Auditory alterations</t>
  </si>
  <si>
    <t>VIR = Reduction of vigilance</t>
  </si>
  <si>
    <t>G-ABZ = Global ASC (=OSE + AIA + VUS)</t>
  </si>
  <si>
    <t>PERCENT</t>
  </si>
  <si>
    <t>MAX</t>
  </si>
  <si>
    <t>PLACEBO</t>
  </si>
  <si>
    <t>Auditory</t>
  </si>
  <si>
    <t>Visual</t>
  </si>
  <si>
    <t>Reduced vigilance</t>
  </si>
  <si>
    <t xml:space="preserve">Oceanic </t>
  </si>
  <si>
    <t>Anxiety</t>
  </si>
  <si>
    <t>MEAN</t>
  </si>
  <si>
    <t>STDEV</t>
  </si>
  <si>
    <t>Global</t>
  </si>
  <si>
    <t>Delusion</t>
  </si>
  <si>
    <t>Perception</t>
  </si>
  <si>
    <t>Cognition</t>
  </si>
  <si>
    <t>Anhedonia</t>
  </si>
  <si>
    <t>Mania</t>
  </si>
  <si>
    <t>Paranoia</t>
  </si>
  <si>
    <t>STAI</t>
  </si>
  <si>
    <t>TELLEGEN</t>
  </si>
  <si>
    <t>PSI</t>
  </si>
  <si>
    <t>SHAPS</t>
  </si>
  <si>
    <t>RRS</t>
  </si>
  <si>
    <t>DAS</t>
  </si>
  <si>
    <t>LOT-R</t>
  </si>
  <si>
    <t>CLUSTER</t>
  </si>
  <si>
    <t>CONSC</t>
  </si>
  <si>
    <t>AGREE</t>
  </si>
  <si>
    <t>OPEN</t>
  </si>
  <si>
    <t>NEUROT</t>
  </si>
  <si>
    <t>EXTRO</t>
  </si>
  <si>
    <t>ACUTE</t>
  </si>
  <si>
    <t>BASELINE</t>
  </si>
  <si>
    <t>EGO_ASL_1_3</t>
  </si>
  <si>
    <t>EGO_ASL1_3</t>
  </si>
  <si>
    <t>OPEN_CHANGE</t>
  </si>
  <si>
    <t>LOT-R_CHANGE</t>
  </si>
  <si>
    <t>AGREE_CHANGE</t>
  </si>
  <si>
    <t>missing</t>
  </si>
  <si>
    <t>BDI</t>
  </si>
  <si>
    <t>QIDS</t>
  </si>
  <si>
    <t>A</t>
  </si>
  <si>
    <t>C</t>
  </si>
  <si>
    <t>E</t>
  </si>
  <si>
    <t>N</t>
  </si>
  <si>
    <t>O</t>
  </si>
  <si>
    <t>incomplete</t>
  </si>
  <si>
    <t>SUBJECTS</t>
  </si>
  <si>
    <t>S1_LSD1</t>
  </si>
  <si>
    <t>S2_LSD1</t>
  </si>
  <si>
    <t>S3_LSD1</t>
  </si>
  <si>
    <t>S4_LSD1</t>
  </si>
  <si>
    <t>S5_LSD1</t>
  </si>
  <si>
    <t>S6_LSD1</t>
  </si>
  <si>
    <t>S7_LSD1</t>
  </si>
  <si>
    <t>S9_LSD1</t>
  </si>
  <si>
    <t>S10_LSD1</t>
  </si>
  <si>
    <t>S11_LSD1</t>
  </si>
  <si>
    <t>S12_LSD1</t>
  </si>
  <si>
    <t>S13_LSD1</t>
  </si>
  <si>
    <t>S15_LSD1</t>
  </si>
  <si>
    <t>S16_LSD1</t>
  </si>
  <si>
    <t>S17_LSD1</t>
  </si>
  <si>
    <t>S18_LSD1</t>
  </si>
  <si>
    <t>S19_LSD1</t>
  </si>
  <si>
    <t>S20_LSD1</t>
  </si>
  <si>
    <t>DMN_FC_CHANGE</t>
  </si>
  <si>
    <t>DMN_change</t>
  </si>
  <si>
    <t>BOLD 1 LSD</t>
  </si>
  <si>
    <t>BOLD 1 PLAC</t>
  </si>
  <si>
    <t>BOLD 3 LSD</t>
  </si>
  <si>
    <t>BOLD 3 PLAC</t>
  </si>
  <si>
    <t>1&amp;3_LSD</t>
  </si>
  <si>
    <t>1&amp;3_PLAC</t>
  </si>
  <si>
    <t>LSD 1</t>
  </si>
  <si>
    <t>LSD 3</t>
  </si>
  <si>
    <t>Intensity 1</t>
  </si>
  <si>
    <t>Intensity 3</t>
  </si>
  <si>
    <t>MOVEMENT</t>
  </si>
  <si>
    <t>TTEST1</t>
  </si>
  <si>
    <t>TTEST2</t>
  </si>
  <si>
    <t>SM</t>
  </si>
  <si>
    <t>LSD_AVG_MOTION</t>
  </si>
  <si>
    <t>DMN_BETA_AVG_LSD</t>
  </si>
  <si>
    <t>LSD_AVG_INTENSE</t>
  </si>
  <si>
    <t>MOVERS_REMOVED</t>
  </si>
  <si>
    <t>LSD_AVG_MOVE</t>
  </si>
  <si>
    <t>LSD_AVG_DMN_BETAS</t>
  </si>
  <si>
    <t>PLAC_AVG_MOVE</t>
  </si>
  <si>
    <t>LSD_AVG_MOVE_mm</t>
  </si>
  <si>
    <t>PLAC_AVG_MOVE_mm</t>
  </si>
  <si>
    <t>BETA_AVG_DIFF</t>
  </si>
  <si>
    <t>PLAC_AVG_DMN_BETAS</t>
  </si>
  <si>
    <t>IC_0002_BETAS_LSD1</t>
  </si>
  <si>
    <t>IC_0002_BETAS_LSD3</t>
  </si>
  <si>
    <t>LSD_AVG_BETAS</t>
  </si>
  <si>
    <t>IC_0002_PLAC1</t>
  </si>
  <si>
    <t>IC_0002_PLAC3</t>
  </si>
  <si>
    <t>PLAC_AVG</t>
  </si>
  <si>
    <t>IMAG</t>
  </si>
  <si>
    <t>DREAMLIKE</t>
  </si>
  <si>
    <t>Simple</t>
  </si>
  <si>
    <t>Cmplx</t>
  </si>
  <si>
    <t>Emotional Arousal</t>
  </si>
  <si>
    <t>Positive Mood</t>
  </si>
  <si>
    <t>Ego Dissolution</t>
  </si>
  <si>
    <t>IC_0002_DIFF</t>
  </si>
  <si>
    <t>AVG_Motion_mm</t>
  </si>
  <si>
    <t>Fluency</t>
  </si>
  <si>
    <t>Flex</t>
  </si>
  <si>
    <t>Orig</t>
  </si>
  <si>
    <t>B</t>
  </si>
  <si>
    <t>Standard</t>
  </si>
  <si>
    <t>DRUG ORDER</t>
  </si>
  <si>
    <t>TTEST 1</t>
  </si>
  <si>
    <t>TTEST 2</t>
  </si>
  <si>
    <t>VERSION LSD</t>
  </si>
  <si>
    <t>With excluded subjects</t>
  </si>
  <si>
    <t>DIFF</t>
  </si>
  <si>
    <t>DIFF fluency</t>
  </si>
  <si>
    <t>PLAC fluency</t>
  </si>
  <si>
    <t>GSS</t>
  </si>
  <si>
    <t>TTCT</t>
  </si>
  <si>
    <t>UPDATED</t>
  </si>
  <si>
    <t>$`Experience of unity`</t>
  </si>
  <si>
    <t>[1] "18. Everything seemed to unify into an oneness."</t>
  </si>
  <si>
    <t>[2] "34. It seemed to me that my environment and I were one."</t>
  </si>
  <si>
    <t>[3] "41. I experienced a touch of eternity."</t>
  </si>
  <si>
    <t>[4] "42. Conflicts and contradictions seemed to dissolve."</t>
  </si>
  <si>
    <t>[5] "52. I experienced past, present and future as an oneness."</t>
  </si>
  <si>
    <t>$`Spiritual experience`</t>
  </si>
  <si>
    <t>[1] "9. I had the feeling of being connected to a superior power."</t>
  </si>
  <si>
    <t>[2] "81. I experienced a kind of awe."</t>
  </si>
  <si>
    <t>[3] "94. My experience had religious aspects."</t>
  </si>
  <si>
    <t>$`Blissful state`</t>
  </si>
  <si>
    <t>[1] "12. I enjoyed boundless pleasure."</t>
  </si>
  <si>
    <t>[2] "86. I experienced a profound peace in myself."</t>
  </si>
  <si>
    <t>[3] "91. I experienced an all-embracing love."</t>
  </si>
  <si>
    <t>$Insightfulness</t>
  </si>
  <si>
    <t>[1] "50. I felt very profound."</t>
  </si>
  <si>
    <t>[2] "69. I gained clarity into connections that puzzled me before."</t>
  </si>
  <si>
    <t>[3] "77. I had very original thoughts."</t>
  </si>
  <si>
    <t>$Disembodiment</t>
  </si>
  <si>
    <t>[1] "26. It seemed to me as though I did not have a body anymore."</t>
  </si>
  <si>
    <t>[2] "62. I had the feeling of being outside of my body."</t>
  </si>
  <si>
    <t>[3] "63. I felt as though I were floating."</t>
  </si>
  <si>
    <t>$`Impaired control and cognition`</t>
  </si>
  <si>
    <t>[1] "8. I felt like a marionette."</t>
  </si>
  <si>
    <t>[2] "27. I had difficulty making even the smallest decision."</t>
  </si>
  <si>
    <t>[3] "38. I had difficulty in distinguishing important from unimportant things."</t>
  </si>
  <si>
    <t>[4] "47. I felt as though I were paralyzed."</t>
  </si>
  <si>
    <t>[5] "64. I felt isolated from everything and everyone."</t>
  </si>
  <si>
    <t>[6] "67. I was not able to complete a thought, my thought repeatedly became disconnected."</t>
  </si>
  <si>
    <t>[7] "78. I had the feeling that I no longer had a will of my own."</t>
  </si>
  <si>
    <t>$Anxiety</t>
  </si>
  <si>
    <t>[1] "32. I was afraid that the state I was in would last forever."</t>
  </si>
  <si>
    <t>[2] "43. I was afraid without being able to say exactly why."</t>
  </si>
  <si>
    <t>[3] "44. I experienced everything terrifyingly distorted."</t>
  </si>
  <si>
    <t>[4] "46. I experienced my surroundings as strange and weird."</t>
  </si>
  <si>
    <t>[5] "56. I felt threatened."</t>
  </si>
  <si>
    <t>[6] "89. I had the feeling something horrible would happen."</t>
  </si>
  <si>
    <t>$`Complex imagery`</t>
  </si>
  <si>
    <t>[1] "39. I saw scenes rolling by in total darkness or with my eyes closed."</t>
  </si>
  <si>
    <t>[2] "72. I could see pictures from my past or fantasy extremely clearly."</t>
  </si>
  <si>
    <t>[3] "82. My imagination was extremely vivid."</t>
  </si>
  <si>
    <t>$`Elementary imagery`</t>
  </si>
  <si>
    <t>[1] "14. I saw regular patterns in complete darkness or with closed eyes."</t>
  </si>
  <si>
    <t>[2] "22. I saw colors before me in total darkness or with closed eyes."</t>
  </si>
  <si>
    <t>[3] "33. I saw lights or flashes of light in total darkness or with closed eyes."</t>
  </si>
  <si>
    <t>$`Audio-visual synesthesiae`</t>
  </si>
  <si>
    <t>[1] "20. Noises seemed to influence what I saw."</t>
  </si>
  <si>
    <t>[2] "23. The shapes of things seemed to change by sounds and noises."</t>
  </si>
  <si>
    <t>[3] "75. The colors of things seemed to be changed by sounds and noises."</t>
  </si>
  <si>
    <t>$`Changed meaning of percepts`</t>
  </si>
  <si>
    <t>[1] "28. Everyday things gained a special meaning."</t>
  </si>
  <si>
    <t>[2] "31. Things around me had a new strange meaning for me."</t>
  </si>
  <si>
    <t>[3] "54. Objects around me engaged me emotionally much more than usual</t>
  </si>
  <si>
    <t>UNITY</t>
  </si>
  <si>
    <t>SPIRIT</t>
  </si>
  <si>
    <t>BLISS</t>
  </si>
  <si>
    <t>INSIGHT</t>
  </si>
  <si>
    <t>DISEM</t>
  </si>
  <si>
    <t>CONT&amp;COG</t>
  </si>
  <si>
    <t>ANXIETY</t>
  </si>
  <si>
    <t>COMPLEX</t>
  </si>
  <si>
    <t>ELEMENT</t>
  </si>
  <si>
    <t>AUD/VIS</t>
  </si>
  <si>
    <t>MEANING_PERC</t>
  </si>
  <si>
    <t>My experience had religious aspects</t>
  </si>
  <si>
    <t xml:space="preserve">SEM </t>
  </si>
  <si>
    <t>REL ORIG</t>
  </si>
  <si>
    <t>REL ORIG LSD</t>
  </si>
  <si>
    <t>REL ORIG DIFF</t>
  </si>
  <si>
    <t>REL FLEX</t>
  </si>
  <si>
    <t>REL FLEX DIFF</t>
  </si>
  <si>
    <t>REL FLEX LSD</t>
  </si>
  <si>
    <t>LOT-R change</t>
  </si>
  <si>
    <t>open_change</t>
  </si>
  <si>
    <t>gender</t>
  </si>
  <si>
    <t>day</t>
  </si>
  <si>
    <t>drug</t>
  </si>
  <si>
    <t>excluded</t>
  </si>
  <si>
    <t>number</t>
  </si>
  <si>
    <t>switches</t>
  </si>
  <si>
    <t>cluster size</t>
  </si>
  <si>
    <t>cat sampled</t>
  </si>
  <si>
    <t>words/cat</t>
  </si>
  <si>
    <t>cat shifts/sampled</t>
  </si>
  <si>
    <t>m</t>
  </si>
  <si>
    <t>PLC</t>
  </si>
  <si>
    <t>f</t>
  </si>
  <si>
    <t>-</t>
  </si>
  <si>
    <t>TTEST</t>
  </si>
  <si>
    <t>LSD day</t>
  </si>
  <si>
    <t>ERRORS</t>
  </si>
  <si>
    <t>CORRECT</t>
  </si>
  <si>
    <t>INTENSITY</t>
  </si>
  <si>
    <t>TIME</t>
  </si>
  <si>
    <t>CS SD</t>
  </si>
  <si>
    <t>COMMENTS</t>
  </si>
  <si>
    <t>Distracted by one word</t>
  </si>
  <si>
    <t xml:space="preserve">Thinking is very different. More spontaneous. </t>
  </si>
  <si>
    <t>Easier to focus on plac</t>
  </si>
  <si>
    <t>Hard on placebo</t>
  </si>
  <si>
    <t>JANA</t>
  </si>
  <si>
    <t xml:space="preserve">present </t>
  </si>
  <si>
    <t>past</t>
  </si>
  <si>
    <t>future</t>
  </si>
  <si>
    <t>Decrease PCCish</t>
  </si>
  <si>
    <t>DMN Percentage Change</t>
  </si>
  <si>
    <t>Total_Endorsement</t>
  </si>
  <si>
    <t>Total_Distress</t>
  </si>
  <si>
    <t>Total_Preoccupation</t>
  </si>
  <si>
    <t>Total_Conviction</t>
  </si>
  <si>
    <t>Total_Grand</t>
  </si>
  <si>
    <t>NA</t>
  </si>
  <si>
    <t>PDI</t>
  </si>
  <si>
    <t>S1 closed1</t>
  </si>
  <si>
    <t>S1 closed2</t>
  </si>
  <si>
    <t>S2 closed 1</t>
  </si>
  <si>
    <t>S2 closed2</t>
  </si>
  <si>
    <t>S3 closed1</t>
  </si>
  <si>
    <t>S3 closed2</t>
  </si>
  <si>
    <t>S4 closed 1</t>
  </si>
  <si>
    <t>S4 closed2</t>
  </si>
  <si>
    <t>S6 closed1</t>
  </si>
  <si>
    <t>S6 closed2</t>
  </si>
  <si>
    <t>S7 closed 1</t>
  </si>
  <si>
    <t>S7 closed2</t>
  </si>
  <si>
    <t>S9 closed1</t>
  </si>
  <si>
    <t>S9 closed2</t>
  </si>
  <si>
    <t>S10 closed 1</t>
  </si>
  <si>
    <t>S10 closed2</t>
  </si>
  <si>
    <t>S12 closed1</t>
  </si>
  <si>
    <t>S12 closed2</t>
  </si>
  <si>
    <t>S13 closed 1</t>
  </si>
  <si>
    <t>S13 closed2</t>
  </si>
  <si>
    <t>S14 closed1</t>
  </si>
  <si>
    <t>S14 closed2</t>
  </si>
  <si>
    <t>S16 closed 1</t>
  </si>
  <si>
    <t>S16 closed2</t>
  </si>
  <si>
    <t>S18 closed1</t>
  </si>
  <si>
    <t>S18 closed2</t>
  </si>
  <si>
    <t>S19 closed 1</t>
  </si>
  <si>
    <t>S19 closed2</t>
  </si>
  <si>
    <t>S20 closed1</t>
  </si>
  <si>
    <t>S20 closed2</t>
  </si>
  <si>
    <t>MEG_EC_REST1</t>
  </si>
  <si>
    <t>MEG_EC_REST3</t>
  </si>
  <si>
    <t>MEG_EC_AVG</t>
  </si>
  <si>
    <t xml:space="preserve">MEAN </t>
  </si>
  <si>
    <t>ACTUAL</t>
  </si>
  <si>
    <t>RSFC V1</t>
  </si>
  <si>
    <t>RSFC parahipp</t>
  </si>
  <si>
    <t>INTRA RSN</t>
  </si>
  <si>
    <t>Placebo Var DMN ENZO</t>
  </si>
  <si>
    <t>LSD Var DMN ENZO</t>
  </si>
  <si>
    <t>Difference Var DMN ENZO</t>
  </si>
  <si>
    <t>Placebo Var Parahipp ENZO</t>
  </si>
  <si>
    <t>LSD Var Parahipp ENZO</t>
  </si>
  <si>
    <t>Difference Var Parahipp ENZO</t>
  </si>
  <si>
    <t>Placebo Var V1 ENZO</t>
  </si>
  <si>
    <t>LSD Var V1 ENZO</t>
  </si>
  <si>
    <t>Difference Var V1 ENZO</t>
  </si>
  <si>
    <t>Rest 1</t>
  </si>
  <si>
    <t>Rest 2</t>
  </si>
  <si>
    <t>Rest 3</t>
  </si>
  <si>
    <t>Rest1,3</t>
  </si>
  <si>
    <t>thr 0.99</t>
  </si>
  <si>
    <t>DMN</t>
  </si>
  <si>
    <t>RSP</t>
  </si>
  <si>
    <t>rFP</t>
  </si>
  <si>
    <t>VisM</t>
  </si>
  <si>
    <t>VisL</t>
  </si>
  <si>
    <t>VisO</t>
  </si>
  <si>
    <t>S01</t>
  </si>
  <si>
    <t>S02</t>
  </si>
  <si>
    <t>S03</t>
  </si>
  <si>
    <t>S04</t>
  </si>
  <si>
    <t>S06</t>
  </si>
  <si>
    <t>S09</t>
  </si>
  <si>
    <t>S10</t>
  </si>
  <si>
    <t>S11</t>
  </si>
  <si>
    <t>S12</t>
  </si>
  <si>
    <t>S13</t>
  </si>
  <si>
    <t>S15</t>
  </si>
  <si>
    <t>S17</t>
  </si>
  <si>
    <t>S18</t>
  </si>
  <si>
    <t>S19</t>
  </si>
  <si>
    <t>S20</t>
  </si>
  <si>
    <t>EGO?</t>
  </si>
  <si>
    <t>% change</t>
  </si>
  <si>
    <t>MEG_EC1</t>
  </si>
  <si>
    <t>MEG_EC2</t>
  </si>
  <si>
    <t>MEG_AVG</t>
  </si>
  <si>
    <t>PDI DIFF</t>
  </si>
  <si>
    <t>Subject</t>
  </si>
  <si>
    <t>Baseline</t>
  </si>
  <si>
    <t>Experience of unity</t>
  </si>
  <si>
    <t>Spiritual experience</t>
  </si>
  <si>
    <t>Blissful state</t>
  </si>
  <si>
    <t>Insightfulness</t>
  </si>
  <si>
    <t>Disembodiment</t>
  </si>
  <si>
    <t xml:space="preserve">Impaired cognition </t>
  </si>
  <si>
    <t>Complex imagery</t>
  </si>
  <si>
    <t>Special meaning</t>
  </si>
  <si>
    <t>Elementary hallucinations</t>
  </si>
  <si>
    <t>Audio/visual synaesthesia</t>
  </si>
  <si>
    <t>Bonferonni</t>
  </si>
  <si>
    <t>Elementary imagery</t>
  </si>
  <si>
    <t>Delusional thinking</t>
  </si>
  <si>
    <t>Cognitive disorganisation</t>
  </si>
  <si>
    <t>Perceptual distortion</t>
  </si>
  <si>
    <t>Meaning</t>
  </si>
  <si>
    <t xml:space="preserve">LOT-R </t>
  </si>
  <si>
    <t>NO_Toby</t>
  </si>
  <si>
    <t>MODTAS</t>
  </si>
  <si>
    <t>Vis_M_LSD</t>
  </si>
  <si>
    <t>Vis_M_PLAC</t>
  </si>
  <si>
    <t>Vis_M_diff</t>
  </si>
  <si>
    <t>Percent_change</t>
  </si>
  <si>
    <t>Vis_L_LSD</t>
  </si>
  <si>
    <t>VIS_L_PLAC</t>
  </si>
  <si>
    <t>Vis_L_diff</t>
  </si>
  <si>
    <t>Percent_diff</t>
  </si>
  <si>
    <t>Vis_O_LSD</t>
  </si>
  <si>
    <t>Vis_O_Plac</t>
  </si>
  <si>
    <t>Vis_O_diff</t>
  </si>
  <si>
    <t>Neg_diff_ttest_LSD</t>
  </si>
  <si>
    <t>Neg_diff_ttest_plac</t>
  </si>
  <si>
    <t>diff</t>
  </si>
  <si>
    <t>percent_diff</t>
  </si>
  <si>
    <t>Post_diff_LSD</t>
  </si>
  <si>
    <t>Post_diff_plac</t>
  </si>
  <si>
    <t>ASC</t>
  </si>
  <si>
    <t>MEG</t>
  </si>
  <si>
    <t>MINUS_SURESH</t>
  </si>
  <si>
    <t>back of the head:</t>
    <phoneticPr fontId="0" type="noConversion"/>
  </si>
  <si>
    <t>DELTA 1-4 Hz</t>
    <phoneticPr fontId="0" type="noConversion"/>
  </si>
  <si>
    <t>LSD/PLA</t>
    <phoneticPr fontId="0" type="noConversion"/>
  </si>
  <si>
    <t>THETA 4-8 Hz</t>
    <phoneticPr fontId="0" type="noConversion"/>
  </si>
  <si>
    <t>ALPHA 8-13 Hz</t>
    <phoneticPr fontId="0" type="noConversion"/>
  </si>
  <si>
    <t>BETA 13-30 Hz</t>
    <phoneticPr fontId="0" type="noConversion"/>
  </si>
  <si>
    <t>all channels:</t>
    <phoneticPr fontId="0" type="noConversion"/>
  </si>
  <si>
    <t>S1</t>
    <phoneticPr fontId="0" type="noConversion"/>
  </si>
  <si>
    <t>S2</t>
    <phoneticPr fontId="0" type="noConversion"/>
  </si>
  <si>
    <t>S3</t>
    <phoneticPr fontId="0" type="noConversion"/>
  </si>
  <si>
    <t>S4</t>
    <phoneticPr fontId="0" type="noConversion"/>
  </si>
  <si>
    <t>S6</t>
    <phoneticPr fontId="0" type="noConversion"/>
  </si>
  <si>
    <t>S7</t>
    <phoneticPr fontId="0" type="noConversion"/>
  </si>
  <si>
    <t>S9</t>
    <phoneticPr fontId="0" type="noConversion"/>
  </si>
  <si>
    <t>S12</t>
    <phoneticPr fontId="0" type="noConversion"/>
  </si>
  <si>
    <t>S13</t>
    <phoneticPr fontId="0" type="noConversion"/>
  </si>
  <si>
    <t>S14</t>
    <phoneticPr fontId="0" type="noConversion"/>
  </si>
  <si>
    <t>S16</t>
    <phoneticPr fontId="0" type="noConversion"/>
  </si>
  <si>
    <t>S18</t>
    <phoneticPr fontId="0" type="noConversion"/>
  </si>
  <si>
    <t>S19</t>
    <phoneticPr fontId="0" type="noConversion"/>
  </si>
  <si>
    <t>S20</t>
    <phoneticPr fontId="0" type="noConversion"/>
  </si>
  <si>
    <t>%_dec</t>
  </si>
  <si>
    <t>BOLD</t>
  </si>
  <si>
    <t>FCD (PCB)</t>
  </si>
  <si>
    <t>FCD (LSD)</t>
  </si>
  <si>
    <t>Rest3</t>
  </si>
  <si>
    <t>Rest1</t>
  </si>
  <si>
    <t>FCD</t>
  </si>
  <si>
    <t>SUBTRACT</t>
  </si>
  <si>
    <t>DIVIDE</t>
  </si>
  <si>
    <t>LOG</t>
  </si>
  <si>
    <t>PSI DIFF</t>
  </si>
  <si>
    <t>PHIPP</t>
  </si>
  <si>
    <t>PLUS_CONSTANT</t>
  </si>
  <si>
    <t>CORE</t>
  </si>
  <si>
    <t>Intensity</t>
  </si>
  <si>
    <t>Complex</t>
  </si>
  <si>
    <t>S1TW_day1_ASL1_Rating_2_2014_5_1_10_27_22</t>
  </si>
  <si>
    <t>S2TS_day2_ASL1_Rating_2_2014_5_15_10_16_8</t>
  </si>
  <si>
    <t>S3LR_day1_ASL1_Rating_2_2014_5_14_10_48_17</t>
  </si>
  <si>
    <t>S4EG_day2_ASL1_Rating_2_2014_5_28_10_31_52</t>
  </si>
  <si>
    <t>S5CW_day1_ASL1_Rating_2_2014_5_29_10_29_23</t>
  </si>
  <si>
    <t>S6KG_day2_ASL1_Rating_2_2014_6_12_10_35_14</t>
  </si>
  <si>
    <t>S7MT_day1_ASL1_Rating_2_2014_6_11_10_36_7</t>
  </si>
  <si>
    <t>S8TSL_day2_ASL3_Rating_4_2014_6_25_10_54_37</t>
  </si>
  <si>
    <t>S9JH_day1_ASL3_Rating_4_2014_6_26_10_48_12</t>
  </si>
  <si>
    <t>S10SM_day2_ASL3_Rating_4_2014_7_10_10_48_44</t>
  </si>
  <si>
    <t>S11DB_day1_ASL3_Rating_4_2014_7_30_10_41_27</t>
  </si>
  <si>
    <t>S12JLH_day2_ASL3_Rating_4_2014_7_9_10_47_4</t>
  </si>
  <si>
    <t>S13ES_day1_ASL3_Rating_4_2014_7_31_11_0_6</t>
  </si>
  <si>
    <t>S14CH_day2_ASL3_Rating_4_2014_9_17_10_48_12</t>
  </si>
  <si>
    <t>S15ST_day1_ASL3_Rating_4_2014_8_7_11_7_37</t>
  </si>
  <si>
    <t>S16DO_day2_ASL3_Rating_4_2014_8_21_10_57_8</t>
  </si>
  <si>
    <t>S17AF_day1_ASL3_Rating_4_2014_8_20_10_53_53</t>
  </si>
  <si>
    <t>S18ADP_day2_ASL3_Rating_4_2014_9_3_10_43_29</t>
  </si>
  <si>
    <t>S19TH_day1_ASL3_Rating_4_2014_9_4_10_49_17</t>
  </si>
  <si>
    <t>S20JD_day2_ASL3_Rating_4_2014_9_18_10_44_25</t>
  </si>
  <si>
    <t>Low frequency power</t>
  </si>
  <si>
    <t>Variance</t>
  </si>
  <si>
    <t>Entropy</t>
  </si>
  <si>
    <t>Frequency scaling exponent</t>
  </si>
  <si>
    <t>LSD Rest1</t>
  </si>
  <si>
    <t>LSD Rest3</t>
  </si>
  <si>
    <t>PCB Rest1</t>
  </si>
  <si>
    <t>PCB Rest3</t>
  </si>
  <si>
    <t>plac</t>
  </si>
  <si>
    <t>percent</t>
  </si>
  <si>
    <t>lFP</t>
  </si>
  <si>
    <t>ACID</t>
  </si>
  <si>
    <t>AUD</t>
  </si>
  <si>
    <t>DAN</t>
  </si>
  <si>
    <t>OPER-A</t>
  </si>
  <si>
    <t>OPER-P</t>
  </si>
  <si>
    <t>Oper_ant</t>
  </si>
  <si>
    <t>Oper_post</t>
  </si>
  <si>
    <t>RSFC</t>
  </si>
  <si>
    <t>RATIO</t>
  </si>
  <si>
    <t>TRUE PERCENT</t>
  </si>
  <si>
    <t>VARIANCE</t>
  </si>
  <si>
    <t>CBF</t>
  </si>
  <si>
    <t>VIS_M</t>
  </si>
  <si>
    <t>VIS-L</t>
  </si>
  <si>
    <t>VIS-O</t>
  </si>
  <si>
    <t>DECREASE</t>
  </si>
  <si>
    <t>INCREASE</t>
  </si>
  <si>
    <t>OPE-A</t>
  </si>
  <si>
    <t>OPE-P</t>
  </si>
  <si>
    <t>Bonferonni_2</t>
  </si>
  <si>
    <t>Bonferonni_1</t>
  </si>
  <si>
    <t>RSFC vmPFC</t>
  </si>
  <si>
    <t>Parahipp</t>
  </si>
  <si>
    <t>PCC</t>
  </si>
  <si>
    <t>biAngular</t>
  </si>
  <si>
    <t>biStriatum</t>
  </si>
  <si>
    <t>biIFG_INS</t>
  </si>
  <si>
    <t>All_Increase</t>
  </si>
  <si>
    <t>Decrease</t>
  </si>
  <si>
    <t>SFG</t>
  </si>
  <si>
    <t>rMFG</t>
  </si>
  <si>
    <t>NATURE</t>
  </si>
  <si>
    <t>Number</t>
  </si>
  <si>
    <t>Between RSNs</t>
  </si>
  <si>
    <t>VisL-PAR</t>
  </si>
  <si>
    <t>VisL-DAN</t>
  </si>
  <si>
    <t>VisO-pOP</t>
  </si>
  <si>
    <t>AUD-PAR</t>
  </si>
  <si>
    <t>AUD-rFP</t>
  </si>
  <si>
    <t>DMN-SAL</t>
  </si>
  <si>
    <t>PAR-pOP</t>
  </si>
  <si>
    <t>pOP-rFP</t>
  </si>
  <si>
    <t>VisO-rFP</t>
  </si>
  <si>
    <t>Intra-RSN</t>
  </si>
  <si>
    <t>SAL</t>
  </si>
  <si>
    <t>pOP</t>
  </si>
  <si>
    <t>PH-PCC Decrease</t>
  </si>
  <si>
    <t>Difference Mean FD</t>
  </si>
  <si>
    <t>MEAN_of_8</t>
  </si>
  <si>
    <t>BFC alpha</t>
  </si>
  <si>
    <t>VisO-Aud</t>
  </si>
  <si>
    <t>VisM-AUD</t>
  </si>
  <si>
    <t>VisL-AUD</t>
  </si>
  <si>
    <t>V1 ret</t>
  </si>
  <si>
    <t>#</t>
  </si>
  <si>
    <t>%</t>
  </si>
  <si>
    <t>ALPHA</t>
  </si>
  <si>
    <t>CBF result</t>
  </si>
  <si>
    <t>PH_result_CBF</t>
  </si>
  <si>
    <t>PH CBF LSD</t>
  </si>
  <si>
    <t>PH CBF PLAC</t>
  </si>
  <si>
    <t>PH CBF DIFF</t>
  </si>
  <si>
    <t>V1_result_CBF_plac</t>
  </si>
  <si>
    <t>V1_result_CBF_LSD</t>
  </si>
  <si>
    <t>V1_CBF_LSD</t>
  </si>
  <si>
    <t>V1_CBF_plac</t>
  </si>
  <si>
    <t>V1_CBF_diff</t>
  </si>
  <si>
    <t>sig Del x ego cluster</t>
  </si>
  <si>
    <t>sig alpha x simple cluster</t>
  </si>
  <si>
    <t>RSP_diff</t>
  </si>
  <si>
    <t>sig delta</t>
  </si>
  <si>
    <t>sig theta</t>
  </si>
  <si>
    <t>sig alpha</t>
  </si>
  <si>
    <t>sig beta</t>
  </si>
  <si>
    <t>V1 RESULT</t>
  </si>
  <si>
    <t>V1 SEED</t>
  </si>
  <si>
    <t>PH SEED</t>
  </si>
  <si>
    <t>PH RESULT</t>
  </si>
  <si>
    <t>PH seed - PH result</t>
  </si>
  <si>
    <t>V1 seed - V1 result</t>
  </si>
  <si>
    <t>EXCLUDE</t>
  </si>
  <si>
    <t>vmPFC_dec</t>
  </si>
  <si>
    <t>vmPFC_inc</t>
  </si>
  <si>
    <t>vmPFC</t>
  </si>
  <si>
    <t>vmPFC_RSFC_dec</t>
  </si>
  <si>
    <t>vmPFC_RSFC_inc</t>
  </si>
  <si>
    <t>vmPFC seed</t>
  </si>
  <si>
    <t>vmPFC result inc</t>
  </si>
  <si>
    <t>vmPFC result dec</t>
  </si>
  <si>
    <t>DIFF DIFF</t>
  </si>
  <si>
    <t>CBF vmPFC seed - CBF vmPFC result dec</t>
  </si>
  <si>
    <t>CBF vmPFC seed - CBF vmPFC result inc</t>
  </si>
  <si>
    <t>Bonf</t>
  </si>
  <si>
    <t>DESEG</t>
  </si>
  <si>
    <t>HIGH VALUE = increased BN RSN?</t>
  </si>
  <si>
    <t>POWER</t>
  </si>
  <si>
    <t>MRI_PQ</t>
  </si>
  <si>
    <t>MEG_PQ</t>
  </si>
  <si>
    <t>combined_PQ</t>
  </si>
  <si>
    <t>MRI</t>
  </si>
  <si>
    <t>combined</t>
  </si>
  <si>
    <t>KET</t>
  </si>
  <si>
    <t>Experience of Unity</t>
  </si>
  <si>
    <t>Spiritual Experience</t>
  </si>
  <si>
    <t>Blissful State</t>
  </si>
  <si>
    <t>Disembodied</t>
  </si>
  <si>
    <t>Impaired Cognition</t>
  </si>
  <si>
    <t>Complex Imagery</t>
  </si>
  <si>
    <t>Elementary Imagery</t>
  </si>
  <si>
    <t>Audiovisual Synesthesiae</t>
  </si>
  <si>
    <t>Changed meanings of Percepts</t>
  </si>
  <si>
    <t>10mg psilo</t>
  </si>
  <si>
    <t>25 mg psilo</t>
  </si>
  <si>
    <t>SR</t>
  </si>
  <si>
    <t>BOLD 1&amp;3</t>
  </si>
  <si>
    <t>LSD_modularity</t>
  </si>
  <si>
    <t>ENZO</t>
  </si>
  <si>
    <t>PLAC_modularity</t>
  </si>
  <si>
    <t>GSS1 day</t>
  </si>
  <si>
    <t>GSS1 MR</t>
  </si>
  <si>
    <t>GSS2 MR</t>
  </si>
  <si>
    <t>Memory recall</t>
  </si>
  <si>
    <t>Distortions</t>
  </si>
  <si>
    <t>Fabrications</t>
  </si>
  <si>
    <t>Total confabulations</t>
  </si>
  <si>
    <t>Immediate recall</t>
  </si>
  <si>
    <t>Delayed recall</t>
  </si>
  <si>
    <t>Main scoring</t>
  </si>
  <si>
    <t>Yield 1</t>
  </si>
  <si>
    <t>Yield 2</t>
  </si>
  <si>
    <t>Shift</t>
  </si>
  <si>
    <t>Total suggestibility</t>
  </si>
  <si>
    <t>LSD-plac</t>
  </si>
  <si>
    <t>GSS1-GSS2</t>
  </si>
  <si>
    <t>Group</t>
  </si>
  <si>
    <t>A1</t>
  </si>
  <si>
    <t>A2</t>
  </si>
  <si>
    <t>B1</t>
  </si>
  <si>
    <t>B2</t>
  </si>
  <si>
    <t>9 of each</t>
  </si>
  <si>
    <t>SUGGEST</t>
  </si>
  <si>
    <t>Twigged</t>
  </si>
  <si>
    <t>Day 2</t>
  </si>
  <si>
    <t>Day 1 &amp; 2</t>
  </si>
  <si>
    <t>Intensity at suggest</t>
  </si>
  <si>
    <t>Intensity at first recall</t>
  </si>
  <si>
    <t>Time</t>
  </si>
  <si>
    <t>DOSE AT 9am</t>
  </si>
  <si>
    <t>RVT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</si>
</sst>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0"/>
    <numFmt numFmtId="166" formatCode="0.000000000"/>
    <numFmt numFmtId="167" formatCode="0.0000000"/>
    <numFmt numFmtId="168" formatCode="0.000"/>
    <numFmt numFmtId="169" formatCode="0.000000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21"/>
      <name val="Arial"/>
      <family val="2"/>
    </font>
    <font>
      <b/>
      <sz val="10"/>
      <color indexed="50"/>
      <name val="Arial"/>
      <family val="2"/>
    </font>
    <font>
      <b/>
      <sz val="10"/>
      <color indexed="46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Verdana"/>
      <family val="2"/>
    </font>
    <font>
      <b/>
      <sz val="10"/>
      <name val="Verdana"/>
      <family val="2"/>
    </font>
    <font>
      <sz val="10"/>
      <color indexed="10"/>
      <name val="Verdan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Verdana"/>
      <family val="2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Verdana"/>
      <family val="2"/>
    </font>
    <font>
      <b/>
      <sz val="12"/>
      <color rgb="FFFF0000"/>
      <name val="Calibri"/>
      <family val="2"/>
      <scheme val="minor"/>
    </font>
    <font>
      <b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AF33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4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2" fillId="0" borderId="0"/>
  </cellStyleXfs>
  <cellXfs count="572">
    <xf numFmtId="0" fontId="0" fillId="0" borderId="0" xfId="0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2" fillId="0" borderId="1" xfId="0" applyFont="1" applyBorder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0" xfId="0" applyFont="1" applyBorder="1"/>
    <xf numFmtId="0" fontId="1" fillId="0" borderId="0" xfId="0" applyFont="1"/>
    <xf numFmtId="0" fontId="0" fillId="0" borderId="0" xfId="0"/>
    <xf numFmtId="0" fontId="1" fillId="0" borderId="3" xfId="0" applyFont="1" applyBorder="1"/>
    <xf numFmtId="0" fontId="0" fillId="0" borderId="0" xfId="0" quotePrefix="1"/>
    <xf numFmtId="0" fontId="0" fillId="3" borderId="0" xfId="0" applyFill="1"/>
    <xf numFmtId="0" fontId="0" fillId="2" borderId="3" xfId="0" applyFill="1" applyBorder="1"/>
    <xf numFmtId="0" fontId="0" fillId="3" borderId="2" xfId="0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quotePrefix="1" applyFill="1" applyBorder="1"/>
    <xf numFmtId="0" fontId="0" fillId="4" borderId="0" xfId="0" applyFill="1"/>
    <xf numFmtId="0" fontId="0" fillId="4" borderId="0" xfId="0" quotePrefix="1" applyFill="1"/>
    <xf numFmtId="0" fontId="0" fillId="4" borderId="0" xfId="0" applyFill="1" applyBorder="1"/>
    <xf numFmtId="0" fontId="2" fillId="4" borderId="0" xfId="0" applyFont="1" applyFill="1" applyBorder="1"/>
    <xf numFmtId="0" fontId="0" fillId="4" borderId="0" xfId="0" quotePrefix="1" applyFill="1" applyBorder="1"/>
    <xf numFmtId="0" fontId="0" fillId="0" borderId="6" xfId="0" applyBorder="1"/>
    <xf numFmtId="0" fontId="2" fillId="0" borderId="6" xfId="0" applyFont="1" applyBorder="1"/>
    <xf numFmtId="0" fontId="0" fillId="4" borderId="4" xfId="0" applyFill="1" applyBorder="1"/>
    <xf numFmtId="0" fontId="2" fillId="4" borderId="4" xfId="0" applyFont="1" applyFill="1" applyBorder="1"/>
    <xf numFmtId="0" fontId="2" fillId="0" borderId="4" xfId="0" applyFont="1" applyBorder="1"/>
    <xf numFmtId="0" fontId="0" fillId="4" borderId="7" xfId="0" applyFill="1" applyBorder="1"/>
    <xf numFmtId="0" fontId="0" fillId="4" borderId="1" xfId="0" applyFill="1" applyBorder="1"/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Alignment="1" applyProtection="1">
      <alignment horizontal="left"/>
      <protection hidden="1"/>
    </xf>
    <xf numFmtId="0" fontId="0" fillId="0" borderId="0" xfId="0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0" fontId="0" fillId="0" borderId="0" xfId="0" applyBorder="1" applyAlignment="1">
      <alignment horizontal="left"/>
    </xf>
    <xf numFmtId="1" fontId="0" fillId="3" borderId="8" xfId="0" applyNumberFormat="1" applyFill="1" applyBorder="1" applyAlignment="1" applyProtection="1">
      <alignment horizontal="center"/>
      <protection hidden="1"/>
    </xf>
    <xf numFmtId="0" fontId="10" fillId="0" borderId="0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 applyProtection="1">
      <alignment horizontal="center"/>
      <protection hidden="1"/>
    </xf>
    <xf numFmtId="1" fontId="0" fillId="5" borderId="0" xfId="0" applyNumberFormat="1" applyFill="1" applyAlignment="1" applyProtection="1">
      <alignment horizontal="center"/>
      <protection hidden="1"/>
    </xf>
    <xf numFmtId="1" fontId="0" fillId="0" borderId="8" xfId="0" applyNumberFormat="1" applyFill="1" applyBorder="1" applyAlignment="1" applyProtection="1">
      <alignment horizontal="center"/>
      <protection hidden="1"/>
    </xf>
    <xf numFmtId="0" fontId="0" fillId="0" borderId="8" xfId="0" applyFill="1" applyBorder="1" applyAlignment="1" applyProtection="1">
      <alignment horizontal="center"/>
      <protection hidden="1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3" borderId="4" xfId="0" applyFill="1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9" borderId="4" xfId="0" applyFill="1" applyBorder="1"/>
    <xf numFmtId="0" fontId="0" fillId="9" borderId="0" xfId="0" applyFill="1"/>
    <xf numFmtId="0" fontId="0" fillId="8" borderId="4" xfId="0" applyFill="1" applyBorder="1"/>
    <xf numFmtId="0" fontId="0" fillId="8" borderId="0" xfId="0" applyFill="1" applyBorder="1"/>
    <xf numFmtId="0" fontId="0" fillId="8" borderId="0" xfId="0" applyFill="1"/>
    <xf numFmtId="0" fontId="0" fillId="10" borderId="0" xfId="0" applyFill="1"/>
    <xf numFmtId="0" fontId="0" fillId="10" borderId="4" xfId="0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Border="1"/>
    <xf numFmtId="0" fontId="0" fillId="0" borderId="11" xfId="0" applyBorder="1"/>
    <xf numFmtId="0" fontId="0" fillId="0" borderId="0" xfId="0" applyBorder="1" applyAlignment="1">
      <alignment horizontal="right"/>
    </xf>
    <xf numFmtId="0" fontId="0" fillId="2" borderId="0" xfId="0" applyFill="1" applyBorder="1"/>
    <xf numFmtId="0" fontId="0" fillId="0" borderId="12" xfId="0" applyBorder="1"/>
    <xf numFmtId="0" fontId="0" fillId="0" borderId="13" xfId="0" applyBorder="1"/>
    <xf numFmtId="0" fontId="13" fillId="0" borderId="0" xfId="0" applyFont="1" applyFill="1"/>
    <xf numFmtId="0" fontId="0" fillId="0" borderId="14" xfId="0" applyBorder="1"/>
    <xf numFmtId="0" fontId="0" fillId="0" borderId="15" xfId="0" applyBorder="1"/>
    <xf numFmtId="0" fontId="13" fillId="0" borderId="0" xfId="0" applyFont="1" applyFill="1" applyBorder="1"/>
    <xf numFmtId="0" fontId="0" fillId="0" borderId="16" xfId="0" applyBorder="1"/>
    <xf numFmtId="0" fontId="13" fillId="0" borderId="12" xfId="0" applyFont="1" applyFill="1" applyBorder="1"/>
    <xf numFmtId="0" fontId="0" fillId="0" borderId="17" xfId="0" applyBorder="1"/>
    <xf numFmtId="0" fontId="0" fillId="0" borderId="18" xfId="0" applyBorder="1"/>
    <xf numFmtId="0" fontId="0" fillId="3" borderId="18" xfId="0" applyFill="1" applyBorder="1"/>
    <xf numFmtId="0" fontId="14" fillId="0" borderId="1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14" fillId="0" borderId="19" xfId="0" applyFont="1" applyFill="1" applyBorder="1"/>
    <xf numFmtId="0" fontId="14" fillId="0" borderId="20" xfId="0" applyFont="1" applyFill="1" applyBorder="1"/>
    <xf numFmtId="0" fontId="0" fillId="15" borderId="3" xfId="0" applyFill="1" applyBorder="1"/>
    <xf numFmtId="0" fontId="2" fillId="0" borderId="9" xfId="0" applyFont="1" applyBorder="1"/>
    <xf numFmtId="0" fontId="0" fillId="0" borderId="21" xfId="0" applyBorder="1"/>
    <xf numFmtId="0" fontId="0" fillId="0" borderId="22" xfId="0" applyBorder="1"/>
    <xf numFmtId="0" fontId="0" fillId="0" borderId="2" xfId="0" applyFill="1" applyBorder="1"/>
    <xf numFmtId="0" fontId="0" fillId="0" borderId="6" xfId="0" applyFill="1" applyBorder="1"/>
    <xf numFmtId="0" fontId="0" fillId="0" borderId="9" xfId="0" applyFill="1" applyBorder="1"/>
    <xf numFmtId="0" fontId="0" fillId="0" borderId="14" xfId="0" applyFill="1" applyBorder="1"/>
    <xf numFmtId="0" fontId="0" fillId="15" borderId="10" xfId="0" applyFill="1" applyBorder="1"/>
    <xf numFmtId="0" fontId="0" fillId="15" borderId="0" xfId="0" applyFill="1" applyBorder="1"/>
    <xf numFmtId="0" fontId="0" fillId="15" borderId="11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11" xfId="0" applyFill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14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9" xfId="0" applyNumberFormat="1" applyBorder="1"/>
    <xf numFmtId="2" fontId="0" fillId="0" borderId="9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14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14" fillId="0" borderId="7" xfId="0" applyFont="1" applyBorder="1"/>
    <xf numFmtId="0" fontId="14" fillId="0" borderId="5" xfId="0" applyFont="1" applyBorder="1"/>
    <xf numFmtId="0" fontId="0" fillId="14" borderId="10" xfId="0" applyFill="1" applyBorder="1"/>
    <xf numFmtId="0" fontId="0" fillId="14" borderId="11" xfId="0" applyFill="1" applyBorder="1"/>
    <xf numFmtId="0" fontId="0" fillId="16" borderId="10" xfId="0" applyFill="1" applyBorder="1"/>
    <xf numFmtId="0" fontId="0" fillId="16" borderId="0" xfId="0" applyFill="1" applyBorder="1"/>
    <xf numFmtId="0" fontId="0" fillId="16" borderId="11" xfId="0" applyFill="1" applyBorder="1"/>
    <xf numFmtId="0" fontId="14" fillId="3" borderId="4" xfId="0" applyFont="1" applyFill="1" applyBorder="1"/>
    <xf numFmtId="0" fontId="0" fillId="6" borderId="0" xfId="0" applyFill="1"/>
    <xf numFmtId="0" fontId="0" fillId="18" borderId="0" xfId="0" applyFill="1"/>
    <xf numFmtId="0" fontId="0" fillId="18" borderId="4" xfId="0" applyFill="1" applyBorder="1"/>
    <xf numFmtId="0" fontId="0" fillId="12" borderId="4" xfId="0" applyFill="1" applyBorder="1"/>
    <xf numFmtId="0" fontId="0" fillId="19" borderId="0" xfId="0" applyFill="1"/>
    <xf numFmtId="0" fontId="0" fillId="20" borderId="0" xfId="0" applyFill="1"/>
    <xf numFmtId="0" fontId="0" fillId="22" borderId="0" xfId="0" applyFill="1"/>
    <xf numFmtId="0" fontId="0" fillId="23" borderId="0" xfId="0" applyFill="1"/>
    <xf numFmtId="0" fontId="0" fillId="23" borderId="4" xfId="0" applyFill="1" applyBorder="1"/>
    <xf numFmtId="0" fontId="0" fillId="6" borderId="4" xfId="0" applyFill="1" applyBorder="1"/>
    <xf numFmtId="0" fontId="0" fillId="17" borderId="4" xfId="0" applyFill="1" applyBorder="1"/>
    <xf numFmtId="0" fontId="0" fillId="24" borderId="0" xfId="0" applyFill="1"/>
    <xf numFmtId="0" fontId="0" fillId="15" borderId="0" xfId="0" applyFill="1"/>
    <xf numFmtId="0" fontId="0" fillId="13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1" borderId="4" xfId="0" applyFont="1" applyFill="1" applyBorder="1"/>
    <xf numFmtId="0" fontId="0" fillId="24" borderId="4" xfId="0" applyFill="1" applyBorder="1"/>
    <xf numFmtId="0" fontId="0" fillId="0" borderId="10" xfId="0" applyFill="1" applyBorder="1"/>
    <xf numFmtId="0" fontId="14" fillId="12" borderId="4" xfId="0" applyFont="1" applyFill="1" applyBorder="1"/>
    <xf numFmtId="0" fontId="14" fillId="2" borderId="4" xfId="0" applyFont="1" applyFill="1" applyBorder="1"/>
    <xf numFmtId="0" fontId="0" fillId="12" borderId="0" xfId="0" applyFill="1" applyBorder="1"/>
    <xf numFmtId="0" fontId="0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0" fontId="0" fillId="3" borderId="21" xfId="0" applyFill="1" applyBorder="1"/>
    <xf numFmtId="0" fontId="0" fillId="12" borderId="21" xfId="0" applyFill="1" applyBorder="1"/>
    <xf numFmtId="0" fontId="0" fillId="3" borderId="0" xfId="0" applyFill="1" applyBorder="1"/>
    <xf numFmtId="0" fontId="0" fillId="12" borderId="12" xfId="0" applyFill="1" applyBorder="1"/>
    <xf numFmtId="0" fontId="0" fillId="3" borderId="12" xfId="0" applyFill="1" applyBorder="1"/>
    <xf numFmtId="0" fontId="16" fillId="0" borderId="4" xfId="0" applyFont="1" applyBorder="1" applyAlignment="1">
      <alignment horizontal="center"/>
    </xf>
    <xf numFmtId="0" fontId="0" fillId="12" borderId="1" xfId="0" applyFill="1" applyBorder="1"/>
    <xf numFmtId="0" fontId="0" fillId="12" borderId="3" xfId="0" applyFill="1" applyBorder="1"/>
    <xf numFmtId="0" fontId="0" fillId="12" borderId="2" xfId="0" applyFill="1" applyBorder="1"/>
    <xf numFmtId="0" fontId="0" fillId="12" borderId="6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6" xfId="0" applyFill="1" applyBorder="1"/>
    <xf numFmtId="0" fontId="0" fillId="20" borderId="3" xfId="0" applyFill="1" applyBorder="1"/>
    <xf numFmtId="0" fontId="0" fillId="0" borderId="0" xfId="0" applyAlignment="1"/>
    <xf numFmtId="0" fontId="0" fillId="0" borderId="0" xfId="0" applyFont="1" applyAlignment="1"/>
    <xf numFmtId="0" fontId="0" fillId="0" borderId="0" xfId="0" applyFill="1" applyAlignment="1"/>
    <xf numFmtId="0" fontId="0" fillId="0" borderId="0" xfId="0" applyFont="1" applyFill="1" applyAlignment="1"/>
    <xf numFmtId="0" fontId="15" fillId="0" borderId="0" xfId="0" applyFont="1" applyFill="1" applyAlignment="1"/>
    <xf numFmtId="0" fontId="0" fillId="20" borderId="0" xfId="0" applyFill="1" applyAlignment="1">
      <alignment horizontal="center"/>
    </xf>
    <xf numFmtId="0" fontId="0" fillId="12" borderId="10" xfId="0" applyFill="1" applyBorder="1"/>
    <xf numFmtId="0" fontId="0" fillId="12" borderId="14" xfId="0" applyFill="1" applyBorder="1"/>
    <xf numFmtId="0" fontId="0" fillId="12" borderId="0" xfId="0" applyFill="1" applyAlignment="1">
      <alignment horizontal="center"/>
    </xf>
    <xf numFmtId="0" fontId="0" fillId="12" borderId="9" xfId="0" applyFill="1" applyBorder="1"/>
    <xf numFmtId="0" fontId="14" fillId="12" borderId="7" xfId="0" applyFont="1" applyFill="1" applyBorder="1"/>
    <xf numFmtId="0" fontId="14" fillId="12" borderId="5" xfId="0" applyFont="1" applyFill="1" applyBorder="1"/>
    <xf numFmtId="0" fontId="0" fillId="12" borderId="11" xfId="0" applyFill="1" applyBorder="1"/>
    <xf numFmtId="0" fontId="0" fillId="12" borderId="13" xfId="0" applyFill="1" applyBorder="1"/>
    <xf numFmtId="0" fontId="0" fillId="12" borderId="22" xfId="0" applyFill="1" applyBorder="1"/>
    <xf numFmtId="0" fontId="0" fillId="0" borderId="3" xfId="0" applyFill="1" applyBorder="1"/>
    <xf numFmtId="0" fontId="0" fillId="12" borderId="5" xfId="0" applyFill="1" applyBorder="1"/>
    <xf numFmtId="0" fontId="0" fillId="12" borderId="7" xfId="0" applyFill="1" applyBorder="1"/>
    <xf numFmtId="0" fontId="0" fillId="20" borderId="7" xfId="0" applyFill="1" applyBorder="1"/>
    <xf numFmtId="0" fontId="0" fillId="20" borderId="5" xfId="0" applyFill="1" applyBorder="1"/>
    <xf numFmtId="0" fontId="0" fillId="20" borderId="14" xfId="0" applyFill="1" applyBorder="1"/>
    <xf numFmtId="0" fontId="0" fillId="20" borderId="13" xfId="0" applyFill="1" applyBorder="1"/>
    <xf numFmtId="0" fontId="0" fillId="20" borderId="10" xfId="0" applyFill="1" applyBorder="1"/>
    <xf numFmtId="0" fontId="0" fillId="20" borderId="11" xfId="0" applyFill="1" applyBorder="1"/>
    <xf numFmtId="0" fontId="0" fillId="20" borderId="9" xfId="0" applyFill="1" applyBorder="1"/>
    <xf numFmtId="0" fontId="0" fillId="20" borderId="22" xfId="0" applyFill="1" applyBorder="1"/>
    <xf numFmtId="0" fontId="0" fillId="16" borderId="3" xfId="0" applyFill="1" applyBorder="1"/>
    <xf numFmtId="0" fontId="0" fillId="16" borderId="0" xfId="0" applyFill="1"/>
    <xf numFmtId="0" fontId="0" fillId="20" borderId="10" xfId="0" applyFill="1" applyBorder="1" applyAlignment="1">
      <alignment horizontal="right"/>
    </xf>
    <xf numFmtId="0" fontId="0" fillId="3" borderId="7" xfId="0" applyFill="1" applyBorder="1"/>
    <xf numFmtId="0" fontId="0" fillId="3" borderId="14" xfId="0" applyFill="1" applyBorder="1"/>
    <xf numFmtId="0" fontId="0" fillId="3" borderId="10" xfId="0" applyFill="1" applyBorder="1"/>
    <xf numFmtId="0" fontId="0" fillId="3" borderId="9" xfId="0" applyFill="1" applyBorder="1"/>
    <xf numFmtId="0" fontId="0" fillId="15" borderId="13" xfId="0" applyFill="1" applyBorder="1"/>
    <xf numFmtId="0" fontId="2" fillId="3" borderId="9" xfId="0" applyFont="1" applyFill="1" applyBorder="1"/>
    <xf numFmtId="0" fontId="0" fillId="3" borderId="22" xfId="0" applyFill="1" applyBorder="1"/>
    <xf numFmtId="0" fontId="0" fillId="3" borderId="11" xfId="0" applyFill="1" applyBorder="1"/>
    <xf numFmtId="0" fontId="0" fillId="3" borderId="13" xfId="0" applyFill="1" applyBorder="1"/>
    <xf numFmtId="2" fontId="0" fillId="3" borderId="9" xfId="0" applyNumberFormat="1" applyFill="1" applyBorder="1"/>
    <xf numFmtId="2" fontId="0" fillId="3" borderId="21" xfId="0" applyNumberFormat="1" applyFill="1" applyBorder="1"/>
    <xf numFmtId="2" fontId="0" fillId="3" borderId="22" xfId="0" applyNumberFormat="1" applyFill="1" applyBorder="1"/>
    <xf numFmtId="2" fontId="0" fillId="3" borderId="14" xfId="0" applyNumberFormat="1" applyFill="1" applyBorder="1"/>
    <xf numFmtId="2" fontId="0" fillId="3" borderId="12" xfId="0" applyNumberFormat="1" applyFill="1" applyBorder="1"/>
    <xf numFmtId="2" fontId="0" fillId="3" borderId="13" xfId="0" applyNumberFormat="1" applyFill="1" applyBorder="1"/>
    <xf numFmtId="0" fontId="2" fillId="12" borderId="7" xfId="0" applyFont="1" applyFill="1" applyBorder="1"/>
    <xf numFmtId="0" fontId="2" fillId="12" borderId="4" xfId="0" applyFont="1" applyFill="1" applyBorder="1"/>
    <xf numFmtId="0" fontId="2" fillId="12" borderId="5" xfId="0" applyFont="1" applyFill="1" applyBorder="1"/>
    <xf numFmtId="0" fontId="0" fillId="0" borderId="23" xfId="0" applyBorder="1"/>
    <xf numFmtId="0" fontId="3" fillId="3" borderId="0" xfId="0" applyFont="1" applyFill="1"/>
    <xf numFmtId="0" fontId="0" fillId="14" borderId="0" xfId="0" applyFill="1"/>
    <xf numFmtId="0" fontId="0" fillId="13" borderId="1" xfId="0" applyFill="1" applyBorder="1"/>
    <xf numFmtId="0" fontId="0" fillId="13" borderId="3" xfId="0" applyFill="1" applyBorder="1"/>
    <xf numFmtId="0" fontId="0" fillId="18" borderId="1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1" borderId="3" xfId="0" applyFill="1" applyBorder="1"/>
    <xf numFmtId="0" fontId="0" fillId="24" borderId="3" xfId="0" applyFill="1" applyBorder="1"/>
    <xf numFmtId="0" fontId="0" fillId="23" borderId="3" xfId="0" applyFill="1" applyBorder="1"/>
    <xf numFmtId="0" fontId="0" fillId="23" borderId="1" xfId="0" applyFill="1" applyBorder="1"/>
    <xf numFmtId="0" fontId="0" fillId="17" borderId="1" xfId="0" applyFill="1" applyBorder="1"/>
    <xf numFmtId="0" fontId="0" fillId="17" borderId="6" xfId="0" applyFill="1" applyBorder="1"/>
    <xf numFmtId="0" fontId="0" fillId="0" borderId="24" xfId="0" applyFill="1" applyBorder="1"/>
    <xf numFmtId="0" fontId="0" fillId="0" borderId="25" xfId="0" applyBorder="1"/>
    <xf numFmtId="0" fontId="0" fillId="0" borderId="0" xfId="0" applyFont="1" applyFill="1"/>
    <xf numFmtId="0" fontId="0" fillId="0" borderId="4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1" xfId="0" applyFill="1" applyBorder="1"/>
    <xf numFmtId="0" fontId="0" fillId="0" borderId="21" xfId="0" applyFont="1" applyFill="1" applyBorder="1"/>
    <xf numFmtId="0" fontId="0" fillId="0" borderId="22" xfId="0" applyFill="1" applyBorder="1"/>
    <xf numFmtId="0" fontId="0" fillId="0" borderId="28" xfId="0" applyFill="1" applyBorder="1"/>
    <xf numFmtId="0" fontId="0" fillId="0" borderId="11" xfId="0" applyFill="1" applyBorder="1"/>
    <xf numFmtId="0" fontId="0" fillId="0" borderId="29" xfId="0" applyFill="1" applyBorder="1"/>
    <xf numFmtId="0" fontId="0" fillId="0" borderId="12" xfId="0" applyFill="1" applyBorder="1"/>
    <xf numFmtId="0" fontId="0" fillId="0" borderId="12" xfId="0" applyFont="1" applyFill="1" applyBorder="1"/>
    <xf numFmtId="0" fontId="0" fillId="0" borderId="13" xfId="0" applyFill="1" applyBorder="1"/>
    <xf numFmtId="0" fontId="0" fillId="13" borderId="9" xfId="0" applyFill="1" applyBorder="1"/>
    <xf numFmtId="0" fontId="0" fillId="8" borderId="21" xfId="0" applyFill="1" applyBorder="1"/>
    <xf numFmtId="0" fontId="0" fillId="6" borderId="21" xfId="0" applyFill="1" applyBorder="1"/>
    <xf numFmtId="0" fontId="0" fillId="20" borderId="21" xfId="0" applyFill="1" applyBorder="1"/>
    <xf numFmtId="0" fontId="0" fillId="18" borderId="21" xfId="0" applyFill="1" applyBorder="1"/>
    <xf numFmtId="0" fontId="0" fillId="19" borderId="21" xfId="0" applyFill="1" applyBorder="1"/>
    <xf numFmtId="0" fontId="0" fillId="21" borderId="21" xfId="0" applyFont="1" applyFill="1" applyBorder="1"/>
    <xf numFmtId="0" fontId="0" fillId="24" borderId="21" xfId="0" applyFill="1" applyBorder="1"/>
    <xf numFmtId="0" fontId="0" fillId="23" borderId="21" xfId="0" applyFill="1" applyBorder="1"/>
    <xf numFmtId="0" fontId="0" fillId="17" borderId="22" xfId="0" applyFill="1" applyBorder="1"/>
    <xf numFmtId="0" fontId="0" fillId="13" borderId="10" xfId="0" applyFill="1" applyBorder="1"/>
    <xf numFmtId="0" fontId="0" fillId="6" borderId="0" xfId="0" applyFill="1" applyBorder="1"/>
    <xf numFmtId="0" fontId="0" fillId="20" borderId="0" xfId="0" applyFill="1" applyBorder="1"/>
    <xf numFmtId="0" fontId="0" fillId="18" borderId="0" xfId="0" applyFill="1" applyBorder="1"/>
    <xf numFmtId="0" fontId="0" fillId="19" borderId="0" xfId="0" applyFill="1" applyBorder="1"/>
    <xf numFmtId="0" fontId="0" fillId="21" borderId="0" xfId="0" applyFont="1" applyFill="1" applyBorder="1"/>
    <xf numFmtId="0" fontId="0" fillId="24" borderId="0" xfId="0" applyFill="1" applyBorder="1"/>
    <xf numFmtId="0" fontId="0" fillId="23" borderId="0" xfId="0" applyFill="1" applyBorder="1"/>
    <xf numFmtId="0" fontId="0" fillId="17" borderId="11" xfId="0" applyFill="1" applyBorder="1"/>
    <xf numFmtId="0" fontId="0" fillId="13" borderId="14" xfId="0" applyFill="1" applyBorder="1"/>
    <xf numFmtId="0" fontId="0" fillId="8" borderId="12" xfId="0" applyFill="1" applyBorder="1"/>
    <xf numFmtId="0" fontId="0" fillId="6" borderId="12" xfId="0" applyFill="1" applyBorder="1"/>
    <xf numFmtId="0" fontId="0" fillId="20" borderId="12" xfId="0" applyFill="1" applyBorder="1"/>
    <xf numFmtId="0" fontId="0" fillId="18" borderId="12" xfId="0" applyFill="1" applyBorder="1"/>
    <xf numFmtId="0" fontId="0" fillId="19" borderId="12" xfId="0" applyFill="1" applyBorder="1"/>
    <xf numFmtId="0" fontId="0" fillId="21" borderId="12" xfId="0" applyFont="1" applyFill="1" applyBorder="1"/>
    <xf numFmtId="0" fontId="0" fillId="24" borderId="12" xfId="0" applyFill="1" applyBorder="1"/>
    <xf numFmtId="0" fontId="0" fillId="23" borderId="12" xfId="0" applyFill="1" applyBorder="1"/>
    <xf numFmtId="0" fontId="0" fillId="17" borderId="13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13" borderId="7" xfId="0" applyFill="1" applyBorder="1"/>
    <xf numFmtId="0" fontId="0" fillId="17" borderId="5" xfId="0" applyFill="1" applyBorder="1"/>
    <xf numFmtId="0" fontId="0" fillId="27" borderId="0" xfId="0" applyFill="1"/>
    <xf numFmtId="0" fontId="0" fillId="25" borderId="0" xfId="0" applyFill="1"/>
    <xf numFmtId="0" fontId="15" fillId="31" borderId="0" xfId="0" applyFont="1" applyFill="1"/>
    <xf numFmtId="0" fontId="0" fillId="22" borderId="12" xfId="0" applyFill="1" applyBorder="1" applyAlignment="1">
      <alignment horizontal="center" vertical="center"/>
    </xf>
    <xf numFmtId="0" fontId="0" fillId="22" borderId="37" xfId="0" applyFill="1" applyBorder="1" applyAlignment="1">
      <alignment horizontal="center" vertical="center"/>
    </xf>
    <xf numFmtId="0" fontId="0" fillId="22" borderId="37" xfId="0" applyFill="1" applyBorder="1" applyAlignment="1">
      <alignment horizontal="center"/>
    </xf>
    <xf numFmtId="0" fontId="0" fillId="22" borderId="12" xfId="0" applyFill="1" applyBorder="1"/>
    <xf numFmtId="0" fontId="15" fillId="31" borderId="12" xfId="0" applyFont="1" applyFill="1" applyBorder="1"/>
    <xf numFmtId="0" fontId="0" fillId="0" borderId="36" xfId="0" applyBorder="1"/>
    <xf numFmtId="0" fontId="0" fillId="0" borderId="38" xfId="0" applyFill="1" applyBorder="1"/>
    <xf numFmtId="0" fontId="0" fillId="0" borderId="36" xfId="0" applyFill="1" applyBorder="1"/>
    <xf numFmtId="0" fontId="15" fillId="32" borderId="0" xfId="0" applyFont="1" applyFill="1"/>
    <xf numFmtId="0" fontId="0" fillId="30" borderId="0" xfId="0" applyFill="1"/>
    <xf numFmtId="0" fontId="15" fillId="33" borderId="0" xfId="0" applyFont="1" applyFill="1"/>
    <xf numFmtId="0" fontId="0" fillId="34" borderId="0" xfId="0" applyFill="1" applyBorder="1"/>
    <xf numFmtId="0" fontId="0" fillId="22" borderId="36" xfId="0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0" fillId="25" borderId="0" xfId="0" applyFill="1" applyBorder="1"/>
    <xf numFmtId="0" fontId="15" fillId="32" borderId="0" xfId="0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2" borderId="7" xfId="0" applyFill="1" applyBorder="1" applyAlignment="1">
      <alignment horizontal="center" vertical="center"/>
    </xf>
    <xf numFmtId="0" fontId="2" fillId="3" borderId="0" xfId="0" applyFont="1" applyFill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" xfId="0" applyFill="1" applyBorder="1"/>
    <xf numFmtId="0" fontId="0" fillId="0" borderId="5" xfId="0" applyFill="1" applyBorder="1"/>
    <xf numFmtId="0" fontId="0" fillId="0" borderId="4" xfId="0" applyBorder="1" applyAlignment="1">
      <alignment horizontal="right"/>
    </xf>
    <xf numFmtId="0" fontId="0" fillId="0" borderId="19" xfId="0" applyBorder="1"/>
    <xf numFmtId="0" fontId="13" fillId="0" borderId="4" xfId="0" applyFont="1" applyFill="1" applyBorder="1"/>
    <xf numFmtId="0" fontId="0" fillId="16" borderId="7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4" borderId="4" xfId="0" applyFill="1" applyBorder="1"/>
    <xf numFmtId="0" fontId="0" fillId="0" borderId="7" xfId="0" applyFill="1" applyBorder="1" applyAlignment="1">
      <alignment horizontal="center"/>
    </xf>
    <xf numFmtId="0" fontId="0" fillId="0" borderId="0" xfId="0" applyNumberFormat="1" applyBorder="1"/>
    <xf numFmtId="0" fontId="0" fillId="0" borderId="4" xfId="0" applyNumberFormat="1" applyBorder="1" applyAlignment="1">
      <alignment horizontal="right"/>
    </xf>
    <xf numFmtId="0" fontId="14" fillId="0" borderId="0" xfId="0" applyFont="1" applyFill="1" applyBorder="1"/>
    <xf numFmtId="0" fontId="14" fillId="12" borderId="0" xfId="0" applyFont="1" applyFill="1" applyBorder="1"/>
    <xf numFmtId="0" fontId="14" fillId="3" borderId="0" xfId="0" applyFont="1" applyFill="1" applyBorder="1"/>
    <xf numFmtId="0" fontId="0" fillId="14" borderId="0" xfId="0" applyFill="1" applyBorder="1" applyAlignment="1">
      <alignment horizontal="right"/>
    </xf>
    <xf numFmtId="0" fontId="0" fillId="20" borderId="1" xfId="0" applyFill="1" applyBorder="1"/>
    <xf numFmtId="0" fontId="17" fillId="13" borderId="4" xfId="0" applyFont="1" applyFill="1" applyBorder="1"/>
    <xf numFmtId="0" fontId="17" fillId="0" borderId="4" xfId="0" applyFont="1" applyBorder="1"/>
    <xf numFmtId="0" fontId="16" fillId="0" borderId="4" xfId="0" applyFont="1" applyBorder="1"/>
    <xf numFmtId="0" fontId="17" fillId="0" borderId="7" xfId="0" applyFont="1" applyBorder="1"/>
    <xf numFmtId="0" fontId="0" fillId="0" borderId="7" xfId="0" applyFill="1" applyBorder="1" applyAlignment="1">
      <alignment horizontal="center" vertical="center"/>
    </xf>
    <xf numFmtId="0" fontId="0" fillId="0" borderId="7" xfId="0" applyFill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20" borderId="0" xfId="0" applyFont="1" applyFill="1"/>
    <xf numFmtId="0" fontId="14" fillId="4" borderId="20" xfId="0" applyFont="1" applyFill="1" applyBorder="1"/>
    <xf numFmtId="0" fontId="13" fillId="4" borderId="0" xfId="0" applyFont="1" applyFill="1" applyBorder="1"/>
    <xf numFmtId="0" fontId="13" fillId="4" borderId="4" xfId="0" applyFont="1" applyFill="1" applyBorder="1"/>
    <xf numFmtId="168" fontId="0" fillId="15" borderId="4" xfId="0" applyNumberFormat="1" applyFill="1" applyBorder="1"/>
    <xf numFmtId="168" fontId="0" fillId="0" borderId="4" xfId="0" applyNumberFormat="1" applyBorder="1"/>
    <xf numFmtId="168" fontId="0" fillId="3" borderId="4" xfId="0" applyNumberFormat="1" applyFill="1" applyBorder="1"/>
    <xf numFmtId="168" fontId="0" fillId="0" borderId="7" xfId="0" applyNumberFormat="1" applyBorder="1"/>
    <xf numFmtId="168" fontId="0" fillId="0" borderId="5" xfId="0" applyNumberFormat="1" applyBorder="1"/>
    <xf numFmtId="168" fontId="0" fillId="0" borderId="0" xfId="0" applyNumberFormat="1" applyBorder="1"/>
    <xf numFmtId="168" fontId="0" fillId="3" borderId="0" xfId="0" applyNumberFormat="1" applyFill="1" applyBorder="1"/>
    <xf numFmtId="168" fontId="0" fillId="15" borderId="0" xfId="0" applyNumberFormat="1" applyFill="1" applyBorder="1"/>
    <xf numFmtId="0" fontId="0" fillId="15" borderId="7" xfId="0" applyFill="1" applyBorder="1"/>
    <xf numFmtId="0" fontId="0" fillId="22" borderId="14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/>
    </xf>
    <xf numFmtId="0" fontId="0" fillId="22" borderId="13" xfId="0" applyFill="1" applyBorder="1" applyAlignment="1">
      <alignment horizontal="center" vertical="center"/>
    </xf>
    <xf numFmtId="168" fontId="0" fillId="0" borderId="11" xfId="0" applyNumberFormat="1" applyBorder="1"/>
    <xf numFmtId="168" fontId="0" fillId="15" borderId="11" xfId="0" applyNumberFormat="1" applyFill="1" applyBorder="1"/>
    <xf numFmtId="0" fontId="21" fillId="0" borderId="0" xfId="0" applyFont="1" applyFill="1" applyBorder="1"/>
    <xf numFmtId="0" fontId="22" fillId="0" borderId="0" xfId="0" applyFont="1" applyFill="1" applyBorder="1"/>
    <xf numFmtId="0" fontId="21" fillId="35" borderId="0" xfId="0" applyFont="1" applyFill="1" applyBorder="1"/>
    <xf numFmtId="0" fontId="21" fillId="35" borderId="21" xfId="0" applyFont="1" applyFill="1" applyBorder="1"/>
    <xf numFmtId="0" fontId="21" fillId="35" borderId="22" xfId="0" applyFont="1" applyFill="1" applyBorder="1"/>
    <xf numFmtId="0" fontId="21" fillId="35" borderId="11" xfId="0" applyFont="1" applyFill="1" applyBorder="1"/>
    <xf numFmtId="0" fontId="21" fillId="0" borderId="12" xfId="0" applyFont="1" applyFill="1" applyBorder="1"/>
    <xf numFmtId="0" fontId="21" fillId="0" borderId="13" xfId="0" applyFont="1" applyFill="1" applyBorder="1"/>
    <xf numFmtId="0" fontId="0" fillId="15" borderId="4" xfId="0" applyFill="1" applyBorder="1"/>
    <xf numFmtId="0" fontId="24" fillId="3" borderId="1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3" fillId="0" borderId="21" xfId="0" applyFont="1" applyBorder="1" applyAlignment="1"/>
    <xf numFmtId="0" fontId="23" fillId="0" borderId="2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0" fillId="14" borderId="3" xfId="0" applyFill="1" applyBorder="1"/>
    <xf numFmtId="0" fontId="0" fillId="14" borderId="1" xfId="0" applyFill="1" applyBorder="1"/>
    <xf numFmtId="169" fontId="0" fillId="0" borderId="0" xfId="0" applyNumberFormat="1"/>
    <xf numFmtId="0" fontId="0" fillId="3" borderId="0" xfId="0" applyFont="1" applyFill="1"/>
    <xf numFmtId="0" fontId="25" fillId="3" borderId="0" xfId="0" applyFont="1" applyFill="1"/>
    <xf numFmtId="0" fontId="0" fillId="22" borderId="0" xfId="0" applyFill="1" applyBorder="1"/>
    <xf numFmtId="0" fontId="0" fillId="0" borderId="39" xfId="0" applyBorder="1"/>
    <xf numFmtId="0" fontId="0" fillId="36" borderId="0" xfId="0" applyFill="1"/>
    <xf numFmtId="0" fontId="17" fillId="3" borderId="4" xfId="0" applyFont="1" applyFill="1" applyBorder="1"/>
    <xf numFmtId="0" fontId="17" fillId="12" borderId="4" xfId="0" applyFont="1" applyFill="1" applyBorder="1"/>
    <xf numFmtId="0" fontId="2" fillId="27" borderId="0" xfId="0" applyFont="1" applyFill="1"/>
    <xf numFmtId="0" fontId="2" fillId="25" borderId="0" xfId="0" applyFont="1" applyFill="1"/>
    <xf numFmtId="0" fontId="2" fillId="29" borderId="0" xfId="0" applyFont="1" applyFill="1" applyAlignment="1">
      <alignment horizontal="center"/>
    </xf>
    <xf numFmtId="0" fontId="2" fillId="29" borderId="0" xfId="0" applyFont="1" applyFill="1"/>
    <xf numFmtId="0" fontId="2" fillId="0" borderId="9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6" fillId="0" borderId="0" xfId="0" applyFont="1" applyFill="1"/>
    <xf numFmtId="0" fontId="2" fillId="12" borderId="0" xfId="0" applyFont="1" applyFill="1" applyBorder="1" applyAlignment="1">
      <alignment horizontal="center"/>
    </xf>
    <xf numFmtId="0" fontId="26" fillId="2" borderId="0" xfId="0" applyFont="1" applyFill="1"/>
    <xf numFmtId="0" fontId="2" fillId="2" borderId="35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6" fillId="12" borderId="0" xfId="0" applyFont="1" applyFill="1"/>
    <xf numFmtId="0" fontId="17" fillId="4" borderId="4" xfId="0" applyFont="1" applyFill="1" applyBorder="1"/>
    <xf numFmtId="0" fontId="2" fillId="12" borderId="0" xfId="0" applyFont="1" applyFill="1"/>
    <xf numFmtId="0" fontId="17" fillId="0" borderId="21" xfId="0" applyFont="1" applyBorder="1"/>
    <xf numFmtId="0" fontId="17" fillId="0" borderId="22" xfId="0" applyFont="1" applyBorder="1"/>
    <xf numFmtId="0" fontId="2" fillId="0" borderId="21" xfId="0" applyFont="1" applyBorder="1"/>
    <xf numFmtId="0" fontId="17" fillId="0" borderId="5" xfId="0" applyFont="1" applyBorder="1"/>
    <xf numFmtId="0" fontId="14" fillId="0" borderId="0" xfId="0" applyFont="1" applyBorder="1"/>
    <xf numFmtId="0" fontId="0" fillId="9" borderId="0" xfId="0" applyFill="1" applyBorder="1"/>
    <xf numFmtId="0" fontId="0" fillId="38" borderId="0" xfId="0" applyFill="1" applyBorder="1"/>
    <xf numFmtId="0" fontId="0" fillId="38" borderId="36" xfId="0" applyFill="1" applyBorder="1"/>
    <xf numFmtId="0" fontId="0" fillId="39" borderId="0" xfId="0" applyFill="1"/>
    <xf numFmtId="0" fontId="0" fillId="7" borderId="0" xfId="0" applyFill="1"/>
    <xf numFmtId="0" fontId="15" fillId="0" borderId="0" xfId="0" applyFont="1" applyFill="1" applyBorder="1"/>
    <xf numFmtId="169" fontId="0" fillId="0" borderId="0" xfId="0" applyNumberFormat="1" applyFill="1" applyBorder="1"/>
    <xf numFmtId="0" fontId="0" fillId="0" borderId="0" xfId="0" applyFont="1" applyFill="1" applyBorder="1"/>
    <xf numFmtId="0" fontId="25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168" fontId="0" fillId="0" borderId="21" xfId="0" applyNumberFormat="1" applyFill="1" applyBorder="1"/>
    <xf numFmtId="0" fontId="21" fillId="0" borderId="21" xfId="0" applyFont="1" applyFill="1" applyBorder="1"/>
    <xf numFmtId="0" fontId="19" fillId="0" borderId="12" xfId="0" applyFont="1" applyFill="1" applyBorder="1"/>
    <xf numFmtId="0" fontId="25" fillId="0" borderId="12" xfId="0" applyFont="1" applyFill="1" applyBorder="1"/>
    <xf numFmtId="11" fontId="0" fillId="0" borderId="0" xfId="0" applyNumberFormat="1"/>
    <xf numFmtId="0" fontId="0" fillId="25" borderId="39" xfId="0" applyFill="1" applyBorder="1"/>
    <xf numFmtId="0" fontId="0" fillId="11" borderId="0" xfId="0" applyFill="1" applyBorder="1"/>
    <xf numFmtId="0" fontId="14" fillId="3" borderId="10" xfId="0" applyFont="1" applyFill="1" applyBorder="1"/>
    <xf numFmtId="0" fontId="2" fillId="0" borderId="10" xfId="0" applyFont="1" applyFill="1" applyBorder="1" applyAlignment="1"/>
    <xf numFmtId="0" fontId="2" fillId="0" borderId="0" xfId="0" applyFont="1" applyFill="1" applyBorder="1" applyAlignment="1"/>
    <xf numFmtId="0" fontId="0" fillId="22" borderId="12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17" borderId="0" xfId="0" applyFont="1" applyFill="1"/>
    <xf numFmtId="0" fontId="1" fillId="0" borderId="0" xfId="0" applyFont="1" applyBorder="1"/>
    <xf numFmtId="0" fontId="1" fillId="0" borderId="3" xfId="0" applyFont="1" applyFill="1" applyBorder="1"/>
    <xf numFmtId="0" fontId="16" fillId="0" borderId="9" xfId="0" applyFont="1" applyBorder="1"/>
    <xf numFmtId="0" fontId="17" fillId="0" borderId="9" xfId="0" applyFont="1" applyBorder="1"/>
    <xf numFmtId="0" fontId="19" fillId="0" borderId="14" xfId="0" applyFont="1" applyFill="1" applyBorder="1"/>
    <xf numFmtId="0" fontId="14" fillId="0" borderId="12" xfId="0" applyFont="1" applyFill="1" applyBorder="1"/>
    <xf numFmtId="0" fontId="0" fillId="0" borderId="0" xfId="0" applyAlignment="1">
      <alignment horizontal="right" vertical="center" wrapText="1"/>
    </xf>
    <xf numFmtId="0" fontId="0" fillId="26" borderId="35" xfId="0" applyFill="1" applyBorder="1" applyAlignment="1">
      <alignment horizontal="center"/>
    </xf>
    <xf numFmtId="0" fontId="0" fillId="26" borderId="23" xfId="0" applyFill="1" applyBorder="1" applyAlignment="1">
      <alignment horizontal="center"/>
    </xf>
    <xf numFmtId="0" fontId="0" fillId="26" borderId="34" xfId="0" applyFill="1" applyBorder="1" applyAlignment="1">
      <alignment horizontal="center"/>
    </xf>
    <xf numFmtId="0" fontId="0" fillId="27" borderId="18" xfId="0" applyFill="1" applyBorder="1" applyAlignment="1">
      <alignment horizontal="center"/>
    </xf>
    <xf numFmtId="0" fontId="0" fillId="27" borderId="0" xfId="0" applyFill="1" applyBorder="1" applyAlignment="1">
      <alignment horizontal="center"/>
    </xf>
    <xf numFmtId="0" fontId="0" fillId="27" borderId="36" xfId="0" applyFill="1" applyBorder="1" applyAlignment="1">
      <alignment horizontal="center"/>
    </xf>
    <xf numFmtId="0" fontId="0" fillId="28" borderId="18" xfId="0" applyFill="1" applyBorder="1" applyAlignment="1">
      <alignment horizontal="center"/>
    </xf>
    <xf numFmtId="0" fontId="0" fillId="28" borderId="0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19" fillId="0" borderId="0" xfId="0" applyFont="1" applyFill="1"/>
    <xf numFmtId="2" fontId="0" fillId="12" borderId="0" xfId="0" applyNumberFormat="1" applyFill="1"/>
    <xf numFmtId="2" fontId="0" fillId="3" borderId="0" xfId="0" applyNumberFormat="1" applyFill="1"/>
    <xf numFmtId="2" fontId="0" fillId="0" borderId="0" xfId="0" applyNumberFormat="1" applyBorder="1"/>
    <xf numFmtId="2" fontId="0" fillId="12" borderId="0" xfId="0" applyNumberFormat="1" applyFill="1" applyBorder="1"/>
    <xf numFmtId="2" fontId="0" fillId="3" borderId="0" xfId="0" applyNumberFormat="1" applyFill="1" applyBorder="1"/>
    <xf numFmtId="0" fontId="2" fillId="3" borderId="4" xfId="0" applyFont="1" applyFill="1" applyBorder="1"/>
    <xf numFmtId="0" fontId="2" fillId="0" borderId="5" xfId="0" applyFont="1" applyFill="1" applyBorder="1"/>
    <xf numFmtId="0" fontId="0" fillId="22" borderId="4" xfId="0" applyFill="1" applyBorder="1"/>
    <xf numFmtId="0" fontId="27" fillId="0" borderId="4" xfId="0" applyFont="1" applyBorder="1"/>
    <xf numFmtId="0" fontId="28" fillId="0" borderId="4" xfId="0" applyFont="1" applyBorder="1"/>
    <xf numFmtId="0" fontId="18" fillId="0" borderId="4" xfId="0" applyFont="1" applyBorder="1"/>
    <xf numFmtId="0" fontId="29" fillId="0" borderId="4" xfId="0" applyFont="1" applyBorder="1"/>
    <xf numFmtId="0" fontId="16" fillId="0" borderId="7" xfId="0" applyFont="1" applyBorder="1"/>
    <xf numFmtId="0" fontId="16" fillId="0" borderId="5" xfId="0" applyFont="1" applyBorder="1"/>
    <xf numFmtId="2" fontId="0" fillId="12" borderId="4" xfId="0" applyNumberFormat="1" applyFill="1" applyBorder="1"/>
    <xf numFmtId="2" fontId="0" fillId="3" borderId="4" xfId="0" applyNumberFormat="1" applyFill="1" applyBorder="1"/>
    <xf numFmtId="2" fontId="0" fillId="0" borderId="4" xfId="0" applyNumberFormat="1" applyBorder="1"/>
    <xf numFmtId="0" fontId="21" fillId="0" borderId="4" xfId="0" applyFont="1" applyFill="1" applyBorder="1"/>
    <xf numFmtId="0" fontId="22" fillId="0" borderId="4" xfId="0" applyFont="1" applyFill="1" applyBorder="1"/>
    <xf numFmtId="0" fontId="2" fillId="0" borderId="4" xfId="0" applyFont="1" applyFill="1" applyBorder="1"/>
    <xf numFmtId="0" fontId="0" fillId="39" borderId="7" xfId="0" applyFill="1" applyBorder="1"/>
    <xf numFmtId="0" fontId="0" fillId="22" borderId="5" xfId="0" applyFill="1" applyBorder="1"/>
    <xf numFmtId="0" fontId="0" fillId="22" borderId="4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/>
    </xf>
    <xf numFmtId="0" fontId="0" fillId="39" borderId="4" xfId="0" applyFill="1" applyBorder="1"/>
    <xf numFmtId="0" fontId="19" fillId="0" borderId="4" xfId="0" applyFont="1" applyBorder="1"/>
    <xf numFmtId="0" fontId="19" fillId="3" borderId="4" xfId="0" applyFont="1" applyFill="1" applyBorder="1"/>
    <xf numFmtId="0" fontId="19" fillId="12" borderId="4" xfId="0" applyFont="1" applyFill="1" applyBorder="1"/>
    <xf numFmtId="0" fontId="0" fillId="11" borderId="4" xfId="0" applyFill="1" applyBorder="1"/>
    <xf numFmtId="0" fontId="0" fillId="36" borderId="4" xfId="0" applyFill="1" applyBorder="1"/>
    <xf numFmtId="0" fontId="30" fillId="0" borderId="0" xfId="0" applyFont="1" applyFill="1"/>
    <xf numFmtId="0" fontId="0" fillId="11" borderId="1" xfId="0" applyFill="1" applyBorder="1"/>
    <xf numFmtId="2" fontId="0" fillId="0" borderId="3" xfId="0" applyNumberFormat="1" applyFill="1" applyBorder="1"/>
    <xf numFmtId="0" fontId="31" fillId="11" borderId="4" xfId="0" applyFont="1" applyFill="1" applyBorder="1"/>
    <xf numFmtId="0" fontId="0" fillId="11" borderId="5" xfId="0" applyFont="1" applyFill="1" applyBorder="1"/>
    <xf numFmtId="2" fontId="0" fillId="0" borderId="11" xfId="0" applyNumberFormat="1" applyBorder="1"/>
    <xf numFmtId="0" fontId="0" fillId="36" borderId="0" xfId="0" applyFill="1" applyBorder="1"/>
    <xf numFmtId="0" fontId="0" fillId="11" borderId="5" xfId="0" applyFill="1" applyBorder="1"/>
    <xf numFmtId="0" fontId="0" fillId="40" borderId="4" xfId="0" applyFill="1" applyBorder="1"/>
    <xf numFmtId="0" fontId="0" fillId="40" borderId="0" xfId="0" applyFill="1" applyBorder="1"/>
    <xf numFmtId="0" fontId="2" fillId="3" borderId="4" xfId="0" applyFont="1" applyFill="1" applyBorder="1" applyAlignment="1">
      <alignment horizontal="center"/>
    </xf>
    <xf numFmtId="0" fontId="4" fillId="0" borderId="0" xfId="0" applyFont="1"/>
    <xf numFmtId="0" fontId="14" fillId="0" borderId="32" xfId="0" applyFont="1" applyBorder="1"/>
    <xf numFmtId="0" fontId="0" fillId="0" borderId="8" xfId="0" applyBorder="1"/>
    <xf numFmtId="0" fontId="0" fillId="0" borderId="24" xfId="0" applyBorder="1"/>
    <xf numFmtId="0" fontId="14" fillId="0" borderId="8" xfId="0" applyFont="1" applyBorder="1"/>
    <xf numFmtId="0" fontId="0" fillId="0" borderId="38" xfId="0" applyBorder="1"/>
    <xf numFmtId="0" fontId="0" fillId="0" borderId="37" xfId="0" applyBorder="1"/>
    <xf numFmtId="0" fontId="0" fillId="0" borderId="41" xfId="0" applyBorder="1"/>
    <xf numFmtId="0" fontId="0" fillId="0" borderId="15" xfId="0" applyFill="1" applyBorder="1"/>
    <xf numFmtId="0" fontId="0" fillId="0" borderId="1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1" xfId="0" applyBorder="1" applyAlignment="1">
      <alignment horizontal="left"/>
    </xf>
    <xf numFmtId="0" fontId="0" fillId="3" borderId="41" xfId="0" applyFill="1" applyBorder="1"/>
    <xf numFmtId="0" fontId="3" fillId="0" borderId="15" xfId="0" applyFont="1" applyBorder="1" applyAlignment="1">
      <alignment horizontal="center"/>
    </xf>
    <xf numFmtId="0" fontId="0" fillId="20" borderId="36" xfId="0" applyFill="1" applyBorder="1"/>
    <xf numFmtId="165" fontId="0" fillId="0" borderId="0" xfId="0" applyNumberFormat="1" applyBorder="1"/>
    <xf numFmtId="0" fontId="0" fillId="0" borderId="43" xfId="0" applyBorder="1"/>
    <xf numFmtId="0" fontId="0" fillId="0" borderId="44" xfId="0" applyBorder="1"/>
    <xf numFmtId="0" fontId="1" fillId="0" borderId="36" xfId="0" applyFont="1" applyBorder="1"/>
    <xf numFmtId="0" fontId="0" fillId="0" borderId="36" xfId="0" applyNumberFormat="1" applyBorder="1"/>
    <xf numFmtId="2" fontId="0" fillId="13" borderId="21" xfId="0" applyNumberFormat="1" applyFill="1" applyBorder="1"/>
    <xf numFmtId="0" fontId="0" fillId="0" borderId="25" xfId="0" applyFill="1" applyBorder="1"/>
    <xf numFmtId="0" fontId="0" fillId="12" borderId="8" xfId="0" applyFill="1" applyBorder="1"/>
    <xf numFmtId="0" fontId="0" fillId="12" borderId="15" xfId="0" applyFill="1" applyBorder="1"/>
    <xf numFmtId="0" fontId="0" fillId="37" borderId="0" xfId="0" applyFill="1" applyBorder="1" applyAlignment="1">
      <alignment horizontal="center"/>
    </xf>
    <xf numFmtId="0" fontId="0" fillId="37" borderId="3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2" borderId="23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7" borderId="0" xfId="0" applyFill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0" fillId="28" borderId="19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22" borderId="40" xfId="0" applyFill="1" applyBorder="1" applyAlignment="1">
      <alignment horizontal="center"/>
    </xf>
    <xf numFmtId="0" fontId="0" fillId="22" borderId="39" xfId="0" applyFill="1" applyBorder="1" applyAlignment="1">
      <alignment horizontal="center"/>
    </xf>
    <xf numFmtId="0" fontId="0" fillId="22" borderId="26" xfId="0" applyFill="1" applyBorder="1" applyAlignment="1">
      <alignment horizontal="center"/>
    </xf>
  </cellXfs>
  <cellStyles count="18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  <cellStyle name="Normal 2" xfId="183"/>
  </cellStyles>
  <dxfs count="0"/>
  <tableStyles count="0" defaultTableStyle="TableStyleMedium2" defaultPivotStyle="PivotStyleLight16"/>
  <colors>
    <mruColors>
      <color rgb="FFFFFFCC"/>
      <color rgb="FF00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chartsheet" Target="chartsheets/sheet7.xml"/><Relationship Id="rId21" Type="http://schemas.openxmlformats.org/officeDocument/2006/relationships/chartsheet" Target="chartsheets/sheet8.xml"/><Relationship Id="rId22" Type="http://schemas.openxmlformats.org/officeDocument/2006/relationships/chartsheet" Target="chartsheets/sheet9.xml"/><Relationship Id="rId23" Type="http://schemas.openxmlformats.org/officeDocument/2006/relationships/chartsheet" Target="chartsheets/sheet10.xml"/><Relationship Id="rId24" Type="http://schemas.openxmlformats.org/officeDocument/2006/relationships/chartsheet" Target="chartsheets/sheet11.xml"/><Relationship Id="rId25" Type="http://schemas.openxmlformats.org/officeDocument/2006/relationships/chartsheet" Target="chartsheets/sheet12.xml"/><Relationship Id="rId26" Type="http://schemas.openxmlformats.org/officeDocument/2006/relationships/chartsheet" Target="chartsheets/sheet13.xml"/><Relationship Id="rId27" Type="http://schemas.openxmlformats.org/officeDocument/2006/relationships/chartsheet" Target="chartsheets/sheet14.xml"/><Relationship Id="rId28" Type="http://schemas.openxmlformats.org/officeDocument/2006/relationships/chartsheet" Target="chartsheets/sheet15.xml"/><Relationship Id="rId29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chartsheet" Target="chartsheets/sheet2.xml"/><Relationship Id="rId5" Type="http://schemas.openxmlformats.org/officeDocument/2006/relationships/chartsheet" Target="chartsheets/sheet3.xml"/><Relationship Id="rId30" Type="http://schemas.openxmlformats.org/officeDocument/2006/relationships/chartsheet" Target="chartsheets/sheet16.xml"/><Relationship Id="rId31" Type="http://schemas.openxmlformats.org/officeDocument/2006/relationships/chartsheet" Target="chartsheets/sheet17.xml"/><Relationship Id="rId32" Type="http://schemas.openxmlformats.org/officeDocument/2006/relationships/chartsheet" Target="chartsheets/sheet18.xml"/><Relationship Id="rId9" Type="http://schemas.openxmlformats.org/officeDocument/2006/relationships/chartsheet" Target="chartsheets/sheet5.xml"/><Relationship Id="rId6" Type="http://schemas.openxmlformats.org/officeDocument/2006/relationships/chartsheet" Target="chartsheets/sheet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3" Type="http://schemas.openxmlformats.org/officeDocument/2006/relationships/chartsheet" Target="chartsheets/sheet19.xml"/><Relationship Id="rId34" Type="http://schemas.openxmlformats.org/officeDocument/2006/relationships/chartsheet" Target="chartsheets/sheet20.xml"/><Relationship Id="rId35" Type="http://schemas.openxmlformats.org/officeDocument/2006/relationships/chartsheet" Target="chartsheets/sheet21.xml"/><Relationship Id="rId36" Type="http://schemas.openxmlformats.org/officeDocument/2006/relationships/worksheet" Target="worksheets/sheet15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Relationship Id="rId19" Type="http://schemas.openxmlformats.org/officeDocument/2006/relationships/chartsheet" Target="chartsheets/sheet6.xml"/><Relationship Id="rId37" Type="http://schemas.openxmlformats.org/officeDocument/2006/relationships/worksheet" Target="worksheets/sheet16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Relationship Id="rId41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6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7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7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7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7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7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10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877296587927"/>
          <c:y val="0.0514005540974045"/>
          <c:w val="0.794483814523185"/>
          <c:h val="0.83261956838728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MRI_PQ!$AY$3:$AY$22</c:f>
              <c:numCache>
                <c:formatCode>General</c:formatCode>
                <c:ptCount val="20"/>
                <c:pt idx="0">
                  <c:v>2.7467215</c:v>
                </c:pt>
                <c:pt idx="1">
                  <c:v>6.995300500000003</c:v>
                </c:pt>
                <c:pt idx="2">
                  <c:v>2.297440000000002</c:v>
                </c:pt>
                <c:pt idx="3">
                  <c:v>8.7480905</c:v>
                </c:pt>
                <c:pt idx="4">
                  <c:v>3.545424499999999</c:v>
                </c:pt>
                <c:pt idx="5">
                  <c:v>4.334474500000001</c:v>
                </c:pt>
                <c:pt idx="8">
                  <c:v>2.754398500000001</c:v>
                </c:pt>
                <c:pt idx="9">
                  <c:v>6.822588000000001</c:v>
                </c:pt>
                <c:pt idx="10">
                  <c:v>7.929710999999999</c:v>
                </c:pt>
                <c:pt idx="11">
                  <c:v>9.909032999999997</c:v>
                </c:pt>
                <c:pt idx="14">
                  <c:v>4.160393499999998</c:v>
                </c:pt>
                <c:pt idx="15">
                  <c:v>4.167486</c:v>
                </c:pt>
                <c:pt idx="16">
                  <c:v>5.3466725</c:v>
                </c:pt>
                <c:pt idx="17">
                  <c:v>8.312947499999996</c:v>
                </c:pt>
                <c:pt idx="18">
                  <c:v>1.4674665</c:v>
                </c:pt>
                <c:pt idx="19">
                  <c:v>0.282247000000002</c:v>
                </c:pt>
              </c:numCache>
            </c:numRef>
          </c:xVal>
          <c:yVal>
            <c:numRef>
              <c:f>MRI_PQ!$BD$3:$BD$22</c:f>
              <c:numCache>
                <c:formatCode>General</c:formatCode>
                <c:ptCount val="20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13.5</c:v>
                </c:pt>
                <c:pt idx="5">
                  <c:v>11.0</c:v>
                </c:pt>
                <c:pt idx="6">
                  <c:v>11.5</c:v>
                </c:pt>
                <c:pt idx="8">
                  <c:v>14.5</c:v>
                </c:pt>
                <c:pt idx="9">
                  <c:v>11.0</c:v>
                </c:pt>
                <c:pt idx="10">
                  <c:v>8.5</c:v>
                </c:pt>
                <c:pt idx="11">
                  <c:v>4.0</c:v>
                </c:pt>
                <c:pt idx="12">
                  <c:v>13.0</c:v>
                </c:pt>
                <c:pt idx="13">
                  <c:v>14.5</c:v>
                </c:pt>
                <c:pt idx="14">
                  <c:v>10.5</c:v>
                </c:pt>
                <c:pt idx="15">
                  <c:v>10.0</c:v>
                </c:pt>
                <c:pt idx="16">
                  <c:v>18.5</c:v>
                </c:pt>
                <c:pt idx="17">
                  <c:v>14.5</c:v>
                </c:pt>
                <c:pt idx="18">
                  <c:v>18.5</c:v>
                </c:pt>
                <c:pt idx="19">
                  <c:v>15.5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1803600"/>
        <c:axId val="-2052517648"/>
      </c:scatterChart>
      <c:valAx>
        <c:axId val="-205180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2517648"/>
        <c:crosses val="autoZero"/>
        <c:crossBetween val="midCat"/>
      </c:valAx>
      <c:valAx>
        <c:axId val="-2052517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1803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2600"/>
            </a:pPr>
            <a:r>
              <a:rPr lang="en-GB" sz="2600"/>
              <a:t>Acute subjective effects of LSD</a:t>
            </a:r>
            <a:r>
              <a:rPr lang="en-GB" sz="2600" baseline="0"/>
              <a:t> during</a:t>
            </a:r>
            <a:r>
              <a:rPr lang="en-GB" sz="2600"/>
              <a:t> MRI</a:t>
            </a:r>
            <a:r>
              <a:rPr lang="en-GB" sz="2600" baseline="0"/>
              <a:t> </a:t>
            </a:r>
            <a:endParaRPr lang="en-GB" sz="2600"/>
          </a:p>
        </c:rich>
      </c:tx>
      <c:layout>
        <c:manualLayout>
          <c:xMode val="edge"/>
          <c:yMode val="edge"/>
          <c:x val="0.253496797282591"/>
          <c:y val="0.010450823256675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453239227773757"/>
          <c:y val="0.10212693206313"/>
          <c:w val="0.516531503498224"/>
          <c:h val="0.837953738410757"/>
        </c:manualLayout>
      </c:layout>
      <c:barChart>
        <c:barDir val="bar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MRI_PQ!$E$25:$AG$25</c:f>
                <c:numCache>
                  <c:formatCode>General</c:formatCode>
                  <c:ptCount val="29"/>
                  <c:pt idx="0">
                    <c:v>0.0495001330993961</c:v>
                  </c:pt>
                  <c:pt idx="1">
                    <c:v>0.0655843166493143</c:v>
                  </c:pt>
                  <c:pt idx="2">
                    <c:v>0.0655820093248419</c:v>
                  </c:pt>
                  <c:pt idx="3">
                    <c:v>0.0842721152252007</c:v>
                  </c:pt>
                  <c:pt idx="4">
                    <c:v>0.0787521092628639</c:v>
                  </c:pt>
                  <c:pt idx="5">
                    <c:v>0.0769629955495012</c:v>
                  </c:pt>
                  <c:pt idx="6">
                    <c:v>0.0879888600337613</c:v>
                  </c:pt>
                  <c:pt idx="7">
                    <c:v>0.0811321210572741</c:v>
                  </c:pt>
                  <c:pt idx="8">
                    <c:v>0.0871656016642442</c:v>
                  </c:pt>
                  <c:pt idx="9">
                    <c:v>0.0888031529627033</c:v>
                  </c:pt>
                  <c:pt idx="10">
                    <c:v>0.087083142413245</c:v>
                  </c:pt>
                  <c:pt idx="11">
                    <c:v>0.08515805729571</c:v>
                  </c:pt>
                  <c:pt idx="12">
                    <c:v>0.0817863065319998</c:v>
                  </c:pt>
                  <c:pt idx="13">
                    <c:v>0.0810019486326224</c:v>
                  </c:pt>
                  <c:pt idx="14">
                    <c:v>0.0763196188130341</c:v>
                  </c:pt>
                  <c:pt idx="15">
                    <c:v>0.0927653377606048</c:v>
                  </c:pt>
                  <c:pt idx="16">
                    <c:v>0.0817521126225773</c:v>
                  </c:pt>
                  <c:pt idx="17">
                    <c:v>0.0690255484011695</c:v>
                  </c:pt>
                  <c:pt idx="18">
                    <c:v>0.0933072873279766</c:v>
                  </c:pt>
                  <c:pt idx="19">
                    <c:v>0.0841141927937538</c:v>
                  </c:pt>
                  <c:pt idx="20">
                    <c:v>0.0852701583557766</c:v>
                  </c:pt>
                  <c:pt idx="21">
                    <c:v>0.0738351646851474</c:v>
                  </c:pt>
                  <c:pt idx="22">
                    <c:v>0.0707117015385261</c:v>
                  </c:pt>
                  <c:pt idx="23">
                    <c:v>0.081909047221679</c:v>
                  </c:pt>
                  <c:pt idx="24">
                    <c:v>0.0616394437002287</c:v>
                  </c:pt>
                  <c:pt idx="25">
                    <c:v>0.0623504528722868</c:v>
                  </c:pt>
                  <c:pt idx="26">
                    <c:v>0.0686979466798585</c:v>
                  </c:pt>
                  <c:pt idx="27">
                    <c:v>0.0341858306543309</c:v>
                  </c:pt>
                  <c:pt idx="28">
                    <c:v>0.0511221447349943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MRI_PQ!$C$58:$C$78</c:f>
              <c:strCache>
                <c:ptCount val="21"/>
                <c:pt idx="0">
                  <c:v>I felt suspicious and paranoid</c:v>
                </c:pt>
                <c:pt idx="1">
                  <c:v>I feared losing control of my mind</c:v>
                </c:pt>
                <c:pt idx="2">
                  <c:v>I felt afraid</c:v>
                </c:pt>
                <c:pt idx="3">
                  <c:v>The experience had a spiritual or mystical quality</c:v>
                </c:pt>
                <c:pt idx="4">
                  <c:v>I felt a profound inner peace</c:v>
                </c:pt>
                <c:pt idx="5">
                  <c:v>I experienced a disintegration of my 'self' or 'ego'</c:v>
                </c:pt>
                <c:pt idx="6">
                  <c:v>The experience had a supernatural quality</c:v>
                </c:pt>
                <c:pt idx="7">
                  <c:v>I felt like I was floating</c:v>
                </c:pt>
                <c:pt idx="8">
                  <c:v>Things looked strange</c:v>
                </c:pt>
                <c:pt idx="9">
                  <c:v>I experienced a sense of merging with my surroundings</c:v>
                </c:pt>
                <c:pt idx="10">
                  <c:v>I saw movement in things that weren't really moving</c:v>
                </c:pt>
                <c:pt idx="11">
                  <c:v>My thinking was muddled</c:v>
                </c:pt>
                <c:pt idx="12">
                  <c:v>Edges appeared warped</c:v>
                </c:pt>
                <c:pt idx="13">
                  <c:v>I saw geometric patterns</c:v>
                </c:pt>
                <c:pt idx="14">
                  <c:v>My perception of time was distorted</c:v>
                </c:pt>
                <c:pt idx="15">
                  <c:v>My thoughts wandered freely</c:v>
                </c:pt>
                <c:pt idx="16">
                  <c:v>I felt unusual bodily sensations</c:v>
                </c:pt>
                <c:pt idx="17">
                  <c:v>My sense of size and space was distorted</c:v>
                </c:pt>
                <c:pt idx="18">
                  <c:v>Sounds influenced things I saw</c:v>
                </c:pt>
                <c:pt idx="19">
                  <c:v>The experience had a dream like quality</c:v>
                </c:pt>
                <c:pt idx="20">
                  <c:v>My imagintaion was extremely vivid</c:v>
                </c:pt>
              </c:strCache>
            </c:strRef>
          </c:cat>
          <c:val>
            <c:numRef>
              <c:f>MRI_PQ!$A$58:$A$78</c:f>
              <c:numCache>
                <c:formatCode>General</c:formatCode>
                <c:ptCount val="21"/>
                <c:pt idx="0">
                  <c:v>0.0570588233234329</c:v>
                </c:pt>
                <c:pt idx="1">
                  <c:v>0.14176470500144</c:v>
                </c:pt>
                <c:pt idx="2">
                  <c:v>0.148823529056728</c:v>
                </c:pt>
                <c:pt idx="3">
                  <c:v>0.316470586561059</c:v>
                </c:pt>
                <c:pt idx="4">
                  <c:v>0.334705881016269</c:v>
                </c:pt>
                <c:pt idx="5">
                  <c:v>0.374117644166235</c:v>
                </c:pt>
                <c:pt idx="6">
                  <c:v>0.447058825817176</c:v>
                </c:pt>
                <c:pt idx="7">
                  <c:v>0.466470591758959</c:v>
                </c:pt>
                <c:pt idx="8">
                  <c:v>0.50117646587691</c:v>
                </c:pt>
                <c:pt idx="9">
                  <c:v>0.514117646589911</c:v>
                </c:pt>
                <c:pt idx="10">
                  <c:v>0.524117648759294</c:v>
                </c:pt>
                <c:pt idx="11">
                  <c:v>0.559411764819882</c:v>
                </c:pt>
                <c:pt idx="12">
                  <c:v>0.561176471131706</c:v>
                </c:pt>
                <c:pt idx="13">
                  <c:v>0.589411761708118</c:v>
                </c:pt>
                <c:pt idx="14">
                  <c:v>0.590000000122694</c:v>
                </c:pt>
                <c:pt idx="15">
                  <c:v>0.590000000490883</c:v>
                </c:pt>
                <c:pt idx="16">
                  <c:v>0.592352940948641</c:v>
                </c:pt>
                <c:pt idx="17">
                  <c:v>0.601764705308205</c:v>
                </c:pt>
                <c:pt idx="18">
                  <c:v>0.625294118278176</c:v>
                </c:pt>
                <c:pt idx="19">
                  <c:v>0.664705881651765</c:v>
                </c:pt>
                <c:pt idx="20">
                  <c:v>0.697647058508</c:v>
                </c:pt>
              </c:numCache>
            </c:numRef>
          </c:val>
        </c:ser>
        <c:ser>
          <c:idx val="1"/>
          <c:order val="1"/>
          <c:tx>
            <c:v>PLACEBO</c:v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MRI_PQ!$F$51:$AG$51</c:f>
                <c:numCache>
                  <c:formatCode>General</c:formatCode>
                  <c:ptCount val="28"/>
                  <c:pt idx="0">
                    <c:v>0.0215976974466705</c:v>
                  </c:pt>
                  <c:pt idx="1">
                    <c:v>0.0250305078741006</c:v>
                  </c:pt>
                  <c:pt idx="2">
                    <c:v>0.025464112582565</c:v>
                  </c:pt>
                  <c:pt idx="3">
                    <c:v>0.0396922371182046</c:v>
                  </c:pt>
                  <c:pt idx="4">
                    <c:v>0.0314765998449736</c:v>
                  </c:pt>
                  <c:pt idx="5">
                    <c:v>0.015530530048368</c:v>
                  </c:pt>
                  <c:pt idx="6">
                    <c:v>0.0156961271162915</c:v>
                  </c:pt>
                  <c:pt idx="7">
                    <c:v>0.0154425933026681</c:v>
                  </c:pt>
                  <c:pt idx="8">
                    <c:v>0.0133100673288874</c:v>
                  </c:pt>
                  <c:pt idx="9">
                    <c:v>0.0154217038962948</c:v>
                  </c:pt>
                  <c:pt idx="10">
                    <c:v>0.0115137217103722</c:v>
                  </c:pt>
                  <c:pt idx="11">
                    <c:v>0.00907498029447989</c:v>
                  </c:pt>
                  <c:pt idx="12">
                    <c:v>0.0119185833541486</c:v>
                  </c:pt>
                  <c:pt idx="13">
                    <c:v>0.00902044461058505</c:v>
                  </c:pt>
                  <c:pt idx="14">
                    <c:v>0.00552982341623511</c:v>
                  </c:pt>
                  <c:pt idx="15">
                    <c:v>0.0171260804634583</c:v>
                  </c:pt>
                  <c:pt idx="16">
                    <c:v>0.0182594604622026</c:v>
                  </c:pt>
                  <c:pt idx="17">
                    <c:v>0.00482727992517612</c:v>
                  </c:pt>
                  <c:pt idx="18">
                    <c:v>0.00708129461741222</c:v>
                  </c:pt>
                  <c:pt idx="19">
                    <c:v>0.0129959509644399</c:v>
                  </c:pt>
                  <c:pt idx="20">
                    <c:v>0.0181165812209352</c:v>
                  </c:pt>
                  <c:pt idx="21">
                    <c:v>0.0120612472451089</c:v>
                  </c:pt>
                  <c:pt idx="22">
                    <c:v>0.0217049597407369</c:v>
                  </c:pt>
                  <c:pt idx="23">
                    <c:v>0.0105450162177135</c:v>
                  </c:pt>
                  <c:pt idx="24">
                    <c:v>0.0283852724760858</c:v>
                  </c:pt>
                  <c:pt idx="25">
                    <c:v>0.0109754510157577</c:v>
                  </c:pt>
                  <c:pt idx="26">
                    <c:v>0.0441425621640121</c:v>
                  </c:pt>
                  <c:pt idx="27">
                    <c:v>0.010494985945072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MRI_PQ!$C$58:$C$78</c:f>
              <c:strCache>
                <c:ptCount val="21"/>
                <c:pt idx="0">
                  <c:v>I felt suspicious and paranoid</c:v>
                </c:pt>
                <c:pt idx="1">
                  <c:v>I feared losing control of my mind</c:v>
                </c:pt>
                <c:pt idx="2">
                  <c:v>I felt afraid</c:v>
                </c:pt>
                <c:pt idx="3">
                  <c:v>The experience had a spiritual or mystical quality</c:v>
                </c:pt>
                <c:pt idx="4">
                  <c:v>I felt a profound inner peace</c:v>
                </c:pt>
                <c:pt idx="5">
                  <c:v>I experienced a disintegration of my 'self' or 'ego'</c:v>
                </c:pt>
                <c:pt idx="6">
                  <c:v>The experience had a supernatural quality</c:v>
                </c:pt>
                <c:pt idx="7">
                  <c:v>I felt like I was floating</c:v>
                </c:pt>
                <c:pt idx="8">
                  <c:v>Things looked strange</c:v>
                </c:pt>
                <c:pt idx="9">
                  <c:v>I experienced a sense of merging with my surroundings</c:v>
                </c:pt>
                <c:pt idx="10">
                  <c:v>I saw movement in things that weren't really moving</c:v>
                </c:pt>
                <c:pt idx="11">
                  <c:v>My thinking was muddled</c:v>
                </c:pt>
                <c:pt idx="12">
                  <c:v>Edges appeared warped</c:v>
                </c:pt>
                <c:pt idx="13">
                  <c:v>I saw geometric patterns</c:v>
                </c:pt>
                <c:pt idx="14">
                  <c:v>My perception of time was distorted</c:v>
                </c:pt>
                <c:pt idx="15">
                  <c:v>My thoughts wandered freely</c:v>
                </c:pt>
                <c:pt idx="16">
                  <c:v>I felt unusual bodily sensations</c:v>
                </c:pt>
                <c:pt idx="17">
                  <c:v>My sense of size and space was distorted</c:v>
                </c:pt>
                <c:pt idx="18">
                  <c:v>Sounds influenced things I saw</c:v>
                </c:pt>
                <c:pt idx="19">
                  <c:v>The experience had a dream like quality</c:v>
                </c:pt>
                <c:pt idx="20">
                  <c:v>My imagintaion was extremely vivid</c:v>
                </c:pt>
              </c:strCache>
            </c:strRef>
          </c:cat>
          <c:val>
            <c:numRef>
              <c:f>MRI_PQ!$B$58:$B$78</c:f>
              <c:numCache>
                <c:formatCode>General</c:formatCode>
                <c:ptCount val="21"/>
                <c:pt idx="0">
                  <c:v>0.0138888884873556</c:v>
                </c:pt>
                <c:pt idx="1">
                  <c:v>0.0127777776991378</c:v>
                </c:pt>
                <c:pt idx="2">
                  <c:v>0.01499999990895</c:v>
                </c:pt>
                <c:pt idx="3">
                  <c:v>0.0138888884749867</c:v>
                </c:pt>
                <c:pt idx="4">
                  <c:v>0.0388888887564278</c:v>
                </c:pt>
                <c:pt idx="5">
                  <c:v>0.00777777775294444</c:v>
                </c:pt>
                <c:pt idx="6">
                  <c:v>0.00777777771983333</c:v>
                </c:pt>
                <c:pt idx="7">
                  <c:v>0.0422222221559944</c:v>
                </c:pt>
                <c:pt idx="8">
                  <c:v>0.0166666665011056</c:v>
                </c:pt>
                <c:pt idx="9">
                  <c:v>0.0188888887233278</c:v>
                </c:pt>
                <c:pt idx="10">
                  <c:v>0.0188888889964978</c:v>
                </c:pt>
                <c:pt idx="11">
                  <c:v>0.0133333332588267</c:v>
                </c:pt>
                <c:pt idx="12">
                  <c:v>0.0183333334409422</c:v>
                </c:pt>
                <c:pt idx="13">
                  <c:v>0.0266666658636611</c:v>
                </c:pt>
                <c:pt idx="14">
                  <c:v>0.02722222223877</c:v>
                </c:pt>
                <c:pt idx="15">
                  <c:v>0.103333333205017</c:v>
                </c:pt>
                <c:pt idx="16">
                  <c:v>0.0755555556259044</c:v>
                </c:pt>
                <c:pt idx="17">
                  <c:v>0.027222222007</c:v>
                </c:pt>
                <c:pt idx="18">
                  <c:v>0.0611111099894044</c:v>
                </c:pt>
                <c:pt idx="19">
                  <c:v>0.0711111113387444</c:v>
                </c:pt>
                <c:pt idx="20">
                  <c:v>0.0677777778646833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47245840"/>
        <c:axId val="-2047241536"/>
      </c:barChart>
      <c:catAx>
        <c:axId val="-204724584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350"/>
            </a:pPr>
            <a:endParaRPr lang="en-US"/>
          </a:p>
        </c:txPr>
        <c:crossAx val="-2047241536"/>
        <c:crosses val="autoZero"/>
        <c:auto val="1"/>
        <c:lblAlgn val="ctr"/>
        <c:lblOffset val="100"/>
        <c:noMultiLvlLbl val="0"/>
      </c:catAx>
      <c:valAx>
        <c:axId val="-204724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crossAx val="-20472458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6903746664251"/>
          <c:y val="0.684922093682969"/>
          <c:w val="0.141905038509531"/>
          <c:h val="0.0989513392415906"/>
        </c:manualLayout>
      </c:layout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</c:chart>
  <c:spPr>
    <a:ln w="3175">
      <a:solidFill>
        <a:schemeClr val="bg1">
          <a:lumMod val="50000"/>
        </a:schemeClr>
      </a:solidFill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/>
            </a:pPr>
            <a:r>
              <a:rPr lang="en-GB" sz="2600"/>
              <a:t>Acute</a:t>
            </a:r>
            <a:r>
              <a:rPr lang="en-GB" sz="2600" baseline="0"/>
              <a:t> s</a:t>
            </a:r>
            <a:r>
              <a:rPr lang="en-GB" sz="2600"/>
              <a:t>ubjective effects of LSD during</a:t>
            </a:r>
            <a:r>
              <a:rPr lang="en-GB" sz="2600" baseline="0"/>
              <a:t> </a:t>
            </a:r>
            <a:r>
              <a:rPr lang="en-GB" sz="2600" u="sng" baseline="0"/>
              <a:t>MEG</a:t>
            </a:r>
            <a:endParaRPr lang="en-GB" sz="260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439527984558107"/>
          <c:y val="0.116805093400982"/>
          <c:w val="0.52613803424887"/>
          <c:h val="0.82750733041215"/>
        </c:manualLayout>
      </c:layout>
      <c:barChart>
        <c:barDir val="bar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MEG_PQ!$G$55:$G$75</c:f>
                <c:numCache>
                  <c:formatCode>General</c:formatCode>
                  <c:ptCount val="21"/>
                  <c:pt idx="0">
                    <c:v>0.0657106900041548</c:v>
                  </c:pt>
                  <c:pt idx="1">
                    <c:v>0.0648845125674987</c:v>
                  </c:pt>
                  <c:pt idx="2">
                    <c:v>0.0743018188489958</c:v>
                  </c:pt>
                  <c:pt idx="3">
                    <c:v>0.0745069561139598</c:v>
                  </c:pt>
                  <c:pt idx="4">
                    <c:v>0.0895552696197153</c:v>
                  </c:pt>
                  <c:pt idx="5">
                    <c:v>0.0778360479993012</c:v>
                  </c:pt>
                  <c:pt idx="6">
                    <c:v>0.0659547505477033</c:v>
                  </c:pt>
                  <c:pt idx="7">
                    <c:v>0.0576389746929934</c:v>
                  </c:pt>
                  <c:pt idx="8">
                    <c:v>0.0649196539896655</c:v>
                  </c:pt>
                  <c:pt idx="9">
                    <c:v>0.0547586413646998</c:v>
                  </c:pt>
                  <c:pt idx="10">
                    <c:v>0.0719772948830633</c:v>
                  </c:pt>
                  <c:pt idx="11">
                    <c:v>0.0695444662751169</c:v>
                  </c:pt>
                  <c:pt idx="12">
                    <c:v>0.0703643397278639</c:v>
                  </c:pt>
                  <c:pt idx="13">
                    <c:v>0.0501824155508858</c:v>
                  </c:pt>
                  <c:pt idx="14">
                    <c:v>0.0625666897300414</c:v>
                  </c:pt>
                  <c:pt idx="15">
                    <c:v>0.0567708025753566</c:v>
                  </c:pt>
                  <c:pt idx="16">
                    <c:v>0.056066742232682</c:v>
                  </c:pt>
                  <c:pt idx="17">
                    <c:v>0.0475268466365545</c:v>
                  </c:pt>
                  <c:pt idx="18">
                    <c:v>0.0349594584189958</c:v>
                  </c:pt>
                  <c:pt idx="19">
                    <c:v>0.0315811394012482</c:v>
                  </c:pt>
                  <c:pt idx="20">
                    <c:v>0.0110302613886375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MEG_PQ!$E$55:$E$75</c:f>
              <c:strCache>
                <c:ptCount val="21"/>
                <c:pt idx="0">
                  <c:v>I saw geometric patterns</c:v>
                </c:pt>
                <c:pt idx="1">
                  <c:v>My imagintaion was extremely vivid</c:v>
                </c:pt>
                <c:pt idx="2">
                  <c:v>My thoughts wandered freely</c:v>
                </c:pt>
                <c:pt idx="3">
                  <c:v>Edges appeared warped</c:v>
                </c:pt>
                <c:pt idx="4">
                  <c:v>Sounds influenced things I saw</c:v>
                </c:pt>
                <c:pt idx="5">
                  <c:v>I saw movement in things that weren't really moving</c:v>
                </c:pt>
                <c:pt idx="6">
                  <c:v>My perception of time was distorted</c:v>
                </c:pt>
                <c:pt idx="7">
                  <c:v>I felt unusual bodily sensations</c:v>
                </c:pt>
                <c:pt idx="8">
                  <c:v>My sense of size and space was distorted</c:v>
                </c:pt>
                <c:pt idx="9">
                  <c:v>Things looked strange</c:v>
                </c:pt>
                <c:pt idx="10">
                  <c:v>The experience had a dream like quality</c:v>
                </c:pt>
                <c:pt idx="11">
                  <c:v>I felt like I was floating</c:v>
                </c:pt>
                <c:pt idx="12">
                  <c:v>I experienced a sense of merging with my surroundings</c:v>
                </c:pt>
                <c:pt idx="13">
                  <c:v>My thinking was muddled</c:v>
                </c:pt>
                <c:pt idx="14">
                  <c:v>I felt a profound inner peace</c:v>
                </c:pt>
                <c:pt idx="15">
                  <c:v>The experience had a spiritual or mystical quality</c:v>
                </c:pt>
                <c:pt idx="16">
                  <c:v>I experienced a disintegration of my 'self' or 'ego'</c:v>
                </c:pt>
                <c:pt idx="17">
                  <c:v>The experience had a supernatural quality</c:v>
                </c:pt>
                <c:pt idx="18">
                  <c:v>I felt suspicious and paranoid</c:v>
                </c:pt>
                <c:pt idx="19">
                  <c:v>I felt afraid</c:v>
                </c:pt>
                <c:pt idx="20">
                  <c:v>I feared losing control of my mind</c:v>
                </c:pt>
              </c:strCache>
            </c:strRef>
          </c:cat>
          <c:val>
            <c:numRef>
              <c:f>MEG_PQ!$F$55:$F$75</c:f>
              <c:numCache>
                <c:formatCode>General</c:formatCode>
                <c:ptCount val="21"/>
                <c:pt idx="0">
                  <c:v>0.563684211474968</c:v>
                </c:pt>
                <c:pt idx="1">
                  <c:v>0.559999998556947</c:v>
                </c:pt>
                <c:pt idx="2">
                  <c:v>0.555263160351</c:v>
                </c:pt>
                <c:pt idx="3">
                  <c:v>0.545789471557789</c:v>
                </c:pt>
                <c:pt idx="4">
                  <c:v>0.538421055551211</c:v>
                </c:pt>
                <c:pt idx="5">
                  <c:v>0.533684212774</c:v>
                </c:pt>
                <c:pt idx="6">
                  <c:v>0.486842102277737</c:v>
                </c:pt>
                <c:pt idx="7">
                  <c:v>0.406842102568842</c:v>
                </c:pt>
                <c:pt idx="8">
                  <c:v>0.386315792992</c:v>
                </c:pt>
                <c:pt idx="9">
                  <c:v>0.385789473517495</c:v>
                </c:pt>
                <c:pt idx="10">
                  <c:v>0.375789473733968</c:v>
                </c:pt>
                <c:pt idx="11">
                  <c:v>0.352105263312789</c:v>
                </c:pt>
                <c:pt idx="12">
                  <c:v>0.306842104121316</c:v>
                </c:pt>
                <c:pt idx="13">
                  <c:v>0.278947366890579</c:v>
                </c:pt>
                <c:pt idx="14">
                  <c:v>0.271578948924679</c:v>
                </c:pt>
                <c:pt idx="15">
                  <c:v>0.191578948590842</c:v>
                </c:pt>
                <c:pt idx="16">
                  <c:v>0.188421052981842</c:v>
                </c:pt>
                <c:pt idx="17">
                  <c:v>0.157368421384789</c:v>
                </c:pt>
                <c:pt idx="18">
                  <c:v>0.101052630962</c:v>
                </c:pt>
                <c:pt idx="19">
                  <c:v>0.0584210512021526</c:v>
                </c:pt>
                <c:pt idx="20">
                  <c:v>0.0299999999205263</c:v>
                </c:pt>
              </c:numCache>
            </c:numRef>
          </c:val>
        </c:ser>
        <c:ser>
          <c:idx val="1"/>
          <c:order val="1"/>
          <c:tx>
            <c:v>PLACEBO</c:v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MEG_PQ!$I$55:$I$75</c:f>
                <c:numCache>
                  <c:formatCode>General</c:formatCode>
                  <c:ptCount val="21"/>
                  <c:pt idx="0">
                    <c:v>0.0183801237031188</c:v>
                  </c:pt>
                  <c:pt idx="1">
                    <c:v>0.0201951009962985</c:v>
                  </c:pt>
                  <c:pt idx="2">
                    <c:v>0.0176586791422801</c:v>
                  </c:pt>
                  <c:pt idx="3">
                    <c:v>0.0408300392523947</c:v>
                  </c:pt>
                  <c:pt idx="4">
                    <c:v>0.00211199577478956</c:v>
                  </c:pt>
                  <c:pt idx="5">
                    <c:v>0.0413292301313567</c:v>
                  </c:pt>
                  <c:pt idx="6">
                    <c:v>0.0247117593461528</c:v>
                  </c:pt>
                  <c:pt idx="7">
                    <c:v>0.0124873621542902</c:v>
                  </c:pt>
                  <c:pt idx="8">
                    <c:v>0.00334624687090666</c:v>
                  </c:pt>
                  <c:pt idx="9">
                    <c:v>0.00419272551972028</c:v>
                  </c:pt>
                  <c:pt idx="10">
                    <c:v>0.0150280440041638</c:v>
                  </c:pt>
                  <c:pt idx="11">
                    <c:v>0.00335606283246965</c:v>
                  </c:pt>
                  <c:pt idx="12">
                    <c:v>0.00179179412145598</c:v>
                  </c:pt>
                  <c:pt idx="13">
                    <c:v>0.00220942950900524</c:v>
                  </c:pt>
                  <c:pt idx="14">
                    <c:v>0.00276253119411442</c:v>
                  </c:pt>
                  <c:pt idx="15">
                    <c:v>0.00160180814361376</c:v>
                  </c:pt>
                  <c:pt idx="16">
                    <c:v>0.00146897744599504</c:v>
                  </c:pt>
                  <c:pt idx="17">
                    <c:v>0.00146897744599504</c:v>
                  </c:pt>
                  <c:pt idx="18">
                    <c:v>0.00398021420145621</c:v>
                  </c:pt>
                  <c:pt idx="19">
                    <c:v>0.00203586263427525</c:v>
                  </c:pt>
                  <c:pt idx="20">
                    <c:v>0.00311828220634712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MEG_PQ!$E$55:$E$75</c:f>
              <c:strCache>
                <c:ptCount val="21"/>
                <c:pt idx="0">
                  <c:v>I saw geometric patterns</c:v>
                </c:pt>
                <c:pt idx="1">
                  <c:v>My imagintaion was extremely vivid</c:v>
                </c:pt>
                <c:pt idx="2">
                  <c:v>My thoughts wandered freely</c:v>
                </c:pt>
                <c:pt idx="3">
                  <c:v>Edges appeared warped</c:v>
                </c:pt>
                <c:pt idx="4">
                  <c:v>Sounds influenced things I saw</c:v>
                </c:pt>
                <c:pt idx="5">
                  <c:v>I saw movement in things that weren't really moving</c:v>
                </c:pt>
                <c:pt idx="6">
                  <c:v>My perception of time was distorted</c:v>
                </c:pt>
                <c:pt idx="7">
                  <c:v>I felt unusual bodily sensations</c:v>
                </c:pt>
                <c:pt idx="8">
                  <c:v>My sense of size and space was distorted</c:v>
                </c:pt>
                <c:pt idx="9">
                  <c:v>Things looked strange</c:v>
                </c:pt>
                <c:pt idx="10">
                  <c:v>The experience had a dream like quality</c:v>
                </c:pt>
                <c:pt idx="11">
                  <c:v>I felt like I was floating</c:v>
                </c:pt>
                <c:pt idx="12">
                  <c:v>I experienced a sense of merging with my surroundings</c:v>
                </c:pt>
                <c:pt idx="13">
                  <c:v>My thinking was muddled</c:v>
                </c:pt>
                <c:pt idx="14">
                  <c:v>I felt a profound inner peace</c:v>
                </c:pt>
                <c:pt idx="15">
                  <c:v>The experience had a spiritual or mystical quality</c:v>
                </c:pt>
                <c:pt idx="16">
                  <c:v>I experienced a disintegration of my 'self' or 'ego'</c:v>
                </c:pt>
                <c:pt idx="17">
                  <c:v>The experience had a supernatural quality</c:v>
                </c:pt>
                <c:pt idx="18">
                  <c:v>I felt suspicious and paranoid</c:v>
                </c:pt>
                <c:pt idx="19">
                  <c:v>I felt afraid</c:v>
                </c:pt>
                <c:pt idx="20">
                  <c:v>I feared losing control of my mind</c:v>
                </c:pt>
              </c:strCache>
            </c:strRef>
          </c:cat>
          <c:val>
            <c:numRef>
              <c:f>MEG_PQ!$H$55:$H$75</c:f>
              <c:numCache>
                <c:formatCode>General</c:formatCode>
                <c:ptCount val="21"/>
                <c:pt idx="0">
                  <c:v>0.02249999996647</c:v>
                </c:pt>
                <c:pt idx="1">
                  <c:v>0.0409999998904</c:v>
                </c:pt>
                <c:pt idx="2">
                  <c:v>0.05050000005</c:v>
                </c:pt>
                <c:pt idx="3">
                  <c:v>0.04549999992765</c:v>
                </c:pt>
                <c:pt idx="4">
                  <c:v>0.00549999992765</c:v>
                </c:pt>
                <c:pt idx="5">
                  <c:v>0.04599999992765</c:v>
                </c:pt>
                <c:pt idx="6">
                  <c:v>0.0434999998404</c:v>
                </c:pt>
                <c:pt idx="7">
                  <c:v>0.0285000001212</c:v>
                </c:pt>
                <c:pt idx="8">
                  <c:v>0.0064999999</c:v>
                </c:pt>
                <c:pt idx="9">
                  <c:v>0.00599999996647</c:v>
                </c:pt>
                <c:pt idx="10">
                  <c:v>0.02300000001647</c:v>
                </c:pt>
                <c:pt idx="11">
                  <c:v>0.00599999992765</c:v>
                </c:pt>
                <c:pt idx="12">
                  <c:v>0.00299999995</c:v>
                </c:pt>
                <c:pt idx="13">
                  <c:v>0.00349999995</c:v>
                </c:pt>
                <c:pt idx="14">
                  <c:v>0.004999999905295</c:v>
                </c:pt>
                <c:pt idx="15">
                  <c:v>0.00249999995</c:v>
                </c:pt>
                <c:pt idx="16">
                  <c:v>0.003</c:v>
                </c:pt>
                <c:pt idx="17">
                  <c:v>0.003</c:v>
                </c:pt>
                <c:pt idx="18">
                  <c:v>0.00699999995</c:v>
                </c:pt>
                <c:pt idx="19">
                  <c:v>0.002499999955295</c:v>
                </c:pt>
                <c:pt idx="20">
                  <c:v>0.00449999995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6298000"/>
        <c:axId val="-2085053472"/>
      </c:barChart>
      <c:catAx>
        <c:axId val="-205629800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350"/>
            </a:pPr>
            <a:endParaRPr lang="en-US"/>
          </a:p>
        </c:txPr>
        <c:crossAx val="-2085053472"/>
        <c:crossesAt val="0.0"/>
        <c:auto val="1"/>
        <c:lblAlgn val="ctr"/>
        <c:lblOffset val="100"/>
        <c:noMultiLvlLbl val="0"/>
      </c:catAx>
      <c:valAx>
        <c:axId val="-2085053472"/>
        <c:scaling>
          <c:orientation val="minMax"/>
        </c:scaling>
        <c:delete val="0"/>
        <c:axPos val="t"/>
        <c:numFmt formatCode="General" sourceLinked="1"/>
        <c:majorTickMark val="in"/>
        <c:minorTickMark val="none"/>
        <c:tickLblPos val="none"/>
        <c:crossAx val="-2056298000"/>
        <c:crossesAt val="30.0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1942351355152"/>
          <c:y val="0.617918806166505"/>
          <c:w val="0.141905038509531"/>
          <c:h val="0.0989513392415906"/>
        </c:manualLayout>
      </c:layout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/>
            </a:pPr>
            <a:r>
              <a:rPr lang="en-GB" sz="2500"/>
              <a:t>b) Altered states of consciousness (ASC)</a:t>
            </a:r>
            <a:r>
              <a:rPr lang="en-GB" sz="2500" baseline="0"/>
              <a:t> </a:t>
            </a:r>
            <a:r>
              <a:rPr lang="en-GB" sz="2500"/>
              <a:t>questionnaire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5984628458328"/>
          <c:y val="0.173512338154383"/>
          <c:w val="0.495967471279205"/>
          <c:h val="0.759515039699536"/>
        </c:manualLayout>
      </c:layout>
      <c:radarChart>
        <c:radarStyle val="marker"/>
        <c:varyColors val="0"/>
        <c:ser>
          <c:idx val="0"/>
          <c:order val="0"/>
          <c:tx>
            <c:v>LSD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ASC_11!$CZ$56:$DJ$56</c:f>
              <c:strCache>
                <c:ptCount val="11"/>
                <c:pt idx="0">
                  <c:v>Experience of unity</c:v>
                </c:pt>
                <c:pt idx="1">
                  <c:v>Spiritual experience</c:v>
                </c:pt>
                <c:pt idx="2">
                  <c:v>Blissful state</c:v>
                </c:pt>
                <c:pt idx="3">
                  <c:v>Insightfulness</c:v>
                </c:pt>
                <c:pt idx="4">
                  <c:v>Disembodiment</c:v>
                </c:pt>
                <c:pt idx="5">
                  <c:v>Impaired cognition </c:v>
                </c:pt>
                <c:pt idx="6">
                  <c:v>Anxiety</c:v>
                </c:pt>
                <c:pt idx="7">
                  <c:v>Complex imagery</c:v>
                </c:pt>
                <c:pt idx="8">
                  <c:v>Elementary imagery</c:v>
                </c:pt>
                <c:pt idx="9">
                  <c:v>Audio/visual synaesthesia</c:v>
                </c:pt>
                <c:pt idx="10">
                  <c:v>Meaning</c:v>
                </c:pt>
              </c:strCache>
            </c:strRef>
          </c:cat>
          <c:val>
            <c:numRef>
              <c:f>ASC_11!$DN$112:$DX$112</c:f>
              <c:numCache>
                <c:formatCode>General</c:formatCode>
                <c:ptCount val="11"/>
                <c:pt idx="0">
                  <c:v>0.294133333271296</c:v>
                </c:pt>
                <c:pt idx="1">
                  <c:v>0.205777778314779</c:v>
                </c:pt>
                <c:pt idx="2">
                  <c:v>0.289777776798052</c:v>
                </c:pt>
                <c:pt idx="3">
                  <c:v>0.277111109344124</c:v>
                </c:pt>
                <c:pt idx="4">
                  <c:v>0.324444444863168</c:v>
                </c:pt>
                <c:pt idx="5">
                  <c:v>0.224190476660891</c:v>
                </c:pt>
                <c:pt idx="6">
                  <c:v>0.0987777771116755</c:v>
                </c:pt>
                <c:pt idx="7">
                  <c:v>0.421333334688434</c:v>
                </c:pt>
                <c:pt idx="8">
                  <c:v>0.652888889757267</c:v>
                </c:pt>
                <c:pt idx="9">
                  <c:v>0.50755555438923</c:v>
                </c:pt>
                <c:pt idx="10">
                  <c:v>0.334444444660046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6882448"/>
        <c:axId val="-2057302480"/>
      </c:radarChart>
      <c:catAx>
        <c:axId val="-2056882448"/>
        <c:scaling>
          <c:orientation val="minMax"/>
        </c:scaling>
        <c:delete val="0"/>
        <c:axPos val="b"/>
        <c:majorGridlines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-2057302480"/>
        <c:crosses val="autoZero"/>
        <c:auto val="1"/>
        <c:lblAlgn val="ctr"/>
        <c:lblOffset val="100"/>
        <c:noMultiLvlLbl val="0"/>
      </c:catAx>
      <c:valAx>
        <c:axId val="-2057302480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noFill/>
        </c:spPr>
        <c:txPr>
          <a:bodyPr/>
          <a:lstStyle/>
          <a:p>
            <a:pPr>
              <a:defRPr sz="1200"/>
            </a:pPr>
            <a:endParaRPr lang="en-US"/>
          </a:p>
        </c:txPr>
        <c:crossAx val="-2056882448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/>
            </a:pPr>
            <a:r>
              <a:rPr lang="en-GB" sz="2600"/>
              <a:t>Altered states of consciousness (ASC)</a:t>
            </a:r>
            <a:r>
              <a:rPr lang="en-GB" sz="2600" baseline="0"/>
              <a:t> </a:t>
            </a:r>
            <a:r>
              <a:rPr lang="en-GB" sz="2600"/>
              <a:t>questionnaire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246185082397487"/>
          <c:y val="0.273930748196224"/>
          <c:w val="0.375748892044232"/>
          <c:h val="0.575414621289494"/>
        </c:manualLayout>
      </c:layout>
      <c:radarChart>
        <c:radarStyle val="marker"/>
        <c:varyColors val="0"/>
        <c:ser>
          <c:idx val="1"/>
          <c:order val="0"/>
          <c:tx>
            <c:v>Placebo IV</c:v>
          </c:tx>
          <c:spPr>
            <a:ln w="50800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ASC_11!$CZ$49:$DJ$49</c:f>
              <c:numCache>
                <c:formatCode>General</c:formatCode>
                <c:ptCount val="11"/>
                <c:pt idx="0">
                  <c:v>0.0178999998598832</c:v>
                </c:pt>
                <c:pt idx="1">
                  <c:v>0.0156666666739233</c:v>
                </c:pt>
                <c:pt idx="2">
                  <c:v>0.033333333256538</c:v>
                </c:pt>
                <c:pt idx="3">
                  <c:v>0.0173333333350987</c:v>
                </c:pt>
                <c:pt idx="4">
                  <c:v>0.0245000000256223</c:v>
                </c:pt>
                <c:pt idx="5">
                  <c:v>0.027857142915838</c:v>
                </c:pt>
                <c:pt idx="6">
                  <c:v>0.0125833334674523</c:v>
                </c:pt>
                <c:pt idx="7">
                  <c:v>0.0311666668493973</c:v>
                </c:pt>
                <c:pt idx="8">
                  <c:v>0.0800000003925493</c:v>
                </c:pt>
                <c:pt idx="9">
                  <c:v>0.0638333334073826</c:v>
                </c:pt>
                <c:pt idx="10">
                  <c:v>0.00249999996098133</c:v>
                </c:pt>
              </c:numCache>
            </c:numRef>
          </c:val>
        </c:ser>
        <c:ser>
          <c:idx val="0"/>
          <c:order val="1"/>
          <c:tx>
            <c:v>LSD 75mcg IV</c:v>
          </c:tx>
          <c:spPr>
            <a:ln w="508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ASC_11!$CZ$2:$DJ$2</c:f>
              <c:strCache>
                <c:ptCount val="11"/>
                <c:pt idx="0">
                  <c:v>Experience of unity</c:v>
                </c:pt>
                <c:pt idx="1">
                  <c:v>Spiritual experience</c:v>
                </c:pt>
                <c:pt idx="2">
                  <c:v>Blissful state</c:v>
                </c:pt>
                <c:pt idx="3">
                  <c:v>Insightfulness</c:v>
                </c:pt>
                <c:pt idx="4">
                  <c:v>Disembodiment</c:v>
                </c:pt>
                <c:pt idx="5">
                  <c:v>Impaired cognition </c:v>
                </c:pt>
                <c:pt idx="6">
                  <c:v>Anxiety</c:v>
                </c:pt>
                <c:pt idx="7">
                  <c:v>Complex imagery</c:v>
                </c:pt>
                <c:pt idx="8">
                  <c:v>Elementary imagery</c:v>
                </c:pt>
                <c:pt idx="9">
                  <c:v>Audio/visual synaesthesia</c:v>
                </c:pt>
                <c:pt idx="10">
                  <c:v>Meaning</c:v>
                </c:pt>
              </c:strCache>
            </c:strRef>
          </c:cat>
          <c:val>
            <c:numRef>
              <c:f>ASC_11!$CZ$23:$DJ$23</c:f>
              <c:numCache>
                <c:formatCode>General</c:formatCode>
                <c:ptCount val="11"/>
                <c:pt idx="0">
                  <c:v>0.393899999653755</c:v>
                </c:pt>
                <c:pt idx="1">
                  <c:v>0.276166666354165</c:v>
                </c:pt>
                <c:pt idx="2">
                  <c:v>0.405166664672196</c:v>
                </c:pt>
                <c:pt idx="3">
                  <c:v>0.3556666650319</c:v>
                </c:pt>
                <c:pt idx="4">
                  <c:v>0.378500000006817</c:v>
                </c:pt>
                <c:pt idx="5">
                  <c:v>0.253571429218921</c:v>
                </c:pt>
                <c:pt idx="6">
                  <c:v>0.161666666389234</c:v>
                </c:pt>
                <c:pt idx="7">
                  <c:v>0.531666667807023</c:v>
                </c:pt>
                <c:pt idx="8">
                  <c:v>0.752333334780933</c:v>
                </c:pt>
                <c:pt idx="9">
                  <c:v>0.596500000064022</c:v>
                </c:pt>
                <c:pt idx="10">
                  <c:v>0.354333333725065</c:v>
                </c:pt>
              </c:numCache>
            </c:numRef>
          </c:val>
        </c:ser>
        <c:ser>
          <c:idx val="2"/>
          <c:order val="2"/>
          <c:tx>
            <c:v>Ket 0.5mg/kg IV</c:v>
          </c:tx>
          <c:spPr>
            <a:ln w="50800"/>
          </c:spPr>
          <c:marker>
            <c:symbol val="none"/>
          </c:marker>
          <c:val>
            <c:numRef>
              <c:f>ASC_11!$CZ$55:$DJ$55</c:f>
              <c:numCache>
                <c:formatCode>General</c:formatCode>
                <c:ptCount val="11"/>
                <c:pt idx="0">
                  <c:v>0.068</c:v>
                </c:pt>
                <c:pt idx="1">
                  <c:v>0.14</c:v>
                </c:pt>
                <c:pt idx="2">
                  <c:v>0.28</c:v>
                </c:pt>
                <c:pt idx="3">
                  <c:v>0.21</c:v>
                </c:pt>
                <c:pt idx="4">
                  <c:v>0.45</c:v>
                </c:pt>
                <c:pt idx="5">
                  <c:v>0.26</c:v>
                </c:pt>
                <c:pt idx="6">
                  <c:v>0.14</c:v>
                </c:pt>
                <c:pt idx="7">
                  <c:v>0.351</c:v>
                </c:pt>
                <c:pt idx="8">
                  <c:v>0.2</c:v>
                </c:pt>
                <c:pt idx="9">
                  <c:v>0.15</c:v>
                </c:pt>
                <c:pt idx="10">
                  <c:v>0.194</c:v>
                </c:pt>
              </c:numCache>
            </c:numRef>
          </c:val>
        </c:ser>
        <c:ser>
          <c:idx val="3"/>
          <c:order val="3"/>
          <c:tx>
            <c:v>Psilo 10mg PO</c:v>
          </c:tx>
          <c:spPr>
            <a:ln w="50800"/>
          </c:spPr>
          <c:marker>
            <c:symbol val="none"/>
          </c:marker>
          <c:val>
            <c:numRef>
              <c:f>ASC_11!$CZ$72:$DJ$72</c:f>
              <c:numCache>
                <c:formatCode>General</c:formatCode>
                <c:ptCount val="11"/>
                <c:pt idx="0">
                  <c:v>0.179333333333333</c:v>
                </c:pt>
                <c:pt idx="1">
                  <c:v>0.226111111111111</c:v>
                </c:pt>
                <c:pt idx="2">
                  <c:v>0.176111111111111</c:v>
                </c:pt>
                <c:pt idx="3">
                  <c:v>0.203333333333333</c:v>
                </c:pt>
                <c:pt idx="4">
                  <c:v>0.255555555555556</c:v>
                </c:pt>
                <c:pt idx="5">
                  <c:v>0.224761904761905</c:v>
                </c:pt>
                <c:pt idx="6">
                  <c:v>0.515</c:v>
                </c:pt>
                <c:pt idx="7">
                  <c:v>0.366111111111111</c:v>
                </c:pt>
                <c:pt idx="8">
                  <c:v>0.132222222222222</c:v>
                </c:pt>
                <c:pt idx="9">
                  <c:v>0.26</c:v>
                </c:pt>
                <c:pt idx="10">
                  <c:v>0.189444444444444</c:v>
                </c:pt>
              </c:numCache>
            </c:numRef>
          </c:val>
        </c:ser>
        <c:ser>
          <c:idx val="4"/>
          <c:order val="4"/>
          <c:tx>
            <c:v>Psilo 25mg PO</c:v>
          </c:tx>
          <c:spPr>
            <a:ln w="50800"/>
          </c:spPr>
          <c:marker>
            <c:symbol val="none"/>
          </c:marker>
          <c:val>
            <c:numRef>
              <c:f>ASC_11!$CZ$73:$DJ$73</c:f>
              <c:numCache>
                <c:formatCode>General</c:formatCode>
                <c:ptCount val="11"/>
                <c:pt idx="0">
                  <c:v>0.492000000668045</c:v>
                </c:pt>
                <c:pt idx="1">
                  <c:v>0.523888887365611</c:v>
                </c:pt>
                <c:pt idx="2">
                  <c:v>0.639444444696915</c:v>
                </c:pt>
                <c:pt idx="3">
                  <c:v>0.617777775248693</c:v>
                </c:pt>
                <c:pt idx="4">
                  <c:v>0.624444446696167</c:v>
                </c:pt>
                <c:pt idx="5">
                  <c:v>0.437857143566714</c:v>
                </c:pt>
                <c:pt idx="6">
                  <c:v>0.497499999861319</c:v>
                </c:pt>
                <c:pt idx="7">
                  <c:v>0.598333333602416</c:v>
                </c:pt>
                <c:pt idx="8">
                  <c:v>0.533888886239778</c:v>
                </c:pt>
                <c:pt idx="9">
                  <c:v>0.494444443252389</c:v>
                </c:pt>
                <c:pt idx="10">
                  <c:v>0.452222223944167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1795984"/>
        <c:axId val="-2044241488"/>
      </c:radarChart>
      <c:catAx>
        <c:axId val="-205179598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-2044241488"/>
        <c:crosses val="autoZero"/>
        <c:auto val="1"/>
        <c:lblAlgn val="ctr"/>
        <c:lblOffset val="100"/>
        <c:noMultiLvlLbl val="0"/>
      </c:catAx>
      <c:valAx>
        <c:axId val="-2044241488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noFill/>
        </c:spPr>
        <c:txPr>
          <a:bodyPr/>
          <a:lstStyle/>
          <a:p>
            <a:pPr>
              <a:defRPr sz="1200"/>
            </a:pPr>
            <a:endParaRPr lang="en-US"/>
          </a:p>
        </c:txPr>
        <c:crossAx val="-205179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211070952197"/>
          <c:y val="0.146597865120416"/>
          <c:w val="0.152788929047803"/>
          <c:h val="0.290326326886963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ASC_11!$CZ$2:$DJ$2</c:f>
              <c:strCache>
                <c:ptCount val="11"/>
                <c:pt idx="0">
                  <c:v>Experience of unity</c:v>
                </c:pt>
                <c:pt idx="1">
                  <c:v>Spiritual experience</c:v>
                </c:pt>
                <c:pt idx="2">
                  <c:v>Blissful state</c:v>
                </c:pt>
                <c:pt idx="3">
                  <c:v>Insightfulness</c:v>
                </c:pt>
                <c:pt idx="4">
                  <c:v>Disembodiment</c:v>
                </c:pt>
                <c:pt idx="5">
                  <c:v>Impaired cognition </c:v>
                </c:pt>
                <c:pt idx="6">
                  <c:v>Anxiety</c:v>
                </c:pt>
                <c:pt idx="7">
                  <c:v>Complex imagery</c:v>
                </c:pt>
                <c:pt idx="8">
                  <c:v>Elementary imagery</c:v>
                </c:pt>
                <c:pt idx="9">
                  <c:v>Audio/visual synaesthesia</c:v>
                </c:pt>
                <c:pt idx="10">
                  <c:v>Meaning</c:v>
                </c:pt>
              </c:strCache>
            </c:strRef>
          </c:cat>
          <c:val>
            <c:numRef>
              <c:f>ASC_11!$CZ$49:$DJ$49</c:f>
              <c:numCache>
                <c:formatCode>General</c:formatCode>
                <c:ptCount val="11"/>
                <c:pt idx="0">
                  <c:v>0.0178999998598832</c:v>
                </c:pt>
                <c:pt idx="1">
                  <c:v>0.0156666666739233</c:v>
                </c:pt>
                <c:pt idx="2">
                  <c:v>0.033333333256538</c:v>
                </c:pt>
                <c:pt idx="3">
                  <c:v>0.0173333333350987</c:v>
                </c:pt>
                <c:pt idx="4">
                  <c:v>0.0245000000256223</c:v>
                </c:pt>
                <c:pt idx="5">
                  <c:v>0.027857142915838</c:v>
                </c:pt>
                <c:pt idx="6">
                  <c:v>0.0125833334674523</c:v>
                </c:pt>
                <c:pt idx="7">
                  <c:v>0.0311666668493973</c:v>
                </c:pt>
                <c:pt idx="8">
                  <c:v>0.0800000003925493</c:v>
                </c:pt>
                <c:pt idx="9">
                  <c:v>0.0638333334073826</c:v>
                </c:pt>
                <c:pt idx="10">
                  <c:v>0.00249999996098133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6344880"/>
        <c:axId val="-2051105696"/>
      </c:radarChart>
      <c:catAx>
        <c:axId val="-20563448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-2051105696"/>
        <c:crosses val="autoZero"/>
        <c:auto val="1"/>
        <c:lblAlgn val="ctr"/>
        <c:lblOffset val="100"/>
        <c:noMultiLvlLbl val="0"/>
      </c:catAx>
      <c:valAx>
        <c:axId val="-2051105696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-2056344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ASC_11!$CZ$3:$CZ$22</c:f>
              <c:numCache>
                <c:formatCode>General</c:formatCode>
                <c:ptCount val="20"/>
                <c:pt idx="0">
                  <c:v>0.00599999986588</c:v>
                </c:pt>
                <c:pt idx="1">
                  <c:v>0.436</c:v>
                </c:pt>
                <c:pt idx="2">
                  <c:v>0.002</c:v>
                </c:pt>
                <c:pt idx="3">
                  <c:v>0.8360000044106</c:v>
                </c:pt>
                <c:pt idx="4">
                  <c:v>0.33599999696018</c:v>
                </c:pt>
                <c:pt idx="5">
                  <c:v>0.02</c:v>
                </c:pt>
                <c:pt idx="6">
                  <c:v>0.794</c:v>
                </c:pt>
                <c:pt idx="7">
                  <c:v>0.874</c:v>
                </c:pt>
                <c:pt idx="8">
                  <c:v>0.3860000002</c:v>
                </c:pt>
                <c:pt idx="9">
                  <c:v>0.298</c:v>
                </c:pt>
                <c:pt idx="10">
                  <c:v>0.0659999984</c:v>
                </c:pt>
                <c:pt idx="11">
                  <c:v>0.172</c:v>
                </c:pt>
                <c:pt idx="12">
                  <c:v>0.14399999976164</c:v>
                </c:pt>
                <c:pt idx="13">
                  <c:v>0.892000001669</c:v>
                </c:pt>
                <c:pt idx="14">
                  <c:v>0.2559999982</c:v>
                </c:pt>
                <c:pt idx="15">
                  <c:v>0.3199999958</c:v>
                </c:pt>
                <c:pt idx="16">
                  <c:v>0.7600000022</c:v>
                </c:pt>
                <c:pt idx="17">
                  <c:v>0.3719999968</c:v>
                </c:pt>
                <c:pt idx="18">
                  <c:v>0.388</c:v>
                </c:pt>
                <c:pt idx="19">
                  <c:v>0.5199999988078</c:v>
                </c:pt>
              </c:numCache>
            </c:numRef>
          </c:xVal>
          <c:yVal>
            <c:numRef>
              <c:f>ASC_11!$DB$3:$DB$22</c:f>
              <c:numCache>
                <c:formatCode>General</c:formatCode>
                <c:ptCount val="20"/>
                <c:pt idx="0">
                  <c:v>0.0333333344509267</c:v>
                </c:pt>
                <c:pt idx="1">
                  <c:v>0.413333333333333</c:v>
                </c:pt>
                <c:pt idx="2">
                  <c:v>0.146666666666667</c:v>
                </c:pt>
                <c:pt idx="3">
                  <c:v>1.0</c:v>
                </c:pt>
                <c:pt idx="4">
                  <c:v>0.489999994635667</c:v>
                </c:pt>
                <c:pt idx="5">
                  <c:v>0.0333333333333333</c:v>
                </c:pt>
                <c:pt idx="6">
                  <c:v>0.833333333333333</c:v>
                </c:pt>
                <c:pt idx="7">
                  <c:v>0.626666666666666</c:v>
                </c:pt>
                <c:pt idx="8">
                  <c:v>0.290000001333333</c:v>
                </c:pt>
                <c:pt idx="9">
                  <c:v>0.113333333333333</c:v>
                </c:pt>
                <c:pt idx="10">
                  <c:v>0.193333332666667</c:v>
                </c:pt>
                <c:pt idx="11">
                  <c:v>0.0</c:v>
                </c:pt>
                <c:pt idx="12">
                  <c:v>0.236666655789</c:v>
                </c:pt>
                <c:pt idx="13">
                  <c:v>0.853333314259667</c:v>
                </c:pt>
                <c:pt idx="14">
                  <c:v>0.249999999</c:v>
                </c:pt>
                <c:pt idx="15">
                  <c:v>0.333333333333333</c:v>
                </c:pt>
                <c:pt idx="16">
                  <c:v>1.0</c:v>
                </c:pt>
                <c:pt idx="17">
                  <c:v>0.316666667666667</c:v>
                </c:pt>
                <c:pt idx="18">
                  <c:v>0.35</c:v>
                </c:pt>
                <c:pt idx="19">
                  <c:v>0.589999993642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7072720"/>
        <c:axId val="-2087617600"/>
      </c:scatterChart>
      <c:valAx>
        <c:axId val="-205707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7617600"/>
        <c:crosses val="autoZero"/>
        <c:crossBetween val="midCat"/>
      </c:valAx>
      <c:valAx>
        <c:axId val="-2087617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70727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400"/>
            </a:pPr>
            <a:r>
              <a:rPr lang="en-US" sz="3400"/>
              <a:t>Psychotomimetic</a:t>
            </a:r>
            <a:r>
              <a:rPr lang="en-US" sz="3400" baseline="0"/>
              <a:t> states inventory (PSI)</a:t>
            </a:r>
            <a:r>
              <a:rPr lang="en-US" sz="3400"/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845762628479291"/>
          <c:y val="0.132013639508451"/>
          <c:w val="0.913672768305967"/>
          <c:h val="0.7193207468207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PSI!$B$28</c:f>
              <c:strCache>
                <c:ptCount val="1"/>
                <c:pt idx="0">
                  <c:v>PLACEBO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PSI!$BA$52:$BG$52</c:f>
                <c:numCache>
                  <c:formatCode>General</c:formatCode>
                  <c:ptCount val="7"/>
                  <c:pt idx="0">
                    <c:v>0.247088307248537</c:v>
                  </c:pt>
                  <c:pt idx="1">
                    <c:v>0.152177182050536</c:v>
                  </c:pt>
                  <c:pt idx="2">
                    <c:v>0.217642875033003</c:v>
                  </c:pt>
                  <c:pt idx="3">
                    <c:v>0.357439726240294</c:v>
                  </c:pt>
                  <c:pt idx="4">
                    <c:v>0.1555973210431</c:v>
                  </c:pt>
                  <c:pt idx="5">
                    <c:v>0.163835604381825</c:v>
                  </c:pt>
                  <c:pt idx="6">
                    <c:v>0.822304208019341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PSI!$BA$3:$BG$3</c:f>
              <c:strCache>
                <c:ptCount val="7"/>
                <c:pt idx="0">
                  <c:v>Delusional thinking</c:v>
                </c:pt>
                <c:pt idx="1">
                  <c:v>Perceptual distortion</c:v>
                </c:pt>
                <c:pt idx="2">
                  <c:v>Cognitive disorganisation</c:v>
                </c:pt>
                <c:pt idx="3">
                  <c:v>Anhedonia</c:v>
                </c:pt>
                <c:pt idx="4">
                  <c:v>Mania</c:v>
                </c:pt>
                <c:pt idx="5">
                  <c:v>Paranoia</c:v>
                </c:pt>
                <c:pt idx="6">
                  <c:v>Total score</c:v>
                </c:pt>
              </c:strCache>
            </c:strRef>
          </c:cat>
          <c:val>
            <c:numRef>
              <c:f>PSI!$BA$50:$BG$50</c:f>
              <c:numCache>
                <c:formatCode>General</c:formatCode>
                <c:ptCount val="7"/>
                <c:pt idx="0">
                  <c:v>0.8</c:v>
                </c:pt>
                <c:pt idx="1">
                  <c:v>0.4</c:v>
                </c:pt>
                <c:pt idx="2">
                  <c:v>1.0</c:v>
                </c:pt>
                <c:pt idx="3">
                  <c:v>5.85</c:v>
                </c:pt>
                <c:pt idx="4">
                  <c:v>3.2</c:v>
                </c:pt>
                <c:pt idx="5">
                  <c:v>0.3</c:v>
                </c:pt>
                <c:pt idx="6">
                  <c:v>11.55</c:v>
                </c:pt>
              </c:numCache>
            </c:numRef>
          </c:val>
        </c:ser>
        <c:ser>
          <c:idx val="0"/>
          <c:order val="1"/>
          <c:tx>
            <c:v>LSD</c:v>
          </c:tx>
          <c:spPr>
            <a:solidFill>
              <a:schemeClr val="tx1"/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PSI!$BA$26:$BG$26</c:f>
                <c:numCache>
                  <c:formatCode>General</c:formatCode>
                  <c:ptCount val="7"/>
                  <c:pt idx="0">
                    <c:v>0.853475865289452</c:v>
                  </c:pt>
                  <c:pt idx="1">
                    <c:v>1.040938341871865</c:v>
                  </c:pt>
                  <c:pt idx="2">
                    <c:v>1.82363864149037</c:v>
                  </c:pt>
                  <c:pt idx="3">
                    <c:v>0.447213595499958</c:v>
                  </c:pt>
                  <c:pt idx="4">
                    <c:v>0.650505876020226</c:v>
                  </c:pt>
                  <c:pt idx="5">
                    <c:v>1.17534989191349</c:v>
                  </c:pt>
                  <c:pt idx="6">
                    <c:v>4.689223367411034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PSI!$BA$3:$BG$3</c:f>
              <c:strCache>
                <c:ptCount val="7"/>
                <c:pt idx="0">
                  <c:v>Delusional thinking</c:v>
                </c:pt>
                <c:pt idx="1">
                  <c:v>Perceptual distortion</c:v>
                </c:pt>
                <c:pt idx="2">
                  <c:v>Cognitive disorganisation</c:v>
                </c:pt>
                <c:pt idx="3">
                  <c:v>Anhedonia</c:v>
                </c:pt>
                <c:pt idx="4">
                  <c:v>Mania</c:v>
                </c:pt>
                <c:pt idx="5">
                  <c:v>Paranoia</c:v>
                </c:pt>
                <c:pt idx="6">
                  <c:v>Total score</c:v>
                </c:pt>
              </c:strCache>
            </c:strRef>
          </c:cat>
          <c:val>
            <c:numRef>
              <c:f>PSI!$BA$24:$BG$24</c:f>
              <c:numCache>
                <c:formatCode>General</c:formatCode>
                <c:ptCount val="7"/>
                <c:pt idx="0">
                  <c:v>5.4</c:v>
                </c:pt>
                <c:pt idx="1">
                  <c:v>9.75</c:v>
                </c:pt>
                <c:pt idx="2">
                  <c:v>14.75</c:v>
                </c:pt>
                <c:pt idx="3">
                  <c:v>5.0</c:v>
                </c:pt>
                <c:pt idx="4">
                  <c:v>7.4</c:v>
                </c:pt>
                <c:pt idx="5">
                  <c:v>3.45</c:v>
                </c:pt>
                <c:pt idx="6">
                  <c:v>45.75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7417776"/>
        <c:axId val="-2057180992"/>
      </c:barChart>
      <c:catAx>
        <c:axId val="-2087417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-2057180992"/>
        <c:crosses val="autoZero"/>
        <c:auto val="1"/>
        <c:lblAlgn val="ctr"/>
        <c:lblOffset val="100"/>
        <c:noMultiLvlLbl val="0"/>
      </c:catAx>
      <c:valAx>
        <c:axId val="-2057180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000" b="0"/>
                </a:pPr>
                <a:r>
                  <a:rPr lang="en-US" sz="2000" b="0"/>
                  <a:t>PSI score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-20874177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9475388322361"/>
          <c:y val="0.341891411063157"/>
          <c:w val="0.16207757982603"/>
          <c:h val="0.123968615798942"/>
        </c:manualLayout>
      </c:layout>
      <c:overlay val="0"/>
      <c:txPr>
        <a:bodyPr/>
        <a:lstStyle/>
        <a:p>
          <a:pPr>
            <a:defRPr sz="1900"/>
          </a:pPr>
          <a:endParaRPr lang="en-US"/>
        </a:p>
      </c:txPr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24269281030577"/>
          <c:y val="0.0242127945333933"/>
          <c:w val="0.912615443232361"/>
          <c:h val="0.900640722459339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MASTER_DATA!$Z$3:$Z$22</c:f>
              <c:numCache>
                <c:formatCode>General</c:formatCode>
                <c:ptCount val="20"/>
                <c:pt idx="0">
                  <c:v>-0.031136297368421</c:v>
                </c:pt>
                <c:pt idx="1">
                  <c:v>0.020308752631579</c:v>
                </c:pt>
                <c:pt idx="2">
                  <c:v>-0.044648047368421</c:v>
                </c:pt>
                <c:pt idx="3">
                  <c:v>-0.049376097368421</c:v>
                </c:pt>
                <c:pt idx="4">
                  <c:v>0.079939402631579</c:v>
                </c:pt>
                <c:pt idx="5">
                  <c:v>0.030615902631579</c:v>
                </c:pt>
                <c:pt idx="6">
                  <c:v>0.122783402631579</c:v>
                </c:pt>
                <c:pt idx="8">
                  <c:v>-0.037704547368421</c:v>
                </c:pt>
                <c:pt idx="9">
                  <c:v>0.043502402631579</c:v>
                </c:pt>
                <c:pt idx="10">
                  <c:v>-0.026179147368421</c:v>
                </c:pt>
                <c:pt idx="11">
                  <c:v>-0.040417647368421</c:v>
                </c:pt>
                <c:pt idx="12">
                  <c:v>0.032763402631579</c:v>
                </c:pt>
                <c:pt idx="13">
                  <c:v>0.476243402631579</c:v>
                </c:pt>
                <c:pt idx="14">
                  <c:v>-0.018664097368421</c:v>
                </c:pt>
                <c:pt idx="15">
                  <c:v>0.063246402631579</c:v>
                </c:pt>
                <c:pt idx="16">
                  <c:v>0.00666915263157898</c:v>
                </c:pt>
                <c:pt idx="17">
                  <c:v>-0.027838047368421</c:v>
                </c:pt>
                <c:pt idx="18">
                  <c:v>0.00571885263157898</c:v>
                </c:pt>
                <c:pt idx="19">
                  <c:v>-0.040302947368421</c:v>
                </c:pt>
              </c:numCache>
            </c:numRef>
          </c:xVal>
          <c:yVal>
            <c:numRef>
              <c:f>'5DASC_5F'!$AZ$2:$AZ$21</c:f>
              <c:numCache>
                <c:formatCode>General</c:formatCode>
                <c:ptCount val="20"/>
                <c:pt idx="0">
                  <c:v>10.334796</c:v>
                </c:pt>
                <c:pt idx="1">
                  <c:v>11.1883685</c:v>
                </c:pt>
                <c:pt idx="2">
                  <c:v>10.1102745</c:v>
                </c:pt>
                <c:pt idx="3">
                  <c:v>12.70752</c:v>
                </c:pt>
                <c:pt idx="4">
                  <c:v>20.001818</c:v>
                </c:pt>
                <c:pt idx="5">
                  <c:v>12.788489</c:v>
                </c:pt>
                <c:pt idx="6">
                  <c:v>25.134711</c:v>
                </c:pt>
                <c:pt idx="8">
                  <c:v>12.5143675</c:v>
                </c:pt>
                <c:pt idx="9">
                  <c:v>9.335156</c:v>
                </c:pt>
                <c:pt idx="10">
                  <c:v>8.3354965</c:v>
                </c:pt>
                <c:pt idx="11">
                  <c:v>14.702293</c:v>
                </c:pt>
                <c:pt idx="12">
                  <c:v>12.0141565</c:v>
                </c:pt>
                <c:pt idx="13">
                  <c:v>25.925416</c:v>
                </c:pt>
                <c:pt idx="14">
                  <c:v>15.71112</c:v>
                </c:pt>
                <c:pt idx="15">
                  <c:v>14.9700485</c:v>
                </c:pt>
                <c:pt idx="16">
                  <c:v>17.77064</c:v>
                </c:pt>
                <c:pt idx="17">
                  <c:v>9.252562</c:v>
                </c:pt>
                <c:pt idx="18">
                  <c:v>14.2159855</c:v>
                </c:pt>
                <c:pt idx="19">
                  <c:v>20.287839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378320"/>
        <c:axId val="-2049933184"/>
      </c:scatterChart>
      <c:valAx>
        <c:axId val="-204937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933184"/>
        <c:crosses val="autoZero"/>
        <c:crossBetween val="midCat"/>
      </c:valAx>
      <c:valAx>
        <c:axId val="-2049933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9378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128782995118382"/>
                  <c:y val="-0.0818207805018633"/>
                </c:manualLayout>
              </c:layout>
              <c:numFmt formatCode="General" sourceLinked="0"/>
            </c:trendlineLbl>
          </c:trendline>
          <c:xVal>
            <c:numRef>
              <c:f>MASTER_DATA!$Z$3:$Z$22</c:f>
              <c:numCache>
                <c:formatCode>General</c:formatCode>
                <c:ptCount val="20"/>
                <c:pt idx="0">
                  <c:v>-0.031136297368421</c:v>
                </c:pt>
                <c:pt idx="1">
                  <c:v>0.020308752631579</c:v>
                </c:pt>
                <c:pt idx="2">
                  <c:v>-0.044648047368421</c:v>
                </c:pt>
                <c:pt idx="3">
                  <c:v>-0.049376097368421</c:v>
                </c:pt>
                <c:pt idx="4">
                  <c:v>0.079939402631579</c:v>
                </c:pt>
                <c:pt idx="5">
                  <c:v>0.030615902631579</c:v>
                </c:pt>
                <c:pt idx="6">
                  <c:v>0.122783402631579</c:v>
                </c:pt>
                <c:pt idx="8">
                  <c:v>-0.037704547368421</c:v>
                </c:pt>
                <c:pt idx="9">
                  <c:v>0.043502402631579</c:v>
                </c:pt>
                <c:pt idx="10">
                  <c:v>-0.026179147368421</c:v>
                </c:pt>
                <c:pt idx="11">
                  <c:v>-0.040417647368421</c:v>
                </c:pt>
                <c:pt idx="12">
                  <c:v>0.032763402631579</c:v>
                </c:pt>
                <c:pt idx="13">
                  <c:v>0.476243402631579</c:v>
                </c:pt>
                <c:pt idx="14">
                  <c:v>-0.018664097368421</c:v>
                </c:pt>
                <c:pt idx="15">
                  <c:v>0.063246402631579</c:v>
                </c:pt>
                <c:pt idx="16">
                  <c:v>0.00666915263157898</c:v>
                </c:pt>
                <c:pt idx="17">
                  <c:v>-0.027838047368421</c:v>
                </c:pt>
                <c:pt idx="18">
                  <c:v>0.00571885263157898</c:v>
                </c:pt>
                <c:pt idx="19">
                  <c:v>-0.040302947368421</c:v>
                </c:pt>
              </c:numCache>
            </c:numRef>
          </c:xVal>
          <c:yVal>
            <c:numRef>
              <c:f>MASTER_DATA!$AA$3:$AA$22</c:f>
              <c:numCache>
                <c:formatCode>General</c:formatCode>
                <c:ptCount val="20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13.5</c:v>
                </c:pt>
                <c:pt idx="5">
                  <c:v>11.0</c:v>
                </c:pt>
                <c:pt idx="6">
                  <c:v>11.5</c:v>
                </c:pt>
                <c:pt idx="8">
                  <c:v>14.5</c:v>
                </c:pt>
                <c:pt idx="9">
                  <c:v>11.0</c:v>
                </c:pt>
                <c:pt idx="10">
                  <c:v>8.5</c:v>
                </c:pt>
                <c:pt idx="11">
                  <c:v>4.0</c:v>
                </c:pt>
                <c:pt idx="12">
                  <c:v>13.0</c:v>
                </c:pt>
                <c:pt idx="13">
                  <c:v>14.5</c:v>
                </c:pt>
                <c:pt idx="14">
                  <c:v>10.5</c:v>
                </c:pt>
                <c:pt idx="15">
                  <c:v>10.0</c:v>
                </c:pt>
                <c:pt idx="16">
                  <c:v>18.5</c:v>
                </c:pt>
                <c:pt idx="17">
                  <c:v>14.5</c:v>
                </c:pt>
                <c:pt idx="18">
                  <c:v>18.5</c:v>
                </c:pt>
                <c:pt idx="19">
                  <c:v>15.5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749264"/>
        <c:axId val="-2049930432"/>
      </c:scatterChart>
      <c:valAx>
        <c:axId val="-204974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930432"/>
        <c:crosses val="autoZero"/>
        <c:crossBetween val="midCat"/>
      </c:valAx>
      <c:valAx>
        <c:axId val="-2049930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9749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0302974628171478"/>
                  <c:y val="-0.0553623505395159"/>
                </c:manualLayout>
              </c:layout>
              <c:numFmt formatCode="General" sourceLinked="0"/>
            </c:trendlineLbl>
          </c:trendline>
          <c:xVal>
            <c:numRef>
              <c:f>'5DASC_5F'!$BE$3:$BE$19</c:f>
              <c:numCache>
                <c:formatCode>General</c:formatCode>
                <c:ptCount val="17"/>
                <c:pt idx="0">
                  <c:v>-0.031136297368421</c:v>
                </c:pt>
                <c:pt idx="1">
                  <c:v>0.020308752631579</c:v>
                </c:pt>
                <c:pt idx="2">
                  <c:v>-0.044648047368421</c:v>
                </c:pt>
                <c:pt idx="3">
                  <c:v>-0.049376097368421</c:v>
                </c:pt>
                <c:pt idx="4">
                  <c:v>0.079939402631579</c:v>
                </c:pt>
                <c:pt idx="5">
                  <c:v>0.030615902631579</c:v>
                </c:pt>
                <c:pt idx="6">
                  <c:v>-0.037704547368421</c:v>
                </c:pt>
                <c:pt idx="7">
                  <c:v>0.043502402631579</c:v>
                </c:pt>
                <c:pt idx="8">
                  <c:v>-0.026179147368421</c:v>
                </c:pt>
                <c:pt idx="9">
                  <c:v>-0.040417647368421</c:v>
                </c:pt>
                <c:pt idx="10">
                  <c:v>0.032763402631579</c:v>
                </c:pt>
                <c:pt idx="11">
                  <c:v>-0.018664097368421</c:v>
                </c:pt>
                <c:pt idx="12">
                  <c:v>0.063246402631579</c:v>
                </c:pt>
                <c:pt idx="13">
                  <c:v>0.00666915263157898</c:v>
                </c:pt>
                <c:pt idx="14">
                  <c:v>-0.027838047368421</c:v>
                </c:pt>
                <c:pt idx="15">
                  <c:v>0.00571885263157898</c:v>
                </c:pt>
                <c:pt idx="16">
                  <c:v>-0.040302947368421</c:v>
                </c:pt>
              </c:numCache>
            </c:numRef>
          </c:xVal>
          <c:yVal>
            <c:numRef>
              <c:f>'5DASC_5F'!$BF$3:$BF$19</c:f>
              <c:numCache>
                <c:formatCode>General</c:formatCode>
                <c:ptCount val="17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13.5</c:v>
                </c:pt>
                <c:pt idx="5">
                  <c:v>11.0</c:v>
                </c:pt>
                <c:pt idx="6">
                  <c:v>14.5</c:v>
                </c:pt>
                <c:pt idx="7">
                  <c:v>11.0</c:v>
                </c:pt>
                <c:pt idx="8">
                  <c:v>8.5</c:v>
                </c:pt>
                <c:pt idx="9">
                  <c:v>4.0</c:v>
                </c:pt>
                <c:pt idx="10">
                  <c:v>13.0</c:v>
                </c:pt>
                <c:pt idx="11">
                  <c:v>10.5</c:v>
                </c:pt>
                <c:pt idx="12">
                  <c:v>10.0</c:v>
                </c:pt>
                <c:pt idx="13">
                  <c:v>18.5</c:v>
                </c:pt>
                <c:pt idx="14">
                  <c:v>14.5</c:v>
                </c:pt>
                <c:pt idx="15">
                  <c:v>18.5</c:v>
                </c:pt>
                <c:pt idx="16">
                  <c:v>15.5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8102848"/>
        <c:axId val="-2049743536"/>
      </c:scatterChart>
      <c:valAx>
        <c:axId val="-204810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743536"/>
        <c:crosses val="autoZero"/>
        <c:crossBetween val="midCat"/>
      </c:valAx>
      <c:valAx>
        <c:axId val="-2049743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8102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80817743457"/>
          <c:y val="0.0235258577818436"/>
          <c:w val="0.852587375757437"/>
          <c:h val="0.952948284436313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'5DASC_5F'!$BF$3:$BF$19</c:f>
              <c:numCache>
                <c:formatCode>General</c:formatCode>
                <c:ptCount val="17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13.5</c:v>
                </c:pt>
                <c:pt idx="5">
                  <c:v>11.0</c:v>
                </c:pt>
                <c:pt idx="6">
                  <c:v>14.5</c:v>
                </c:pt>
                <c:pt idx="7">
                  <c:v>11.0</c:v>
                </c:pt>
                <c:pt idx="8">
                  <c:v>8.5</c:v>
                </c:pt>
                <c:pt idx="9">
                  <c:v>4.0</c:v>
                </c:pt>
                <c:pt idx="10">
                  <c:v>13.0</c:v>
                </c:pt>
                <c:pt idx="11">
                  <c:v>10.5</c:v>
                </c:pt>
                <c:pt idx="12">
                  <c:v>10.0</c:v>
                </c:pt>
                <c:pt idx="13">
                  <c:v>18.5</c:v>
                </c:pt>
                <c:pt idx="14">
                  <c:v>14.5</c:v>
                </c:pt>
                <c:pt idx="15">
                  <c:v>18.5</c:v>
                </c:pt>
                <c:pt idx="16">
                  <c:v>15.5</c:v>
                </c:pt>
              </c:numCache>
            </c:numRef>
          </c:xVal>
          <c:yVal>
            <c:numRef>
              <c:f>'5DASC_5F'!$BG$3:$BG$19</c:f>
              <c:numCache>
                <c:formatCode>General</c:formatCode>
                <c:ptCount val="17"/>
                <c:pt idx="0">
                  <c:v>10.334796</c:v>
                </c:pt>
                <c:pt idx="1">
                  <c:v>11.1883685</c:v>
                </c:pt>
                <c:pt idx="2">
                  <c:v>10.1102745</c:v>
                </c:pt>
                <c:pt idx="3">
                  <c:v>12.70752</c:v>
                </c:pt>
                <c:pt idx="4">
                  <c:v>20.001818</c:v>
                </c:pt>
                <c:pt idx="5">
                  <c:v>12.788489</c:v>
                </c:pt>
                <c:pt idx="6">
                  <c:v>12.5143675</c:v>
                </c:pt>
                <c:pt idx="7">
                  <c:v>9.335156</c:v>
                </c:pt>
                <c:pt idx="8">
                  <c:v>8.3354965</c:v>
                </c:pt>
                <c:pt idx="9">
                  <c:v>14.702293</c:v>
                </c:pt>
                <c:pt idx="10">
                  <c:v>12.0141565</c:v>
                </c:pt>
                <c:pt idx="11">
                  <c:v>15.71112</c:v>
                </c:pt>
                <c:pt idx="12">
                  <c:v>14.9700485</c:v>
                </c:pt>
                <c:pt idx="13">
                  <c:v>17.77064</c:v>
                </c:pt>
                <c:pt idx="14">
                  <c:v>9.252562</c:v>
                </c:pt>
                <c:pt idx="15">
                  <c:v>14.2159855</c:v>
                </c:pt>
                <c:pt idx="16">
                  <c:v>20.287839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920016"/>
        <c:axId val="-2049667920"/>
      </c:scatterChart>
      <c:valAx>
        <c:axId val="-204792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667920"/>
        <c:crosses val="autoZero"/>
        <c:crossBetween val="midCat"/>
      </c:valAx>
      <c:valAx>
        <c:axId val="-2049667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7920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00476991141363537"/>
                  <c:y val="-0.0478710611454994"/>
                </c:manualLayout>
              </c:layout>
              <c:numFmt formatCode="General" sourceLinked="0"/>
            </c:trendlineLbl>
          </c:trendline>
          <c:xVal>
            <c:numRef>
              <c:f>'5DASC_5F'!$BE$3:$BE$19</c:f>
              <c:numCache>
                <c:formatCode>General</c:formatCode>
                <c:ptCount val="17"/>
                <c:pt idx="0">
                  <c:v>-0.031136297368421</c:v>
                </c:pt>
                <c:pt idx="1">
                  <c:v>0.020308752631579</c:v>
                </c:pt>
                <c:pt idx="2">
                  <c:v>-0.044648047368421</c:v>
                </c:pt>
                <c:pt idx="3">
                  <c:v>-0.049376097368421</c:v>
                </c:pt>
                <c:pt idx="4">
                  <c:v>0.079939402631579</c:v>
                </c:pt>
                <c:pt idx="5">
                  <c:v>0.030615902631579</c:v>
                </c:pt>
                <c:pt idx="6">
                  <c:v>-0.037704547368421</c:v>
                </c:pt>
                <c:pt idx="7">
                  <c:v>0.043502402631579</c:v>
                </c:pt>
                <c:pt idx="8">
                  <c:v>-0.026179147368421</c:v>
                </c:pt>
                <c:pt idx="9">
                  <c:v>-0.040417647368421</c:v>
                </c:pt>
                <c:pt idx="10">
                  <c:v>0.032763402631579</c:v>
                </c:pt>
                <c:pt idx="11">
                  <c:v>-0.018664097368421</c:v>
                </c:pt>
                <c:pt idx="12">
                  <c:v>0.063246402631579</c:v>
                </c:pt>
                <c:pt idx="13">
                  <c:v>0.00666915263157898</c:v>
                </c:pt>
                <c:pt idx="14">
                  <c:v>-0.027838047368421</c:v>
                </c:pt>
                <c:pt idx="15">
                  <c:v>0.00571885263157898</c:v>
                </c:pt>
                <c:pt idx="16">
                  <c:v>-0.040302947368421</c:v>
                </c:pt>
              </c:numCache>
            </c:numRef>
          </c:xVal>
          <c:yVal>
            <c:numRef>
              <c:f>'5DASC_5F'!$BG$3:$BG$19</c:f>
              <c:numCache>
                <c:formatCode>General</c:formatCode>
                <c:ptCount val="17"/>
                <c:pt idx="0">
                  <c:v>10.334796</c:v>
                </c:pt>
                <c:pt idx="1">
                  <c:v>11.1883685</c:v>
                </c:pt>
                <c:pt idx="2">
                  <c:v>10.1102745</c:v>
                </c:pt>
                <c:pt idx="3">
                  <c:v>12.70752</c:v>
                </c:pt>
                <c:pt idx="4">
                  <c:v>20.001818</c:v>
                </c:pt>
                <c:pt idx="5">
                  <c:v>12.788489</c:v>
                </c:pt>
                <c:pt idx="6">
                  <c:v>12.5143675</c:v>
                </c:pt>
                <c:pt idx="7">
                  <c:v>9.335156</c:v>
                </c:pt>
                <c:pt idx="8">
                  <c:v>8.3354965</c:v>
                </c:pt>
                <c:pt idx="9">
                  <c:v>14.702293</c:v>
                </c:pt>
                <c:pt idx="10">
                  <c:v>12.0141565</c:v>
                </c:pt>
                <c:pt idx="11">
                  <c:v>15.71112</c:v>
                </c:pt>
                <c:pt idx="12">
                  <c:v>14.9700485</c:v>
                </c:pt>
                <c:pt idx="13">
                  <c:v>17.77064</c:v>
                </c:pt>
                <c:pt idx="14">
                  <c:v>9.252562</c:v>
                </c:pt>
                <c:pt idx="15">
                  <c:v>14.2159855</c:v>
                </c:pt>
                <c:pt idx="16">
                  <c:v>20.287839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8703296"/>
        <c:axId val="-2049862928"/>
      </c:scatterChart>
      <c:valAx>
        <c:axId val="-204870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862928"/>
        <c:crosses val="autoZero"/>
        <c:crossBetween val="midCat"/>
      </c:valAx>
      <c:valAx>
        <c:axId val="-2049862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8703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'5DASC_5F'!$BW$2:$BW$19</c:f>
              <c:numCache>
                <c:formatCode>General</c:formatCode>
                <c:ptCount val="18"/>
                <c:pt idx="0">
                  <c:v>6.6910335</c:v>
                </c:pt>
                <c:pt idx="1">
                  <c:v>25.2533415</c:v>
                </c:pt>
                <c:pt idx="2">
                  <c:v>5.798846999999998</c:v>
                </c:pt>
                <c:pt idx="3">
                  <c:v>29.00777</c:v>
                </c:pt>
                <c:pt idx="4">
                  <c:v>21.50535550000001</c:v>
                </c:pt>
                <c:pt idx="5">
                  <c:v>10.0578645</c:v>
                </c:pt>
                <c:pt idx="6">
                  <c:v>26.271562</c:v>
                </c:pt>
                <c:pt idx="7">
                  <c:v>0.493449000000002</c:v>
                </c:pt>
                <c:pt idx="8">
                  <c:v>-1.332008999999999</c:v>
                </c:pt>
                <c:pt idx="9">
                  <c:v>12.070461</c:v>
                </c:pt>
                <c:pt idx="10">
                  <c:v>10.7148735</c:v>
                </c:pt>
                <c:pt idx="11">
                  <c:v>0.9690905</c:v>
                </c:pt>
                <c:pt idx="12">
                  <c:v>1.597338499999999</c:v>
                </c:pt>
                <c:pt idx="13">
                  <c:v>4.874665</c:v>
                </c:pt>
                <c:pt idx="14">
                  <c:v>16.4526745</c:v>
                </c:pt>
                <c:pt idx="15">
                  <c:v>11.044295</c:v>
                </c:pt>
                <c:pt idx="16">
                  <c:v>16.1124735</c:v>
                </c:pt>
                <c:pt idx="17">
                  <c:v>0.482489000000001</c:v>
                </c:pt>
              </c:numCache>
            </c:numRef>
          </c:xVal>
          <c:yVal>
            <c:numRef>
              <c:f>'5DASC_5F'!$BZ$2:$BZ$19</c:f>
              <c:numCache>
                <c:formatCode>General</c:formatCode>
                <c:ptCount val="18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13.5</c:v>
                </c:pt>
                <c:pt idx="5">
                  <c:v>11.0</c:v>
                </c:pt>
                <c:pt idx="6">
                  <c:v>11.5</c:v>
                </c:pt>
                <c:pt idx="7">
                  <c:v>14.5</c:v>
                </c:pt>
                <c:pt idx="8">
                  <c:v>11.0</c:v>
                </c:pt>
                <c:pt idx="9">
                  <c:v>8.5</c:v>
                </c:pt>
                <c:pt idx="10">
                  <c:v>4.0</c:v>
                </c:pt>
                <c:pt idx="11">
                  <c:v>13.0</c:v>
                </c:pt>
                <c:pt idx="12">
                  <c:v>10.5</c:v>
                </c:pt>
                <c:pt idx="13">
                  <c:v>10.0</c:v>
                </c:pt>
                <c:pt idx="14">
                  <c:v>18.5</c:v>
                </c:pt>
                <c:pt idx="15">
                  <c:v>14.5</c:v>
                </c:pt>
                <c:pt idx="16">
                  <c:v>18.5</c:v>
                </c:pt>
                <c:pt idx="17">
                  <c:v>15.5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457392"/>
        <c:axId val="-2049167760"/>
      </c:scatterChart>
      <c:valAx>
        <c:axId val="-204945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9167760"/>
        <c:crosses val="autoZero"/>
        <c:crossBetween val="midCat"/>
      </c:valAx>
      <c:valAx>
        <c:axId val="-2049167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9457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38413385826772"/>
                  <c:y val="-0.0283125546806649"/>
                </c:manualLayout>
              </c:layout>
              <c:numFmt formatCode="General" sourceLinked="0"/>
            </c:trendlineLbl>
          </c:trendline>
          <c:xVal>
            <c:numRef>
              <c:f>'5DASC_5F'!$BW$2:$BW$19</c:f>
              <c:numCache>
                <c:formatCode>General</c:formatCode>
                <c:ptCount val="18"/>
                <c:pt idx="0">
                  <c:v>6.6910335</c:v>
                </c:pt>
                <c:pt idx="1">
                  <c:v>25.2533415</c:v>
                </c:pt>
                <c:pt idx="2">
                  <c:v>5.798846999999998</c:v>
                </c:pt>
                <c:pt idx="3">
                  <c:v>29.00777</c:v>
                </c:pt>
                <c:pt idx="4">
                  <c:v>21.50535550000001</c:v>
                </c:pt>
                <c:pt idx="5">
                  <c:v>10.0578645</c:v>
                </c:pt>
                <c:pt idx="6">
                  <c:v>26.271562</c:v>
                </c:pt>
                <c:pt idx="7">
                  <c:v>0.493449000000002</c:v>
                </c:pt>
                <c:pt idx="8">
                  <c:v>-1.332008999999999</c:v>
                </c:pt>
                <c:pt idx="9">
                  <c:v>12.070461</c:v>
                </c:pt>
                <c:pt idx="10">
                  <c:v>10.7148735</c:v>
                </c:pt>
                <c:pt idx="11">
                  <c:v>0.9690905</c:v>
                </c:pt>
                <c:pt idx="12">
                  <c:v>1.597338499999999</c:v>
                </c:pt>
                <c:pt idx="13">
                  <c:v>4.874665</c:v>
                </c:pt>
                <c:pt idx="14">
                  <c:v>16.4526745</c:v>
                </c:pt>
                <c:pt idx="15">
                  <c:v>11.044295</c:v>
                </c:pt>
                <c:pt idx="16">
                  <c:v>16.1124735</c:v>
                </c:pt>
                <c:pt idx="17">
                  <c:v>0.482489000000001</c:v>
                </c:pt>
              </c:numCache>
            </c:numRef>
          </c:xVal>
          <c:yVal>
            <c:numRef>
              <c:f>'5DASC_5F'!$BY$2:$BY$17</c:f>
              <c:numCache>
                <c:formatCode>General</c:formatCode>
                <c:ptCount val="16"/>
                <c:pt idx="0">
                  <c:v>0.689999997616</c:v>
                </c:pt>
                <c:pt idx="1">
                  <c:v>0.71</c:v>
                </c:pt>
                <c:pt idx="2">
                  <c:v>0.42</c:v>
                </c:pt>
                <c:pt idx="3">
                  <c:v>0.769999980927</c:v>
                </c:pt>
                <c:pt idx="4">
                  <c:v>1.0</c:v>
                </c:pt>
                <c:pt idx="5">
                  <c:v>0.28</c:v>
                </c:pt>
                <c:pt idx="6">
                  <c:v>0.71</c:v>
                </c:pt>
                <c:pt idx="7">
                  <c:v>1.0</c:v>
                </c:pt>
                <c:pt idx="8">
                  <c:v>0.57</c:v>
                </c:pt>
                <c:pt idx="9">
                  <c:v>0.300000011921</c:v>
                </c:pt>
                <c:pt idx="10">
                  <c:v>0.41</c:v>
                </c:pt>
                <c:pt idx="11">
                  <c:v>0.0</c:v>
                </c:pt>
                <c:pt idx="12">
                  <c:v>0.689999997616</c:v>
                </c:pt>
                <c:pt idx="13">
                  <c:v>0.990000009537</c:v>
                </c:pt>
                <c:pt idx="14">
                  <c:v>1.0</c:v>
                </c:pt>
                <c:pt idx="15">
                  <c:v>0.759999990463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5794640"/>
        <c:axId val="-2055348000"/>
      </c:scatterChart>
      <c:valAx>
        <c:axId val="-205579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5348000"/>
        <c:crosses val="autoZero"/>
        <c:crossBetween val="midCat"/>
      </c:valAx>
      <c:valAx>
        <c:axId val="-2055348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5794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79067147856518"/>
                  <c:y val="-0.100003280839895"/>
                </c:manualLayout>
              </c:layout>
              <c:numFmt formatCode="General" sourceLinked="0"/>
            </c:trendlineLbl>
          </c:trendline>
          <c:xVal>
            <c:numRef>
              <c:f>'5DASC_5F'!$BW$2:$BW$19</c:f>
              <c:numCache>
                <c:formatCode>General</c:formatCode>
                <c:ptCount val="18"/>
                <c:pt idx="0">
                  <c:v>6.6910335</c:v>
                </c:pt>
                <c:pt idx="1">
                  <c:v>25.2533415</c:v>
                </c:pt>
                <c:pt idx="2">
                  <c:v>5.798846999999998</c:v>
                </c:pt>
                <c:pt idx="3">
                  <c:v>29.00777</c:v>
                </c:pt>
                <c:pt idx="4">
                  <c:v>21.50535550000001</c:v>
                </c:pt>
                <c:pt idx="5">
                  <c:v>10.0578645</c:v>
                </c:pt>
                <c:pt idx="6">
                  <c:v>26.271562</c:v>
                </c:pt>
                <c:pt idx="7">
                  <c:v>0.493449000000002</c:v>
                </c:pt>
                <c:pt idx="8">
                  <c:v>-1.332008999999999</c:v>
                </c:pt>
                <c:pt idx="9">
                  <c:v>12.070461</c:v>
                </c:pt>
                <c:pt idx="10">
                  <c:v>10.7148735</c:v>
                </c:pt>
                <c:pt idx="11">
                  <c:v>0.9690905</c:v>
                </c:pt>
                <c:pt idx="12">
                  <c:v>1.597338499999999</c:v>
                </c:pt>
                <c:pt idx="13">
                  <c:v>4.874665</c:v>
                </c:pt>
                <c:pt idx="14">
                  <c:v>16.4526745</c:v>
                </c:pt>
                <c:pt idx="15">
                  <c:v>11.044295</c:v>
                </c:pt>
                <c:pt idx="16">
                  <c:v>16.1124735</c:v>
                </c:pt>
                <c:pt idx="17">
                  <c:v>0.482489000000001</c:v>
                </c:pt>
              </c:numCache>
            </c:numRef>
          </c:xVal>
          <c:yVal>
            <c:numRef>
              <c:f>'5DASC_5F'!$CA$2:$CA$19</c:f>
              <c:numCache>
                <c:formatCode>General</c:formatCode>
                <c:ptCount val="18"/>
                <c:pt idx="0">
                  <c:v>16.0</c:v>
                </c:pt>
                <c:pt idx="1">
                  <c:v>10.0</c:v>
                </c:pt>
                <c:pt idx="2">
                  <c:v>4.5</c:v>
                </c:pt>
                <c:pt idx="3">
                  <c:v>20.0</c:v>
                </c:pt>
                <c:pt idx="4">
                  <c:v>9.0</c:v>
                </c:pt>
                <c:pt idx="5">
                  <c:v>0.0</c:v>
                </c:pt>
                <c:pt idx="6">
                  <c:v>7.0</c:v>
                </c:pt>
                <c:pt idx="7">
                  <c:v>17.0</c:v>
                </c:pt>
                <c:pt idx="8">
                  <c:v>0.5</c:v>
                </c:pt>
                <c:pt idx="9">
                  <c:v>6.5</c:v>
                </c:pt>
                <c:pt idx="10">
                  <c:v>4.0</c:v>
                </c:pt>
                <c:pt idx="11">
                  <c:v>12.0</c:v>
                </c:pt>
                <c:pt idx="12">
                  <c:v>9.0</c:v>
                </c:pt>
                <c:pt idx="13">
                  <c:v>10.0</c:v>
                </c:pt>
                <c:pt idx="14">
                  <c:v>15.0</c:v>
                </c:pt>
                <c:pt idx="15">
                  <c:v>10.0</c:v>
                </c:pt>
                <c:pt idx="16">
                  <c:v>18.5</c:v>
                </c:pt>
                <c:pt idx="17">
                  <c:v>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9212304"/>
        <c:axId val="-2085934512"/>
      </c:scatterChart>
      <c:valAx>
        <c:axId val="-204921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5934512"/>
        <c:crosses val="autoZero"/>
        <c:crossBetween val="midCat"/>
      </c:valAx>
      <c:valAx>
        <c:axId val="-2085934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9212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TTCT (n = 19)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07169072615923"/>
          <c:y val="0.134733887430738"/>
          <c:w val="0.862275371828521"/>
          <c:h val="0.749286235053951"/>
        </c:manualLayout>
      </c:layout>
      <c:barChart>
        <c:barDir val="col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TTCT!$AB$27:$AE$27</c:f>
                <c:numCache>
                  <c:formatCode>General</c:formatCode>
                  <c:ptCount val="4"/>
                  <c:pt idx="0">
                    <c:v>1.916701794210198</c:v>
                  </c:pt>
                  <c:pt idx="1">
                    <c:v>1.713110957756595</c:v>
                  </c:pt>
                  <c:pt idx="2">
                    <c:v>2.759967526048921</c:v>
                  </c:pt>
                  <c:pt idx="3">
                    <c:v>1.91155627675456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TTCT!$AB$3:$AE$3</c:f>
              <c:strCache>
                <c:ptCount val="4"/>
                <c:pt idx="0">
                  <c:v>Fluency</c:v>
                </c:pt>
                <c:pt idx="1">
                  <c:v>Flex</c:v>
                </c:pt>
                <c:pt idx="2">
                  <c:v>Orig</c:v>
                </c:pt>
                <c:pt idx="3">
                  <c:v>AVG</c:v>
                </c:pt>
              </c:strCache>
            </c:strRef>
          </c:cat>
          <c:val>
            <c:numRef>
              <c:f>TTCT!$AB$25:$AE$25</c:f>
              <c:numCache>
                <c:formatCode>0.0</c:formatCode>
                <c:ptCount val="4"/>
                <c:pt idx="0">
                  <c:v>87.63157894736842</c:v>
                </c:pt>
                <c:pt idx="1">
                  <c:v>84.26315789473684</c:v>
                </c:pt>
                <c:pt idx="2">
                  <c:v>100.2105263157895</c:v>
                </c:pt>
                <c:pt idx="3">
                  <c:v>90.73684210526316</c:v>
                </c:pt>
              </c:numCache>
            </c:numRef>
          </c:val>
        </c:ser>
        <c:ser>
          <c:idx val="1"/>
          <c:order val="1"/>
          <c:tx>
            <c:v>Placebo</c:v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TTCT!$AF$27:$AI$27</c:f>
                <c:numCache>
                  <c:formatCode>General</c:formatCode>
                  <c:ptCount val="4"/>
                  <c:pt idx="0">
                    <c:v>2.58478870629726</c:v>
                  </c:pt>
                  <c:pt idx="1">
                    <c:v>1.781803306335593</c:v>
                  </c:pt>
                  <c:pt idx="2">
                    <c:v>2.561763973674676</c:v>
                  </c:pt>
                  <c:pt idx="3">
                    <c:v>2.210108565371723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val>
            <c:numRef>
              <c:f>TTCT!$AF$25:$AI$25</c:f>
              <c:numCache>
                <c:formatCode>0.0</c:formatCode>
                <c:ptCount val="4"/>
                <c:pt idx="0">
                  <c:v>90.05263157894737</c:v>
                </c:pt>
                <c:pt idx="1">
                  <c:v>87.10526315789474</c:v>
                </c:pt>
                <c:pt idx="2">
                  <c:v>104.3684210526316</c:v>
                </c:pt>
                <c:pt idx="3">
                  <c:v>93.8421052631579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2293104"/>
        <c:axId val="-2062279536"/>
      </c:barChart>
      <c:catAx>
        <c:axId val="-206229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2279536"/>
        <c:crosses val="autoZero"/>
        <c:auto val="1"/>
        <c:lblAlgn val="ctr"/>
        <c:lblOffset val="100"/>
        <c:noMultiLvlLbl val="0"/>
      </c:catAx>
      <c:valAx>
        <c:axId val="-2062279536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-2062293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TTCT (n = 16)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07169072615923"/>
          <c:y val="0.134733887430738"/>
          <c:w val="0.862275371828521"/>
          <c:h val="0.749286235053951"/>
        </c:manualLayout>
      </c:layout>
      <c:barChart>
        <c:barDir val="col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TTCT!$D$27:$G$27</c:f>
                <c:numCache>
                  <c:formatCode>General</c:formatCode>
                  <c:ptCount val="4"/>
                  <c:pt idx="0">
                    <c:v>1.708968377901319</c:v>
                  </c:pt>
                  <c:pt idx="1">
                    <c:v>1.596871942267131</c:v>
                  </c:pt>
                  <c:pt idx="2">
                    <c:v>2.557209986815058</c:v>
                  </c:pt>
                  <c:pt idx="3">
                    <c:v>1.642850672865106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TTCT!$AB$3:$AE$3</c:f>
              <c:strCache>
                <c:ptCount val="4"/>
                <c:pt idx="0">
                  <c:v>Fluency</c:v>
                </c:pt>
                <c:pt idx="1">
                  <c:v>Flex</c:v>
                </c:pt>
                <c:pt idx="2">
                  <c:v>Orig</c:v>
                </c:pt>
                <c:pt idx="3">
                  <c:v>AVG</c:v>
                </c:pt>
              </c:strCache>
            </c:strRef>
          </c:cat>
          <c:val>
            <c:numRef>
              <c:f>TTCT!$D$25:$G$25</c:f>
              <c:numCache>
                <c:formatCode>0.0</c:formatCode>
                <c:ptCount val="4"/>
                <c:pt idx="0">
                  <c:v>89.9375</c:v>
                </c:pt>
                <c:pt idx="1">
                  <c:v>86.0</c:v>
                </c:pt>
                <c:pt idx="2">
                  <c:v>103.3125</c:v>
                </c:pt>
                <c:pt idx="3">
                  <c:v>93.125</c:v>
                </c:pt>
              </c:numCache>
            </c:numRef>
          </c:val>
        </c:ser>
        <c:ser>
          <c:idx val="1"/>
          <c:order val="1"/>
          <c:tx>
            <c:v>Placebo</c:v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TTCT!$H$27:$K$27</c:f>
                <c:numCache>
                  <c:formatCode>General</c:formatCode>
                  <c:ptCount val="4"/>
                  <c:pt idx="0">
                    <c:v>2.918332857414772</c:v>
                  </c:pt>
                  <c:pt idx="1">
                    <c:v>1.925432851767796</c:v>
                  </c:pt>
                  <c:pt idx="2">
                    <c:v>2.70185121722126</c:v>
                  </c:pt>
                  <c:pt idx="3">
                    <c:v>2.422066524685067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val>
            <c:numRef>
              <c:f>TTCT!$H$25:$K$25</c:f>
              <c:numCache>
                <c:formatCode>0.0</c:formatCode>
                <c:ptCount val="4"/>
                <c:pt idx="0">
                  <c:v>91.5</c:v>
                </c:pt>
                <c:pt idx="1">
                  <c:v>88.375</c:v>
                </c:pt>
                <c:pt idx="2">
                  <c:v>106.5</c:v>
                </c:pt>
                <c:pt idx="3">
                  <c:v>95.4375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45205712"/>
        <c:axId val="-2045559936"/>
      </c:barChart>
      <c:catAx>
        <c:axId val="-204520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45559936"/>
        <c:crosses val="autoZero"/>
        <c:auto val="1"/>
        <c:lblAlgn val="ctr"/>
        <c:lblOffset val="100"/>
        <c:noMultiLvlLbl val="0"/>
      </c:catAx>
      <c:valAx>
        <c:axId val="-2045559936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crossAx val="-2045205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545100657106"/>
          <c:y val="0.139282536812808"/>
          <c:w val="0.839446808168387"/>
          <c:h val="0.71554630444608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159992344706912"/>
                  <c:y val="0.111106007582386"/>
                </c:manualLayout>
              </c:layout>
              <c:numFmt formatCode="General" sourceLinked="0"/>
            </c:trendlineLbl>
          </c:trendline>
          <c:xVal>
            <c:strRef>
              <c:f>MASTER_DATA!$Q$3:$Q$22</c:f>
              <c:strCache>
                <c:ptCount val="2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-4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missing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</c:strCache>
            </c:strRef>
          </c:xVal>
          <c:yVal>
            <c:numRef>
              <c:f>MASTER_DATA!$AE$3:$AE$22</c:f>
              <c:numCache>
                <c:formatCode>General</c:formatCode>
                <c:ptCount val="20"/>
                <c:pt idx="0">
                  <c:v>91.0</c:v>
                </c:pt>
                <c:pt idx="2">
                  <c:v>85.0</c:v>
                </c:pt>
                <c:pt idx="3">
                  <c:v>92.0</c:v>
                </c:pt>
                <c:pt idx="4">
                  <c:v>91.0</c:v>
                </c:pt>
                <c:pt idx="5">
                  <c:v>98.0</c:v>
                </c:pt>
                <c:pt idx="6">
                  <c:v>89.0</c:v>
                </c:pt>
                <c:pt idx="8">
                  <c:v>90.0</c:v>
                </c:pt>
                <c:pt idx="9">
                  <c:v>96.0</c:v>
                </c:pt>
                <c:pt idx="10">
                  <c:v>101.0</c:v>
                </c:pt>
                <c:pt idx="11">
                  <c:v>85.0</c:v>
                </c:pt>
                <c:pt idx="13">
                  <c:v>87.0</c:v>
                </c:pt>
                <c:pt idx="14">
                  <c:v>86.0</c:v>
                </c:pt>
                <c:pt idx="15">
                  <c:v>98.0</c:v>
                </c:pt>
                <c:pt idx="17">
                  <c:v>92.0</c:v>
                </c:pt>
                <c:pt idx="18">
                  <c:v>107.0</c:v>
                </c:pt>
                <c:pt idx="19">
                  <c:v>102.0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2392576"/>
        <c:axId val="-2062224720"/>
      </c:scatterChart>
      <c:valAx>
        <c:axId val="-206239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62224720"/>
        <c:crosses val="autoZero"/>
        <c:crossBetween val="midCat"/>
      </c:valAx>
      <c:valAx>
        <c:axId val="-2062224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62392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MASTER_DATA!$T$3:$T$22</c:f>
              <c:numCache>
                <c:formatCode>General</c:formatCode>
                <c:ptCount val="20"/>
                <c:pt idx="0">
                  <c:v>6.0</c:v>
                </c:pt>
                <c:pt idx="1">
                  <c:v>8.0</c:v>
                </c:pt>
                <c:pt idx="2">
                  <c:v>7.0</c:v>
                </c:pt>
                <c:pt idx="3">
                  <c:v>7.0</c:v>
                </c:pt>
                <c:pt idx="4">
                  <c:v>11.0</c:v>
                </c:pt>
                <c:pt idx="5">
                  <c:v>6.0</c:v>
                </c:pt>
                <c:pt idx="6">
                  <c:v>7.0</c:v>
                </c:pt>
                <c:pt idx="7">
                  <c:v>4.0</c:v>
                </c:pt>
                <c:pt idx="8">
                  <c:v>7.0</c:v>
                </c:pt>
                <c:pt idx="9">
                  <c:v>2.0</c:v>
                </c:pt>
                <c:pt idx="10">
                  <c:v>9.0</c:v>
                </c:pt>
                <c:pt idx="11">
                  <c:v>10.0</c:v>
                </c:pt>
                <c:pt idx="12">
                  <c:v>5.0</c:v>
                </c:pt>
                <c:pt idx="13">
                  <c:v>6.0</c:v>
                </c:pt>
                <c:pt idx="14">
                  <c:v>8.0</c:v>
                </c:pt>
                <c:pt idx="15">
                  <c:v>10.0</c:v>
                </c:pt>
                <c:pt idx="16">
                  <c:v>8.0</c:v>
                </c:pt>
                <c:pt idx="17">
                  <c:v>11.0</c:v>
                </c:pt>
                <c:pt idx="18">
                  <c:v>4.0</c:v>
                </c:pt>
                <c:pt idx="19">
                  <c:v>8.0</c:v>
                </c:pt>
              </c:numCache>
            </c:numRef>
          </c:xVal>
          <c:yVal>
            <c:numRef>
              <c:f>MASTER_DATA!$Y$3:$Y$22</c:f>
              <c:numCache>
                <c:formatCode>General</c:formatCode>
                <c:ptCount val="20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-1.0</c:v>
                </c:pt>
                <c:pt idx="6">
                  <c:v>9.0</c:v>
                </c:pt>
                <c:pt idx="7">
                  <c:v>7.0</c:v>
                </c:pt>
                <c:pt idx="8">
                  <c:v>1.0</c:v>
                </c:pt>
                <c:pt idx="9">
                  <c:v>10.0</c:v>
                </c:pt>
                <c:pt idx="10">
                  <c:v>1.0</c:v>
                </c:pt>
                <c:pt idx="11">
                  <c:v>2.0</c:v>
                </c:pt>
                <c:pt idx="12">
                  <c:v>-1.0</c:v>
                </c:pt>
                <c:pt idx="13">
                  <c:v>-6.0</c:v>
                </c:pt>
                <c:pt idx="14">
                  <c:v>12.0</c:v>
                </c:pt>
                <c:pt idx="15">
                  <c:v>-16.0</c:v>
                </c:pt>
                <c:pt idx="16">
                  <c:v>0.0</c:v>
                </c:pt>
                <c:pt idx="17">
                  <c:v>1.0</c:v>
                </c:pt>
                <c:pt idx="18">
                  <c:v>8.0</c:v>
                </c:pt>
                <c:pt idx="19">
                  <c:v>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2252544"/>
        <c:axId val="-2062342352"/>
      </c:scatterChart>
      <c:valAx>
        <c:axId val="-206225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62342352"/>
        <c:crosses val="autoZero"/>
        <c:crossBetween val="midCat"/>
      </c:valAx>
      <c:valAx>
        <c:axId val="-2062342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622525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MASTER_DATA!$P$3:$P$22</c:f>
              <c:numCache>
                <c:formatCode>General</c:formatCode>
                <c:ptCount val="20"/>
                <c:pt idx="0">
                  <c:v>-6.0</c:v>
                </c:pt>
                <c:pt idx="1">
                  <c:v>2.0</c:v>
                </c:pt>
                <c:pt idx="2">
                  <c:v>-8.0</c:v>
                </c:pt>
                <c:pt idx="3">
                  <c:v>-13.0</c:v>
                </c:pt>
                <c:pt idx="4">
                  <c:v>-2.0</c:v>
                </c:pt>
                <c:pt idx="5">
                  <c:v>1.0</c:v>
                </c:pt>
                <c:pt idx="6">
                  <c:v>-9.0</c:v>
                </c:pt>
                <c:pt idx="7">
                  <c:v>-7.0</c:v>
                </c:pt>
                <c:pt idx="8">
                  <c:v>-1.0</c:v>
                </c:pt>
                <c:pt idx="9">
                  <c:v>-10.0</c:v>
                </c:pt>
                <c:pt idx="10">
                  <c:v>-1.0</c:v>
                </c:pt>
                <c:pt idx="11">
                  <c:v>-2.0</c:v>
                </c:pt>
                <c:pt idx="12">
                  <c:v>1.0</c:v>
                </c:pt>
                <c:pt idx="13">
                  <c:v>6.0</c:v>
                </c:pt>
                <c:pt idx="14">
                  <c:v>-12.0</c:v>
                </c:pt>
                <c:pt idx="15">
                  <c:v>16.0</c:v>
                </c:pt>
                <c:pt idx="16">
                  <c:v>0.0</c:v>
                </c:pt>
                <c:pt idx="17">
                  <c:v>-1.0</c:v>
                </c:pt>
                <c:pt idx="18">
                  <c:v>-8.0</c:v>
                </c:pt>
                <c:pt idx="19">
                  <c:v>-5.0</c:v>
                </c:pt>
              </c:numCache>
            </c:numRef>
          </c:xVal>
          <c:yVal>
            <c:numRef>
              <c:f>MASTER_DATA!$BA$3:$BA$22</c:f>
              <c:numCache>
                <c:formatCode>General</c:formatCode>
                <c:ptCount val="20"/>
                <c:pt idx="0">
                  <c:v>0.102765448958689</c:v>
                </c:pt>
                <c:pt idx="2">
                  <c:v>-0.247252747252747</c:v>
                </c:pt>
                <c:pt idx="3">
                  <c:v>0.0741195741195741</c:v>
                </c:pt>
                <c:pt idx="4">
                  <c:v>0.109511178476696</c:v>
                </c:pt>
                <c:pt idx="5">
                  <c:v>0.0223144784639337</c:v>
                </c:pt>
                <c:pt idx="6">
                  <c:v>-0.100422832980973</c:v>
                </c:pt>
                <c:pt idx="8">
                  <c:v>0.149350649350649</c:v>
                </c:pt>
                <c:pt idx="9">
                  <c:v>-0.094736842105263</c:v>
                </c:pt>
                <c:pt idx="10">
                  <c:v>0.0148648648648648</c:v>
                </c:pt>
                <c:pt idx="11">
                  <c:v>-0.154912597950573</c:v>
                </c:pt>
                <c:pt idx="13">
                  <c:v>-0.142261904761905</c:v>
                </c:pt>
                <c:pt idx="14">
                  <c:v>-0.107142857142857</c:v>
                </c:pt>
                <c:pt idx="15">
                  <c:v>0.167521367521368</c:v>
                </c:pt>
                <c:pt idx="17">
                  <c:v>-0.137445887445887</c:v>
                </c:pt>
                <c:pt idx="18">
                  <c:v>-0.0487114131973947</c:v>
                </c:pt>
                <c:pt idx="19">
                  <c:v>0.0746391752577318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203072"/>
        <c:axId val="-2045195472"/>
      </c:scatterChart>
      <c:valAx>
        <c:axId val="-204520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195472"/>
        <c:crosses val="autoZero"/>
        <c:crossBetween val="midCat"/>
      </c:valAx>
      <c:valAx>
        <c:axId val="-2045195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2030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263486220472441"/>
                  <c:y val="0.0318533100029163"/>
                </c:manualLayout>
              </c:layout>
              <c:numFmt formatCode="General" sourceLinked="0"/>
            </c:trendlineLbl>
          </c:trendline>
          <c:xVal>
            <c:numRef>
              <c:f>MASTER_DATA!$BA$3:$BA$22</c:f>
              <c:numCache>
                <c:formatCode>General</c:formatCode>
                <c:ptCount val="20"/>
                <c:pt idx="0">
                  <c:v>0.102765448958689</c:v>
                </c:pt>
                <c:pt idx="2">
                  <c:v>-0.247252747252747</c:v>
                </c:pt>
                <c:pt idx="3">
                  <c:v>0.0741195741195741</c:v>
                </c:pt>
                <c:pt idx="4">
                  <c:v>0.109511178476696</c:v>
                </c:pt>
                <c:pt idx="5">
                  <c:v>0.0223144784639337</c:v>
                </c:pt>
                <c:pt idx="6">
                  <c:v>-0.100422832980973</c:v>
                </c:pt>
                <c:pt idx="8">
                  <c:v>0.149350649350649</c:v>
                </c:pt>
                <c:pt idx="9">
                  <c:v>-0.094736842105263</c:v>
                </c:pt>
                <c:pt idx="10">
                  <c:v>0.0148648648648648</c:v>
                </c:pt>
                <c:pt idx="11">
                  <c:v>-0.154912597950573</c:v>
                </c:pt>
                <c:pt idx="13">
                  <c:v>-0.142261904761905</c:v>
                </c:pt>
                <c:pt idx="14">
                  <c:v>-0.107142857142857</c:v>
                </c:pt>
                <c:pt idx="15">
                  <c:v>0.167521367521368</c:v>
                </c:pt>
                <c:pt idx="17">
                  <c:v>-0.137445887445887</c:v>
                </c:pt>
                <c:pt idx="18">
                  <c:v>-0.0487114131973947</c:v>
                </c:pt>
                <c:pt idx="19">
                  <c:v>0.0746391752577318</c:v>
                </c:pt>
              </c:numCache>
            </c:numRef>
          </c:xVal>
          <c:yVal>
            <c:numRef>
              <c:f>MASTER_DATA!$BD$3:$BD$22</c:f>
              <c:numCache>
                <c:formatCode>General</c:formatCode>
                <c:ptCount val="20"/>
                <c:pt idx="0">
                  <c:v>0.330000013113</c:v>
                </c:pt>
                <c:pt idx="1">
                  <c:v>0.9</c:v>
                </c:pt>
                <c:pt idx="2">
                  <c:v>0.29</c:v>
                </c:pt>
                <c:pt idx="3">
                  <c:v>1.0</c:v>
                </c:pt>
                <c:pt idx="4">
                  <c:v>0.879999995232</c:v>
                </c:pt>
                <c:pt idx="5">
                  <c:v>0.28</c:v>
                </c:pt>
                <c:pt idx="6">
                  <c:v>0.75</c:v>
                </c:pt>
                <c:pt idx="7">
                  <c:v>1.0</c:v>
                </c:pt>
                <c:pt idx="8">
                  <c:v>1.0</c:v>
                </c:pt>
                <c:pt idx="9">
                  <c:v>0.97</c:v>
                </c:pt>
                <c:pt idx="10">
                  <c:v>0.289999991655</c:v>
                </c:pt>
                <c:pt idx="11">
                  <c:v>0.68</c:v>
                </c:pt>
                <c:pt idx="12">
                  <c:v>0.170000001788</c:v>
                </c:pt>
                <c:pt idx="13">
                  <c:v>0.959999978542</c:v>
                </c:pt>
                <c:pt idx="14">
                  <c:v>0.699999988079</c:v>
                </c:pt>
                <c:pt idx="15">
                  <c:v>0.850000023842</c:v>
                </c:pt>
                <c:pt idx="16">
                  <c:v>1.0</c:v>
                </c:pt>
                <c:pt idx="17">
                  <c:v>0.769999980927</c:v>
                </c:pt>
                <c:pt idx="18">
                  <c:v>1.0</c:v>
                </c:pt>
                <c:pt idx="19">
                  <c:v>0.889999985695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265056"/>
        <c:axId val="-2045303984"/>
      </c:scatterChart>
      <c:valAx>
        <c:axId val="-204526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303984"/>
        <c:crosses val="autoZero"/>
        <c:crossBetween val="midCat"/>
      </c:valAx>
      <c:valAx>
        <c:axId val="-2045303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265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strRef>
              <c:f>MASTER_DATA!$Q$3:$Q$22</c:f>
              <c:strCache>
                <c:ptCount val="2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-4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missing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</c:strCache>
            </c:strRef>
          </c:xVal>
          <c:yVal>
            <c:numRef>
              <c:f>MASTER_DATA!$BE$3:$BE$22</c:f>
              <c:numCache>
                <c:formatCode>General</c:formatCode>
                <c:ptCount val="20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0.230000004172</c:v>
                </c:pt>
                <c:pt idx="5">
                  <c:v>0.08</c:v>
                </c:pt>
                <c:pt idx="6">
                  <c:v>0.8</c:v>
                </c:pt>
                <c:pt idx="7">
                  <c:v>1.0</c:v>
                </c:pt>
                <c:pt idx="8">
                  <c:v>0.25</c:v>
                </c:pt>
                <c:pt idx="9">
                  <c:v>0.0</c:v>
                </c:pt>
                <c:pt idx="10">
                  <c:v>0.10000000149</c:v>
                </c:pt>
                <c:pt idx="11">
                  <c:v>0.11</c:v>
                </c:pt>
                <c:pt idx="12">
                  <c:v>0.0</c:v>
                </c:pt>
                <c:pt idx="13">
                  <c:v>1.0</c:v>
                </c:pt>
                <c:pt idx="14">
                  <c:v>0.119999997318</c:v>
                </c:pt>
                <c:pt idx="15">
                  <c:v>0.839999973774</c:v>
                </c:pt>
                <c:pt idx="16">
                  <c:v>1.0</c:v>
                </c:pt>
                <c:pt idx="17">
                  <c:v>0.839999973774</c:v>
                </c:pt>
                <c:pt idx="18">
                  <c:v>0.94</c:v>
                </c:pt>
                <c:pt idx="19">
                  <c:v>0.589999973774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147280"/>
        <c:axId val="-2045144672"/>
      </c:scatterChart>
      <c:valAx>
        <c:axId val="-204514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144672"/>
        <c:crosses val="autoZero"/>
        <c:crossBetween val="midCat"/>
      </c:valAx>
      <c:valAx>
        <c:axId val="-2045144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1472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MASTER_DATA!$AY$25:$AY$43</c:f>
              <c:numCache>
                <c:formatCode>General</c:formatCode>
                <c:ptCount val="19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0.230000004172</c:v>
                </c:pt>
                <c:pt idx="5">
                  <c:v>0.08</c:v>
                </c:pt>
                <c:pt idx="6">
                  <c:v>0.8</c:v>
                </c:pt>
                <c:pt idx="7">
                  <c:v>0.25</c:v>
                </c:pt>
                <c:pt idx="8">
                  <c:v>0.0</c:v>
                </c:pt>
                <c:pt idx="9">
                  <c:v>0.10000000149</c:v>
                </c:pt>
                <c:pt idx="10">
                  <c:v>0.11</c:v>
                </c:pt>
                <c:pt idx="11">
                  <c:v>0.0</c:v>
                </c:pt>
                <c:pt idx="12">
                  <c:v>1.0</c:v>
                </c:pt>
                <c:pt idx="13">
                  <c:v>0.119999997318</c:v>
                </c:pt>
                <c:pt idx="14">
                  <c:v>0.839999973774</c:v>
                </c:pt>
                <c:pt idx="15">
                  <c:v>1.0</c:v>
                </c:pt>
                <c:pt idx="16">
                  <c:v>0.839999973774</c:v>
                </c:pt>
                <c:pt idx="17">
                  <c:v>0.94</c:v>
                </c:pt>
                <c:pt idx="18">
                  <c:v>0.589999973774</c:v>
                </c:pt>
              </c:numCache>
            </c:numRef>
          </c:xVal>
          <c:yVal>
            <c:numRef>
              <c:f>MASTER_DATA!$AZ$25:$AZ$43</c:f>
              <c:numCache>
                <c:formatCode>General</c:formatCode>
                <c:ptCount val="19"/>
                <c:pt idx="0">
                  <c:v>0.0</c:v>
                </c:pt>
                <c:pt idx="1">
                  <c:v>2.0</c:v>
                </c:pt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-1.0</c:v>
                </c:pt>
                <c:pt idx="6">
                  <c:v>3.0</c:v>
                </c:pt>
                <c:pt idx="7">
                  <c:v>0.0</c:v>
                </c:pt>
                <c:pt idx="8">
                  <c:v>2.0</c:v>
                </c:pt>
                <c:pt idx="9">
                  <c:v>2.0</c:v>
                </c:pt>
                <c:pt idx="10">
                  <c:v>0.0</c:v>
                </c:pt>
                <c:pt idx="11">
                  <c:v>2.0</c:v>
                </c:pt>
                <c:pt idx="12">
                  <c:v>1.0</c:v>
                </c:pt>
                <c:pt idx="13">
                  <c:v>4.0</c:v>
                </c:pt>
                <c:pt idx="14">
                  <c:v>0.0</c:v>
                </c:pt>
                <c:pt idx="15">
                  <c:v>4.0</c:v>
                </c:pt>
                <c:pt idx="16">
                  <c:v>7.0</c:v>
                </c:pt>
                <c:pt idx="17">
                  <c:v>3.0</c:v>
                </c:pt>
                <c:pt idx="18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018096"/>
        <c:axId val="-2045015488"/>
      </c:scatterChart>
      <c:valAx>
        <c:axId val="-204501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015488"/>
        <c:crosses val="autoZero"/>
        <c:crossBetween val="midCat"/>
      </c:valAx>
      <c:valAx>
        <c:axId val="-204501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0180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18471128608924"/>
          <c:y val="0.0514005540974045"/>
          <c:w val="0.892777996500438"/>
          <c:h val="0.8279899387576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MASTER_DATA!$EU$3:$EU$22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MASTER_DATA!$CJ$3:$CJ$22</c:f>
              <c:numCache>
                <c:formatCode>General</c:formatCode>
                <c:ptCount val="20"/>
                <c:pt idx="0">
                  <c:v>0.0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0.296666666865333</c:v>
                </c:pt>
                <c:pt idx="5">
                  <c:v>0.02</c:v>
                </c:pt>
                <c:pt idx="6">
                  <c:v>0.533333333333333</c:v>
                </c:pt>
                <c:pt idx="7">
                  <c:v>0.4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0.260000000397333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0.680000007152667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955424"/>
        <c:axId val="-2044952816"/>
      </c:scatterChart>
      <c:valAx>
        <c:axId val="-204495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4952816"/>
        <c:crosses val="autoZero"/>
        <c:crossBetween val="midCat"/>
      </c:valAx>
      <c:valAx>
        <c:axId val="-2044952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4955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MASTER_DATA!$BZ$3:$BZ$22</c:f>
              <c:numCache>
                <c:formatCode>General</c:formatCode>
                <c:ptCount val="20"/>
                <c:pt idx="0">
                  <c:v>0.0</c:v>
                </c:pt>
                <c:pt idx="1">
                  <c:v>0.406</c:v>
                </c:pt>
                <c:pt idx="2">
                  <c:v>0.04</c:v>
                </c:pt>
                <c:pt idx="3">
                  <c:v>0.8360000044106</c:v>
                </c:pt>
                <c:pt idx="4">
                  <c:v>0.45199999362238</c:v>
                </c:pt>
                <c:pt idx="5">
                  <c:v>0.022</c:v>
                </c:pt>
                <c:pt idx="6">
                  <c:v>0.796</c:v>
                </c:pt>
                <c:pt idx="7">
                  <c:v>0.782</c:v>
                </c:pt>
                <c:pt idx="8">
                  <c:v>0.1880000002</c:v>
                </c:pt>
                <c:pt idx="9">
                  <c:v>0.162</c:v>
                </c:pt>
                <c:pt idx="10">
                  <c:v>0.0879999984</c:v>
                </c:pt>
                <c:pt idx="11">
                  <c:v>0.168</c:v>
                </c:pt>
                <c:pt idx="12">
                  <c:v>0.22399999722842</c:v>
                </c:pt>
                <c:pt idx="13">
                  <c:v>0.8319999992848</c:v>
                </c:pt>
                <c:pt idx="14">
                  <c:v>0.2400000016</c:v>
                </c:pt>
                <c:pt idx="15">
                  <c:v>0.2899999946</c:v>
                </c:pt>
                <c:pt idx="16">
                  <c:v>0.7600000022</c:v>
                </c:pt>
                <c:pt idx="17">
                  <c:v>0.3579999984</c:v>
                </c:pt>
                <c:pt idx="18">
                  <c:v>0.372</c:v>
                </c:pt>
                <c:pt idx="19">
                  <c:v>0.480000001192</c:v>
                </c:pt>
              </c:numCache>
            </c:numRef>
          </c:xVal>
          <c:yVal>
            <c:numRef>
              <c:f>MASTER_DATA!$CN$3:$CN$22</c:f>
              <c:numCache>
                <c:formatCode>General</c:formatCode>
                <c:ptCount val="20"/>
                <c:pt idx="0">
                  <c:v>-0.187242614</c:v>
                </c:pt>
                <c:pt idx="1">
                  <c:v>-0.5019366934</c:v>
                </c:pt>
                <c:pt idx="2">
                  <c:v>-0.04592407102</c:v>
                </c:pt>
                <c:pt idx="3">
                  <c:v>-0.2872757602</c:v>
                </c:pt>
                <c:pt idx="5">
                  <c:v>-0.4359304244</c:v>
                </c:pt>
                <c:pt idx="8">
                  <c:v>-0.2043187788</c:v>
                </c:pt>
                <c:pt idx="9">
                  <c:v>-0.736235746</c:v>
                </c:pt>
                <c:pt idx="10">
                  <c:v>-0.173692225</c:v>
                </c:pt>
                <c:pt idx="11">
                  <c:v>-0.5096687862</c:v>
                </c:pt>
                <c:pt idx="12">
                  <c:v>-0.1614287809</c:v>
                </c:pt>
                <c:pt idx="14">
                  <c:v>-0.2362861718</c:v>
                </c:pt>
                <c:pt idx="16">
                  <c:v>-0.676499765</c:v>
                </c:pt>
                <c:pt idx="17">
                  <c:v>-0.7177722454</c:v>
                </c:pt>
                <c:pt idx="18">
                  <c:v>-0.3972295963</c:v>
                </c:pt>
                <c:pt idx="19">
                  <c:v>-0.3814598523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368752"/>
        <c:axId val="-2045366144"/>
      </c:scatterChart>
      <c:valAx>
        <c:axId val="-204536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366144"/>
        <c:crosses val="autoZero"/>
        <c:crossBetween val="midCat"/>
      </c:valAx>
      <c:valAx>
        <c:axId val="-204536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368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143038932633421"/>
                  <c:y val="-0.443641367745698"/>
                </c:manualLayout>
              </c:layout>
              <c:numFmt formatCode="General" sourceLinked="0"/>
            </c:trendlineLbl>
          </c:trendline>
          <c:xVal>
            <c:numRef>
              <c:f>MASTER_DATA!$EU$3:$EU$22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MASTER_DATA!$EM$3:$EM$22</c:f>
              <c:numCache>
                <c:formatCode>General</c:formatCode>
                <c:ptCount val="20"/>
                <c:pt idx="0">
                  <c:v>40.4867529562558</c:v>
                </c:pt>
                <c:pt idx="1">
                  <c:v>32.5411131482612</c:v>
                </c:pt>
                <c:pt idx="2">
                  <c:v>49.4099535458135</c:v>
                </c:pt>
                <c:pt idx="3">
                  <c:v>26.7976637202021</c:v>
                </c:pt>
                <c:pt idx="5">
                  <c:v>69.64185414929964</c:v>
                </c:pt>
                <c:pt idx="6">
                  <c:v>26.26678484379135</c:v>
                </c:pt>
                <c:pt idx="8">
                  <c:v>79.50395192329674</c:v>
                </c:pt>
                <c:pt idx="9">
                  <c:v>126.7145463425145</c:v>
                </c:pt>
                <c:pt idx="11">
                  <c:v>33.91570658563795</c:v>
                </c:pt>
                <c:pt idx="12">
                  <c:v>30.4580727052458</c:v>
                </c:pt>
                <c:pt idx="13">
                  <c:v>7.86448854285904</c:v>
                </c:pt>
                <c:pt idx="15">
                  <c:v>39.73560879950915</c:v>
                </c:pt>
                <c:pt idx="17">
                  <c:v>63.69577670291795</c:v>
                </c:pt>
                <c:pt idx="18">
                  <c:v>20.09698487658835</c:v>
                </c:pt>
                <c:pt idx="19">
                  <c:v>81.11830535004165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451616"/>
        <c:axId val="-2045449008"/>
      </c:scatterChart>
      <c:valAx>
        <c:axId val="-204545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449008"/>
        <c:crosses val="autoZero"/>
        <c:crossBetween val="midCat"/>
      </c:valAx>
      <c:valAx>
        <c:axId val="-2045449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451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MASTER_DATA!$FB$3:$FB$22</c:f>
              <c:numCache>
                <c:formatCode>General</c:formatCode>
                <c:ptCount val="20"/>
                <c:pt idx="0">
                  <c:v>-0.00666666651765333</c:v>
                </c:pt>
                <c:pt idx="1">
                  <c:v>0.226666666666667</c:v>
                </c:pt>
                <c:pt idx="2">
                  <c:v>0.2</c:v>
                </c:pt>
                <c:pt idx="3">
                  <c:v>0.333333333333333</c:v>
                </c:pt>
                <c:pt idx="4">
                  <c:v>0.376666666318973</c:v>
                </c:pt>
                <c:pt idx="5">
                  <c:v>0.02</c:v>
                </c:pt>
                <c:pt idx="6">
                  <c:v>0.336666666666667</c:v>
                </c:pt>
                <c:pt idx="7">
                  <c:v>0.339999999333333</c:v>
                </c:pt>
                <c:pt idx="8">
                  <c:v>0.00666666666666667</c:v>
                </c:pt>
                <c:pt idx="9">
                  <c:v>0.106666666666667</c:v>
                </c:pt>
                <c:pt idx="10">
                  <c:v>0.169999999333333</c:v>
                </c:pt>
                <c:pt idx="11">
                  <c:v>0.0</c:v>
                </c:pt>
                <c:pt idx="12">
                  <c:v>0.333333327124333</c:v>
                </c:pt>
                <c:pt idx="13">
                  <c:v>0.823333319897507</c:v>
                </c:pt>
                <c:pt idx="14">
                  <c:v>0.096666669</c:v>
                </c:pt>
                <c:pt idx="15">
                  <c:v>0.246666666666667</c:v>
                </c:pt>
                <c:pt idx="16">
                  <c:v>0.553333337</c:v>
                </c:pt>
                <c:pt idx="17">
                  <c:v>0.306666672666667</c:v>
                </c:pt>
                <c:pt idx="18">
                  <c:v>0.256666666666667</c:v>
                </c:pt>
                <c:pt idx="19">
                  <c:v>0.483333336115</c:v>
                </c:pt>
              </c:numCache>
            </c:numRef>
          </c:xVal>
          <c:yVal>
            <c:numRef>
              <c:f>MASTER_DATA!$FN$3:$FN$22</c:f>
              <c:numCache>
                <c:formatCode>General</c:formatCode>
                <c:ptCount val="20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-1.0</c:v>
                </c:pt>
                <c:pt idx="6">
                  <c:v>9.0</c:v>
                </c:pt>
                <c:pt idx="7">
                  <c:v>7.0</c:v>
                </c:pt>
                <c:pt idx="8">
                  <c:v>1.0</c:v>
                </c:pt>
                <c:pt idx="9">
                  <c:v>10.0</c:v>
                </c:pt>
                <c:pt idx="10">
                  <c:v>1.0</c:v>
                </c:pt>
                <c:pt idx="11">
                  <c:v>2.0</c:v>
                </c:pt>
                <c:pt idx="12">
                  <c:v>-1.0</c:v>
                </c:pt>
                <c:pt idx="13">
                  <c:v>-6.0</c:v>
                </c:pt>
                <c:pt idx="14">
                  <c:v>12.0</c:v>
                </c:pt>
                <c:pt idx="15">
                  <c:v>-16.0</c:v>
                </c:pt>
                <c:pt idx="16">
                  <c:v>0.0</c:v>
                </c:pt>
                <c:pt idx="17">
                  <c:v>1.0</c:v>
                </c:pt>
                <c:pt idx="18">
                  <c:v>8.0</c:v>
                </c:pt>
                <c:pt idx="19">
                  <c:v>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595344"/>
        <c:axId val="-2045092224"/>
      </c:scatterChart>
      <c:valAx>
        <c:axId val="-204559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092224"/>
        <c:crosses val="autoZero"/>
        <c:crossBetween val="midCat"/>
      </c:valAx>
      <c:valAx>
        <c:axId val="-2045092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5953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strRef>
              <c:f>MASTER_DATA!$FL$3:$FL$22</c:f>
              <c:strCache>
                <c:ptCount val="2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-4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missing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</c:strCache>
            </c:strRef>
          </c:xVal>
          <c:yVal>
            <c:numRef>
              <c:f>MASTER_DATA!$FZ$3:$FZ$22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049536"/>
        <c:axId val="-2045043680"/>
      </c:scatterChart>
      <c:valAx>
        <c:axId val="-2045049536"/>
        <c:scaling>
          <c:orientation val="minMax"/>
        </c:scaling>
        <c:delete val="0"/>
        <c:axPos val="b"/>
        <c:majorTickMark val="out"/>
        <c:minorTickMark val="none"/>
        <c:tickLblPos val="nextTo"/>
        <c:crossAx val="-2045043680"/>
        <c:crosses val="autoZero"/>
        <c:crossBetween val="midCat"/>
      </c:valAx>
      <c:valAx>
        <c:axId val="-2045043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049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strRef>
              <c:f>MASTER_DATA!$FL$3:$FL$22</c:f>
              <c:strCache>
                <c:ptCount val="2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-4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missing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</c:strCache>
            </c:strRef>
          </c:xVal>
          <c:yVal>
            <c:numRef>
              <c:f>MASTER_DATA!$FY$3:$FY$22</c:f>
              <c:numCache>
                <c:formatCode>General</c:formatCode>
                <c:ptCount val="20"/>
                <c:pt idx="0">
                  <c:v>0.0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0.296666666865333</c:v>
                </c:pt>
                <c:pt idx="5">
                  <c:v>0.02</c:v>
                </c:pt>
                <c:pt idx="6">
                  <c:v>0.533333333333333</c:v>
                </c:pt>
                <c:pt idx="7">
                  <c:v>0.4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0.260000000397333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0.680000007152667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000032"/>
        <c:axId val="-2045292256"/>
      </c:scatterChart>
      <c:valAx>
        <c:axId val="-204500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292256"/>
        <c:crosses val="autoZero"/>
        <c:crossBetween val="midCat"/>
      </c:valAx>
      <c:valAx>
        <c:axId val="-2045292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000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MASTER_DATA_2!$FS$3:$FS$22</c:f>
              <c:numCache>
                <c:formatCode>General</c:formatCode>
                <c:ptCount val="20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-1.0</c:v>
                </c:pt>
                <c:pt idx="6">
                  <c:v>9.0</c:v>
                </c:pt>
                <c:pt idx="7">
                  <c:v>7.0</c:v>
                </c:pt>
                <c:pt idx="8">
                  <c:v>1.0</c:v>
                </c:pt>
                <c:pt idx="9">
                  <c:v>10.0</c:v>
                </c:pt>
                <c:pt idx="10">
                  <c:v>1.0</c:v>
                </c:pt>
                <c:pt idx="11">
                  <c:v>2.0</c:v>
                </c:pt>
                <c:pt idx="12">
                  <c:v>-1.0</c:v>
                </c:pt>
                <c:pt idx="13">
                  <c:v>-6.0</c:v>
                </c:pt>
                <c:pt idx="14">
                  <c:v>12.0</c:v>
                </c:pt>
                <c:pt idx="15">
                  <c:v>-16.0</c:v>
                </c:pt>
                <c:pt idx="16">
                  <c:v>0.0</c:v>
                </c:pt>
                <c:pt idx="17">
                  <c:v>1.0</c:v>
                </c:pt>
                <c:pt idx="18">
                  <c:v>8.0</c:v>
                </c:pt>
                <c:pt idx="19">
                  <c:v>5.0</c:v>
                </c:pt>
              </c:numCache>
            </c:numRef>
          </c:xVal>
          <c:yVal>
            <c:numRef>
              <c:f>MASTER_DATA_2!$GH$3:$GH$22</c:f>
              <c:numCache>
                <c:formatCode>General</c:formatCode>
                <c:ptCount val="20"/>
                <c:pt idx="0">
                  <c:v>9.0</c:v>
                </c:pt>
                <c:pt idx="1">
                  <c:v>5.0</c:v>
                </c:pt>
                <c:pt idx="2">
                  <c:v>15.0</c:v>
                </c:pt>
                <c:pt idx="3">
                  <c:v>29.0</c:v>
                </c:pt>
                <c:pt idx="4">
                  <c:v>21.0</c:v>
                </c:pt>
                <c:pt idx="5">
                  <c:v>0.0</c:v>
                </c:pt>
                <c:pt idx="6">
                  <c:v>6.0</c:v>
                </c:pt>
                <c:pt idx="7">
                  <c:v>27.0</c:v>
                </c:pt>
                <c:pt idx="8">
                  <c:v>9.0</c:v>
                </c:pt>
                <c:pt idx="9">
                  <c:v>22.0</c:v>
                </c:pt>
                <c:pt idx="10">
                  <c:v>9.0</c:v>
                </c:pt>
                <c:pt idx="11">
                  <c:v>4.0</c:v>
                </c:pt>
                <c:pt idx="12">
                  <c:v>14.0</c:v>
                </c:pt>
                <c:pt idx="13">
                  <c:v>11.0</c:v>
                </c:pt>
                <c:pt idx="14">
                  <c:v>22.0</c:v>
                </c:pt>
                <c:pt idx="15">
                  <c:v>9.0</c:v>
                </c:pt>
                <c:pt idx="16">
                  <c:v>19.0</c:v>
                </c:pt>
                <c:pt idx="17">
                  <c:v>13.0</c:v>
                </c:pt>
                <c:pt idx="18">
                  <c:v>17.0</c:v>
                </c:pt>
                <c:pt idx="19">
                  <c:v>14.0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622448"/>
        <c:axId val="-2045619872"/>
      </c:scatterChart>
      <c:valAx>
        <c:axId val="-20456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619872"/>
        <c:crosses val="autoZero"/>
        <c:crossBetween val="midCat"/>
      </c:valAx>
      <c:valAx>
        <c:axId val="-2045619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622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MASTER_DATA_2!$FL$29:$FL$47</c:f>
              <c:numCache>
                <c:formatCode>General</c:formatCode>
                <c:ptCount val="19"/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-1.0</c:v>
                </c:pt>
                <c:pt idx="6">
                  <c:v>3.0</c:v>
                </c:pt>
                <c:pt idx="7">
                  <c:v>0.0</c:v>
                </c:pt>
                <c:pt idx="8">
                  <c:v>2.0</c:v>
                </c:pt>
                <c:pt idx="9">
                  <c:v>2.0</c:v>
                </c:pt>
                <c:pt idx="10">
                  <c:v>0.0</c:v>
                </c:pt>
                <c:pt idx="11">
                  <c:v>2.0</c:v>
                </c:pt>
                <c:pt idx="12">
                  <c:v>1.0</c:v>
                </c:pt>
                <c:pt idx="13">
                  <c:v>4.0</c:v>
                </c:pt>
                <c:pt idx="14">
                  <c:v>0.0</c:v>
                </c:pt>
                <c:pt idx="15">
                  <c:v>4.0</c:v>
                </c:pt>
                <c:pt idx="16">
                  <c:v>7.0</c:v>
                </c:pt>
                <c:pt idx="17">
                  <c:v>3.0</c:v>
                </c:pt>
                <c:pt idx="18">
                  <c:v>3.0</c:v>
                </c:pt>
              </c:numCache>
            </c:numRef>
          </c:xVal>
          <c:yVal>
            <c:numRef>
              <c:f>MASTER_DATA_2!$FS$29:$FS$47</c:f>
              <c:numCache>
                <c:formatCode>General</c:formatCode>
                <c:ptCount val="19"/>
                <c:pt idx="0">
                  <c:v>0.0</c:v>
                </c:pt>
                <c:pt idx="1">
                  <c:v>0.226666666666667</c:v>
                </c:pt>
                <c:pt idx="2">
                  <c:v>0.0666666666666667</c:v>
                </c:pt>
                <c:pt idx="3">
                  <c:v>0.488333326143413</c:v>
                </c:pt>
                <c:pt idx="4">
                  <c:v>0.501666670044167</c:v>
                </c:pt>
                <c:pt idx="5">
                  <c:v>0.0233333333333333</c:v>
                </c:pt>
                <c:pt idx="6">
                  <c:v>0.02</c:v>
                </c:pt>
                <c:pt idx="7">
                  <c:v>0.0</c:v>
                </c:pt>
                <c:pt idx="8">
                  <c:v>0.253333333333333</c:v>
                </c:pt>
                <c:pt idx="9">
                  <c:v>0.0249999996666667</c:v>
                </c:pt>
                <c:pt idx="10">
                  <c:v>0.0</c:v>
                </c:pt>
                <c:pt idx="11">
                  <c:v>0.2633333302415</c:v>
                </c:pt>
                <c:pt idx="12">
                  <c:v>0.1899999997889</c:v>
                </c:pt>
                <c:pt idx="13">
                  <c:v>0.141666669833333</c:v>
                </c:pt>
                <c:pt idx="14">
                  <c:v>0.141666667</c:v>
                </c:pt>
                <c:pt idx="15">
                  <c:v>0.0199999996666667</c:v>
                </c:pt>
                <c:pt idx="16">
                  <c:v>0.005</c:v>
                </c:pt>
                <c:pt idx="17">
                  <c:v>0.221666666666667</c:v>
                </c:pt>
                <c:pt idx="18">
                  <c:v>0.0983333320667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568608"/>
        <c:axId val="-2045552496"/>
      </c:scatterChart>
      <c:valAx>
        <c:axId val="-204556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552496"/>
        <c:crosses val="autoZero"/>
        <c:crossBetween val="midCat"/>
      </c:valAx>
      <c:valAx>
        <c:axId val="-2045552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568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MASTER_DATA_2!$FK$50:$FK$67</c:f>
              <c:numCache>
                <c:formatCode>General</c:formatCode>
                <c:ptCount val="18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9.0</c:v>
                </c:pt>
                <c:pt idx="6">
                  <c:v>1.0</c:v>
                </c:pt>
                <c:pt idx="7">
                  <c:v>10.0</c:v>
                </c:pt>
                <c:pt idx="8">
                  <c:v>1.0</c:v>
                </c:pt>
                <c:pt idx="9">
                  <c:v>2.0</c:v>
                </c:pt>
                <c:pt idx="10">
                  <c:v>-1.0</c:v>
                </c:pt>
                <c:pt idx="11">
                  <c:v>-6.0</c:v>
                </c:pt>
                <c:pt idx="12">
                  <c:v>12.0</c:v>
                </c:pt>
                <c:pt idx="13">
                  <c:v>-16.0</c:v>
                </c:pt>
                <c:pt idx="14">
                  <c:v>0.0</c:v>
                </c:pt>
                <c:pt idx="15">
                  <c:v>1.0</c:v>
                </c:pt>
                <c:pt idx="16">
                  <c:v>8.0</c:v>
                </c:pt>
                <c:pt idx="17">
                  <c:v>5.0</c:v>
                </c:pt>
              </c:numCache>
            </c:numRef>
          </c:xVal>
          <c:yVal>
            <c:numRef>
              <c:f>MASTER_DATA_2!$FM$50:$FM$67</c:f>
              <c:numCache>
                <c:formatCode>General</c:formatCode>
                <c:ptCount val="18"/>
                <c:pt idx="0">
                  <c:v>20.0</c:v>
                </c:pt>
                <c:pt idx="1">
                  <c:v>33.0</c:v>
                </c:pt>
                <c:pt idx="2">
                  <c:v>35.0</c:v>
                </c:pt>
                <c:pt idx="3">
                  <c:v>35.0</c:v>
                </c:pt>
                <c:pt idx="4">
                  <c:v>27.0</c:v>
                </c:pt>
                <c:pt idx="5">
                  <c:v>33.0</c:v>
                </c:pt>
                <c:pt idx="6">
                  <c:v>26.0</c:v>
                </c:pt>
                <c:pt idx="7">
                  <c:v>29.0</c:v>
                </c:pt>
                <c:pt idx="8">
                  <c:v>28.0</c:v>
                </c:pt>
                <c:pt idx="9">
                  <c:v>23.0</c:v>
                </c:pt>
                <c:pt idx="10">
                  <c:v>29.0</c:v>
                </c:pt>
                <c:pt idx="11">
                  <c:v>26.0</c:v>
                </c:pt>
                <c:pt idx="12">
                  <c:v>38.0</c:v>
                </c:pt>
                <c:pt idx="13">
                  <c:v>24.0</c:v>
                </c:pt>
                <c:pt idx="14">
                  <c:v>27.0</c:v>
                </c:pt>
                <c:pt idx="15">
                  <c:v>33.0</c:v>
                </c:pt>
                <c:pt idx="16">
                  <c:v>27.0</c:v>
                </c:pt>
                <c:pt idx="17">
                  <c:v>29.0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927584"/>
        <c:axId val="-2044924832"/>
      </c:scatterChart>
      <c:valAx>
        <c:axId val="-204492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4924832"/>
        <c:crosses val="autoZero"/>
        <c:crossBetween val="midCat"/>
      </c:valAx>
      <c:valAx>
        <c:axId val="-204492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4927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111943132108486"/>
                  <c:y val="-0.317810586176728"/>
                </c:manualLayout>
              </c:layout>
              <c:numFmt formatCode="General" sourceLinked="0"/>
            </c:trendlineLbl>
          </c:trendline>
          <c:xVal>
            <c:numRef>
              <c:f>MASTER_DATA_2!$HN$3:$HN$22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xVal>
          <c:yVal>
            <c:numRef>
              <c:f>MASTER_DATA_2!$JN$3:$JN$22</c:f>
              <c:numCache>
                <c:formatCode>General</c:formatCode>
                <c:ptCount val="20"/>
                <c:pt idx="0">
                  <c:v>0.244943388843369</c:v>
                </c:pt>
                <c:pt idx="1">
                  <c:v>0.277039963092758</c:v>
                </c:pt>
                <c:pt idx="2">
                  <c:v>0.532518370552379</c:v>
                </c:pt>
                <c:pt idx="3">
                  <c:v>0.17584367794812</c:v>
                </c:pt>
                <c:pt idx="5">
                  <c:v>0.582564703934379</c:v>
                </c:pt>
                <c:pt idx="6">
                  <c:v>0.230744340953954</c:v>
                </c:pt>
                <c:pt idx="8">
                  <c:v>0.57132012192062</c:v>
                </c:pt>
                <c:pt idx="11">
                  <c:v>0.418985966484296</c:v>
                </c:pt>
                <c:pt idx="12">
                  <c:v>0.221697908280173</c:v>
                </c:pt>
                <c:pt idx="13">
                  <c:v>0.0605040596067136</c:v>
                </c:pt>
                <c:pt idx="15">
                  <c:v>0.422493968190907</c:v>
                </c:pt>
                <c:pt idx="17">
                  <c:v>0.794137522948122</c:v>
                </c:pt>
                <c:pt idx="18">
                  <c:v>0.176825948678836</c:v>
                </c:pt>
                <c:pt idx="19">
                  <c:v>0.63935512278022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324800"/>
        <c:axId val="-2045431792"/>
      </c:scatterChart>
      <c:valAx>
        <c:axId val="-204532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431792"/>
        <c:crosses val="autoZero"/>
        <c:crossBetween val="midCat"/>
      </c:valAx>
      <c:valAx>
        <c:axId val="-2045431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32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88492563429571"/>
                  <c:y val="-0.04387941090697"/>
                </c:manualLayout>
              </c:layout>
              <c:numFmt formatCode="General" sourceLinked="0"/>
            </c:trendlineLbl>
          </c:trendline>
          <c:xVal>
            <c:numRef>
              <c:f>MASTER_DATA_2!$FM$3:$FM$22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461696"/>
        <c:axId val="-2045458944"/>
      </c:scatterChart>
      <c:valAx>
        <c:axId val="-204546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458944"/>
        <c:crosses val="autoZero"/>
        <c:crossBetween val="midCat"/>
      </c:valAx>
      <c:valAx>
        <c:axId val="-2045458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5461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516944"/>
        <c:axId val="-2045514192"/>
      </c:scatterChart>
      <c:valAx>
        <c:axId val="-204551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514192"/>
        <c:crosses val="autoZero"/>
        <c:crossBetween val="midCat"/>
      </c:valAx>
      <c:valAx>
        <c:axId val="-204551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516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159720034995626"/>
                  <c:y val="-0.0823067949839603"/>
                </c:manualLayout>
              </c:layout>
              <c:numFmt formatCode="General" sourceLinked="0"/>
            </c:trendlineLbl>
          </c:trendline>
          <c:xVal>
            <c:numRef>
              <c:f>MASTER_DATA_2!$CL$3:$CL$22</c:f>
              <c:numCache>
                <c:formatCode>General</c:formatCode>
                <c:ptCount val="20"/>
                <c:pt idx="0">
                  <c:v>1.663049578</c:v>
                </c:pt>
                <c:pt idx="1">
                  <c:v>1.938641179</c:v>
                </c:pt>
                <c:pt idx="2">
                  <c:v>0.4313899839</c:v>
                </c:pt>
                <c:pt idx="3">
                  <c:v>2.235626306</c:v>
                </c:pt>
                <c:pt idx="5">
                  <c:v>-0.9377022725</c:v>
                </c:pt>
                <c:pt idx="8">
                  <c:v>1.468671265</c:v>
                </c:pt>
                <c:pt idx="9">
                  <c:v>1.085623066</c:v>
                </c:pt>
                <c:pt idx="10">
                  <c:v>1.03214019</c:v>
                </c:pt>
                <c:pt idx="11">
                  <c:v>1.924846811</c:v>
                </c:pt>
                <c:pt idx="12">
                  <c:v>2.529154576</c:v>
                </c:pt>
                <c:pt idx="14">
                  <c:v>1.388251217</c:v>
                </c:pt>
                <c:pt idx="16">
                  <c:v>1.935950548</c:v>
                </c:pt>
                <c:pt idx="17">
                  <c:v>1.890021923</c:v>
                </c:pt>
                <c:pt idx="18">
                  <c:v>2.482854204</c:v>
                </c:pt>
                <c:pt idx="19">
                  <c:v>0.8911866177</c:v>
                </c:pt>
              </c:numCache>
            </c:numRef>
          </c:xVal>
          <c:yVal>
            <c:numRef>
              <c:f>MASTER_DATA_2!$FM$3:$FM$22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695936"/>
        <c:axId val="-2045693184"/>
      </c:scatterChart>
      <c:valAx>
        <c:axId val="-204569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693184"/>
        <c:crosses val="autoZero"/>
        <c:crossBetween val="midCat"/>
      </c:valAx>
      <c:valAx>
        <c:axId val="-204569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695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155505249343832"/>
                  <c:y val="-0.361603966170895"/>
                </c:manualLayout>
              </c:layout>
              <c:numFmt formatCode="General" sourceLinked="0"/>
            </c:trendlineLbl>
          </c:trendline>
          <c:xVal>
            <c:numRef>
              <c:f>MASTER_DATA_2!$CM$3:$CM$22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MASTER_DATA_2!$FP$3:$FP$22</c:f>
              <c:numCache>
                <c:formatCode>General</c:formatCode>
                <c:ptCount val="20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0.29000000034768</c:v>
                </c:pt>
                <c:pt idx="5">
                  <c:v>0.02</c:v>
                </c:pt>
                <c:pt idx="6">
                  <c:v>0.533333333333333</c:v>
                </c:pt>
                <c:pt idx="7">
                  <c:v>0.386666666666667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0.25333333387968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0.663333340819333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724416"/>
        <c:axId val="-2045710640"/>
      </c:scatterChart>
      <c:valAx>
        <c:axId val="-204572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710640"/>
        <c:crosses val="autoZero"/>
        <c:crossBetween val="midCat"/>
      </c:valAx>
      <c:valAx>
        <c:axId val="-204571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724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MASTER_DATA_2!$FN$3:$FN$22</c:f>
              <c:numCache>
                <c:formatCode>General</c:formatCode>
                <c:ptCount val="20"/>
                <c:pt idx="0">
                  <c:v>0.986666679382333</c:v>
                </c:pt>
                <c:pt idx="1">
                  <c:v>0.55</c:v>
                </c:pt>
                <c:pt idx="2">
                  <c:v>0.21</c:v>
                </c:pt>
                <c:pt idx="3">
                  <c:v>1.0</c:v>
                </c:pt>
                <c:pt idx="4">
                  <c:v>0.733333329359667</c:v>
                </c:pt>
                <c:pt idx="5">
                  <c:v>0.02</c:v>
                </c:pt>
                <c:pt idx="6">
                  <c:v>0.94</c:v>
                </c:pt>
                <c:pt idx="7">
                  <c:v>0.42666666</c:v>
                </c:pt>
                <c:pt idx="8">
                  <c:v>1.0</c:v>
                </c:pt>
                <c:pt idx="9">
                  <c:v>0.963333333333333</c:v>
                </c:pt>
                <c:pt idx="10">
                  <c:v>0.560000002333333</c:v>
                </c:pt>
                <c:pt idx="11">
                  <c:v>0.986666666666667</c:v>
                </c:pt>
                <c:pt idx="12">
                  <c:v>0.84999999776468</c:v>
                </c:pt>
                <c:pt idx="13">
                  <c:v>0.986666679382333</c:v>
                </c:pt>
                <c:pt idx="14">
                  <c:v>0.583333343</c:v>
                </c:pt>
                <c:pt idx="15">
                  <c:v>0.566666672666667</c:v>
                </c:pt>
                <c:pt idx="16">
                  <c:v>0.243333333333333</c:v>
                </c:pt>
                <c:pt idx="17">
                  <c:v>0.463333325666667</c:v>
                </c:pt>
                <c:pt idx="18">
                  <c:v>1.0</c:v>
                </c:pt>
                <c:pt idx="19">
                  <c:v>0.376666664878667</c:v>
                </c:pt>
              </c:numCache>
            </c:numRef>
          </c:xVal>
          <c:yVal>
            <c:numRef>
              <c:f>MASTER_DATA_2!$JO$3:$JO$22</c:f>
              <c:numCache>
                <c:formatCode>General</c:formatCode>
                <c:ptCount val="20"/>
                <c:pt idx="0">
                  <c:v>0.755056611156631</c:v>
                </c:pt>
                <c:pt idx="1">
                  <c:v>0.722960036907242</c:v>
                </c:pt>
                <c:pt idx="2">
                  <c:v>0.467481629447621</c:v>
                </c:pt>
                <c:pt idx="3">
                  <c:v>0.82415632205188</c:v>
                </c:pt>
                <c:pt idx="5">
                  <c:v>0.417435296065621</c:v>
                </c:pt>
                <c:pt idx="6">
                  <c:v>0.769255659046046</c:v>
                </c:pt>
                <c:pt idx="8">
                  <c:v>0.42867987807938</c:v>
                </c:pt>
                <c:pt idx="11">
                  <c:v>0.581014033515704</c:v>
                </c:pt>
                <c:pt idx="12">
                  <c:v>0.778302091719827</c:v>
                </c:pt>
                <c:pt idx="13">
                  <c:v>0.939495940393286</c:v>
                </c:pt>
                <c:pt idx="15">
                  <c:v>0.577506031809093</c:v>
                </c:pt>
                <c:pt idx="17">
                  <c:v>0.205862477051878</c:v>
                </c:pt>
                <c:pt idx="18">
                  <c:v>0.823174051321164</c:v>
                </c:pt>
                <c:pt idx="19">
                  <c:v>0.36064487721978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847632"/>
        <c:axId val="-2044844880"/>
      </c:scatterChart>
      <c:valAx>
        <c:axId val="-204484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4844880"/>
        <c:crosses val="autoZero"/>
        <c:crossBetween val="midCat"/>
      </c:valAx>
      <c:valAx>
        <c:axId val="-204484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4847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88862642169729"/>
                  <c:y val="-0.0297944006999125"/>
                </c:manualLayout>
              </c:layout>
              <c:numFmt formatCode="General" sourceLinked="0"/>
            </c:trendlineLbl>
          </c:trendline>
          <c:xVal>
            <c:numRef>
              <c:f>MASTER_DATA_2!$FM$3:$FM$22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560704"/>
        <c:axId val="-2045713312"/>
      </c:scatterChart>
      <c:valAx>
        <c:axId val="-204556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713312"/>
        <c:crosses val="autoZero"/>
        <c:crossBetween val="midCat"/>
      </c:valAx>
      <c:valAx>
        <c:axId val="-20457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560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MASTER_DATA_2!$CN$3:$CN$22</c:f>
              <c:numCache>
                <c:formatCode>General</c:formatCode>
                <c:ptCount val="20"/>
                <c:pt idx="0">
                  <c:v>-0.187242614</c:v>
                </c:pt>
                <c:pt idx="1">
                  <c:v>-0.5019366934</c:v>
                </c:pt>
                <c:pt idx="2">
                  <c:v>-0.04592407102</c:v>
                </c:pt>
                <c:pt idx="3">
                  <c:v>-0.2872757602</c:v>
                </c:pt>
                <c:pt idx="5">
                  <c:v>-0.4359304244</c:v>
                </c:pt>
                <c:pt idx="8">
                  <c:v>-0.2043187788</c:v>
                </c:pt>
                <c:pt idx="9">
                  <c:v>-0.736235746</c:v>
                </c:pt>
                <c:pt idx="10">
                  <c:v>-0.173692225</c:v>
                </c:pt>
                <c:pt idx="11">
                  <c:v>-0.5096687862</c:v>
                </c:pt>
                <c:pt idx="12">
                  <c:v>-0.1614287809</c:v>
                </c:pt>
                <c:pt idx="14">
                  <c:v>-0.2362861718</c:v>
                </c:pt>
                <c:pt idx="16">
                  <c:v>-0.676499765</c:v>
                </c:pt>
                <c:pt idx="17">
                  <c:v>-0.7177722454</c:v>
                </c:pt>
                <c:pt idx="18">
                  <c:v>-0.3972295963</c:v>
                </c:pt>
                <c:pt idx="19">
                  <c:v>-0.3814598523</c:v>
                </c:pt>
              </c:numCache>
            </c:numRef>
          </c:xVal>
          <c:yVal>
            <c:numRef>
              <c:f>MASTER_DATA_2!$GS$3:$GS$22</c:f>
              <c:numCache>
                <c:formatCode>General</c:formatCode>
                <c:ptCount val="20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0.230000004172</c:v>
                </c:pt>
                <c:pt idx="5">
                  <c:v>0.08</c:v>
                </c:pt>
                <c:pt idx="6">
                  <c:v>0.8</c:v>
                </c:pt>
                <c:pt idx="7">
                  <c:v>1.0</c:v>
                </c:pt>
                <c:pt idx="8">
                  <c:v>0.25</c:v>
                </c:pt>
                <c:pt idx="9">
                  <c:v>0.0</c:v>
                </c:pt>
                <c:pt idx="10">
                  <c:v>0.10000000149</c:v>
                </c:pt>
                <c:pt idx="11">
                  <c:v>0.11</c:v>
                </c:pt>
                <c:pt idx="12">
                  <c:v>0.0</c:v>
                </c:pt>
                <c:pt idx="13">
                  <c:v>1.0</c:v>
                </c:pt>
                <c:pt idx="14">
                  <c:v>0.119999997318</c:v>
                </c:pt>
                <c:pt idx="15">
                  <c:v>0.839999973774</c:v>
                </c:pt>
                <c:pt idx="16">
                  <c:v>1.0</c:v>
                </c:pt>
                <c:pt idx="17">
                  <c:v>0.839999973774</c:v>
                </c:pt>
                <c:pt idx="18">
                  <c:v>0.94</c:v>
                </c:pt>
                <c:pt idx="19">
                  <c:v>0.589999973774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208480"/>
        <c:axId val="-2045070480"/>
      </c:scatterChart>
      <c:valAx>
        <c:axId val="-204520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070480"/>
        <c:crosses val="autoZero"/>
        <c:crossBetween val="midCat"/>
      </c:valAx>
      <c:valAx>
        <c:axId val="-204507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208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411279527559055"/>
                  <c:y val="-0.0774208953047536"/>
                </c:manualLayout>
              </c:layout>
              <c:numFmt formatCode="General" sourceLinked="0"/>
            </c:trendlineLbl>
          </c:trendline>
          <c:xVal>
            <c:numRef>
              <c:f>MASTER_DATA_2!$FM$3:$FM$22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MASTER_DATA_2!$JC$3:$JC$22</c:f>
              <c:numCache>
                <c:formatCode>General</c:formatCode>
                <c:ptCount val="20"/>
                <c:pt idx="0">
                  <c:v>0.0976272073570839</c:v>
                </c:pt>
                <c:pt idx="1">
                  <c:v>0.250672046283108</c:v>
                </c:pt>
                <c:pt idx="2">
                  <c:v>0.0107355826544349</c:v>
                </c:pt>
                <c:pt idx="3">
                  <c:v>0.0805998143704516</c:v>
                </c:pt>
                <c:pt idx="5">
                  <c:v>0.0909813377649808</c:v>
                </c:pt>
                <c:pt idx="8">
                  <c:v>0.0871401532867571</c:v>
                </c:pt>
                <c:pt idx="9">
                  <c:v>0.192809585135778</c:v>
                </c:pt>
                <c:pt idx="10">
                  <c:v>0.00110713429205333</c:v>
                </c:pt>
                <c:pt idx="11">
                  <c:v>0.105912627853503</c:v>
                </c:pt>
                <c:pt idx="12">
                  <c:v>0.153969691040202</c:v>
                </c:pt>
                <c:pt idx="14">
                  <c:v>0.133354909537211</c:v>
                </c:pt>
                <c:pt idx="16">
                  <c:v>0.0412276565688444</c:v>
                </c:pt>
                <c:pt idx="17">
                  <c:v>0.10434079898166</c:v>
                </c:pt>
                <c:pt idx="18">
                  <c:v>0.168302579863211</c:v>
                </c:pt>
                <c:pt idx="19">
                  <c:v>0.0671568113492176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742496"/>
        <c:axId val="-2045729280"/>
      </c:scatterChart>
      <c:valAx>
        <c:axId val="-204474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729280"/>
        <c:crosses val="autoZero"/>
        <c:crossBetween val="midCat"/>
      </c:valAx>
      <c:valAx>
        <c:axId val="-2045729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4742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48195538057743"/>
                  <c:y val="-0.168585228929717"/>
                </c:manualLayout>
              </c:layout>
              <c:numFmt formatCode="General" sourceLinked="0"/>
            </c:trendlineLbl>
          </c:trendline>
          <c:xVal>
            <c:numRef>
              <c:f>MASTER_DATA_2!$HM$3:$HM$22</c:f>
              <c:numCache>
                <c:formatCode>General</c:formatCode>
                <c:ptCount val="20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5">
                  <c:v>20.2705</c:v>
                </c:pt>
                <c:pt idx="8">
                  <c:v>20.5695</c:v>
                </c:pt>
                <c:pt idx="9">
                  <c:v>23.38190000000001</c:v>
                </c:pt>
                <c:pt idx="10">
                  <c:v>0.260000000000005</c:v>
                </c:pt>
                <c:pt idx="11">
                  <c:v>16.9892</c:v>
                </c:pt>
                <c:pt idx="12">
                  <c:v>29.0885</c:v>
                </c:pt>
                <c:pt idx="14">
                  <c:v>32.369</c:v>
                </c:pt>
                <c:pt idx="16">
                  <c:v>8.821299999999993</c:v>
                </c:pt>
                <c:pt idx="17">
                  <c:v>13.8231</c:v>
                </c:pt>
                <c:pt idx="18">
                  <c:v>43.976</c:v>
                </c:pt>
                <c:pt idx="19">
                  <c:v>15.854</c:v>
                </c:pt>
              </c:numCache>
            </c:numRef>
          </c:xVal>
          <c:yVal>
            <c:numRef>
              <c:f>MASTER_DATA_2!$KY$3:$KY$22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5768016"/>
        <c:axId val="-2045765264"/>
      </c:scatterChart>
      <c:valAx>
        <c:axId val="-204576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5765264"/>
        <c:crosses val="autoZero"/>
        <c:crossBetween val="midCat"/>
      </c:valAx>
      <c:valAx>
        <c:axId val="-204576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5768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62772747156605"/>
                  <c:y val="-0.481974336541266"/>
                </c:manualLayout>
              </c:layout>
              <c:numFmt formatCode="General" sourceLinked="0"/>
            </c:trendlineLbl>
          </c:trendline>
          <c:xVal>
            <c:numRef>
              <c:f>MASTER_DATA_2!$CM$3:$CM$22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MASTER_DATA_2!$FP$3:$FP$22</c:f>
              <c:numCache>
                <c:formatCode>General</c:formatCode>
                <c:ptCount val="20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0.29000000034768</c:v>
                </c:pt>
                <c:pt idx="5">
                  <c:v>0.02</c:v>
                </c:pt>
                <c:pt idx="6">
                  <c:v>0.533333333333333</c:v>
                </c:pt>
                <c:pt idx="7">
                  <c:v>0.386666666666667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0.25333333387968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0.663333340819333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182800"/>
        <c:axId val="-2043180096"/>
      </c:scatterChart>
      <c:valAx>
        <c:axId val="-204318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3180096"/>
        <c:crosses val="autoZero"/>
        <c:crossBetween val="midCat"/>
      </c:valAx>
      <c:valAx>
        <c:axId val="-204318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3182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351372265966754"/>
                  <c:y val="-0.142989574219889"/>
                </c:manualLayout>
              </c:layout>
              <c:numFmt formatCode="General" sourceLinked="0"/>
            </c:trendlineLbl>
          </c:trendline>
          <c:xVal>
            <c:numRef>
              <c:f>MASTER_DATA_2!$CN$3:$CN$22</c:f>
              <c:numCache>
                <c:formatCode>General</c:formatCode>
                <c:ptCount val="20"/>
                <c:pt idx="0">
                  <c:v>-0.187242614</c:v>
                </c:pt>
                <c:pt idx="1">
                  <c:v>-0.5019366934</c:v>
                </c:pt>
                <c:pt idx="2">
                  <c:v>-0.04592407102</c:v>
                </c:pt>
                <c:pt idx="3">
                  <c:v>-0.2872757602</c:v>
                </c:pt>
                <c:pt idx="5">
                  <c:v>-0.4359304244</c:v>
                </c:pt>
                <c:pt idx="8">
                  <c:v>-0.2043187788</c:v>
                </c:pt>
                <c:pt idx="9">
                  <c:v>-0.736235746</c:v>
                </c:pt>
                <c:pt idx="10">
                  <c:v>-0.173692225</c:v>
                </c:pt>
                <c:pt idx="11">
                  <c:v>-0.5096687862</c:v>
                </c:pt>
                <c:pt idx="12">
                  <c:v>-0.1614287809</c:v>
                </c:pt>
                <c:pt idx="14">
                  <c:v>-0.2362861718</c:v>
                </c:pt>
                <c:pt idx="16">
                  <c:v>-0.676499765</c:v>
                </c:pt>
                <c:pt idx="17">
                  <c:v>-0.7177722454</c:v>
                </c:pt>
                <c:pt idx="18">
                  <c:v>-0.3972295963</c:v>
                </c:pt>
                <c:pt idx="19">
                  <c:v>-0.3814598523</c:v>
                </c:pt>
              </c:numCache>
            </c:numRef>
          </c:xVal>
          <c:yVal>
            <c:numRef>
              <c:f>MASTER_DATA_2!$DL$3:$DL$22</c:f>
              <c:numCache>
                <c:formatCode>General</c:formatCode>
                <c:ptCount val="20"/>
                <c:pt idx="0">
                  <c:v>-0.0478184850000005</c:v>
                </c:pt>
                <c:pt idx="1">
                  <c:v>-6.506975659999998</c:v>
                </c:pt>
                <c:pt idx="2">
                  <c:v>-3.068867618999999</c:v>
                </c:pt>
                <c:pt idx="3">
                  <c:v>-6.685211805</c:v>
                </c:pt>
                <c:pt idx="5">
                  <c:v>-5.712171469999999</c:v>
                </c:pt>
                <c:pt idx="8">
                  <c:v>-1.764571480000001</c:v>
                </c:pt>
                <c:pt idx="9">
                  <c:v>-7.2003302645</c:v>
                </c:pt>
                <c:pt idx="10">
                  <c:v>-5.575412363000002</c:v>
                </c:pt>
                <c:pt idx="11">
                  <c:v>-8.041392715000001</c:v>
                </c:pt>
                <c:pt idx="12">
                  <c:v>2.751430874</c:v>
                </c:pt>
                <c:pt idx="14">
                  <c:v>3.671068665</c:v>
                </c:pt>
                <c:pt idx="16">
                  <c:v>-4.904522840000002</c:v>
                </c:pt>
                <c:pt idx="17">
                  <c:v>-8.494767526999998</c:v>
                </c:pt>
                <c:pt idx="18">
                  <c:v>-4.633843721</c:v>
                </c:pt>
                <c:pt idx="19">
                  <c:v>-3.258010079999998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153792"/>
        <c:axId val="-2043151088"/>
      </c:scatterChart>
      <c:valAx>
        <c:axId val="-204315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3151088"/>
        <c:crosses val="autoZero"/>
        <c:crossBetween val="midCat"/>
      </c:valAx>
      <c:valAx>
        <c:axId val="-2043151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315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MASTER_DATA_2_fig3!$FS$3:$FS$22</c:f>
              <c:numCache>
                <c:formatCode>General</c:formatCode>
                <c:ptCount val="20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-1.0</c:v>
                </c:pt>
                <c:pt idx="6">
                  <c:v>9.0</c:v>
                </c:pt>
                <c:pt idx="7">
                  <c:v>7.0</c:v>
                </c:pt>
                <c:pt idx="8">
                  <c:v>1.0</c:v>
                </c:pt>
                <c:pt idx="9">
                  <c:v>10.0</c:v>
                </c:pt>
                <c:pt idx="10">
                  <c:v>1.0</c:v>
                </c:pt>
                <c:pt idx="11">
                  <c:v>2.0</c:v>
                </c:pt>
                <c:pt idx="12">
                  <c:v>-1.0</c:v>
                </c:pt>
                <c:pt idx="13">
                  <c:v>-6.0</c:v>
                </c:pt>
                <c:pt idx="14">
                  <c:v>12.0</c:v>
                </c:pt>
                <c:pt idx="15">
                  <c:v>-16.0</c:v>
                </c:pt>
                <c:pt idx="16">
                  <c:v>0.0</c:v>
                </c:pt>
                <c:pt idx="17">
                  <c:v>1.0</c:v>
                </c:pt>
                <c:pt idx="18">
                  <c:v>8.0</c:v>
                </c:pt>
                <c:pt idx="19">
                  <c:v>5.0</c:v>
                </c:pt>
              </c:numCache>
            </c:numRef>
          </c:xVal>
          <c:yVal>
            <c:numRef>
              <c:f>MASTER_DATA_2_fig3!$GH$3:$GH$22</c:f>
              <c:numCache>
                <c:formatCode>General</c:formatCode>
                <c:ptCount val="20"/>
                <c:pt idx="0">
                  <c:v>9.0</c:v>
                </c:pt>
                <c:pt idx="1">
                  <c:v>5.0</c:v>
                </c:pt>
                <c:pt idx="2">
                  <c:v>15.0</c:v>
                </c:pt>
                <c:pt idx="3">
                  <c:v>29.0</c:v>
                </c:pt>
                <c:pt idx="4">
                  <c:v>21.0</c:v>
                </c:pt>
                <c:pt idx="5">
                  <c:v>0.0</c:v>
                </c:pt>
                <c:pt idx="6">
                  <c:v>6.0</c:v>
                </c:pt>
                <c:pt idx="7">
                  <c:v>27.0</c:v>
                </c:pt>
                <c:pt idx="8">
                  <c:v>9.0</c:v>
                </c:pt>
                <c:pt idx="9">
                  <c:v>22.0</c:v>
                </c:pt>
                <c:pt idx="10">
                  <c:v>9.0</c:v>
                </c:pt>
                <c:pt idx="11">
                  <c:v>4.0</c:v>
                </c:pt>
                <c:pt idx="12">
                  <c:v>14.0</c:v>
                </c:pt>
                <c:pt idx="13">
                  <c:v>11.0</c:v>
                </c:pt>
                <c:pt idx="14">
                  <c:v>22.0</c:v>
                </c:pt>
                <c:pt idx="15">
                  <c:v>9.0</c:v>
                </c:pt>
                <c:pt idx="16">
                  <c:v>19.0</c:v>
                </c:pt>
                <c:pt idx="17">
                  <c:v>13.0</c:v>
                </c:pt>
                <c:pt idx="18">
                  <c:v>17.0</c:v>
                </c:pt>
                <c:pt idx="19">
                  <c:v>14.0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086912"/>
        <c:axId val="-2043084208"/>
      </c:scatterChart>
      <c:valAx>
        <c:axId val="-204308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3084208"/>
        <c:crosses val="autoZero"/>
        <c:crossBetween val="midCat"/>
      </c:valAx>
      <c:valAx>
        <c:axId val="-2043084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3086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MASTER_DATA_2_fig3!$FL$29:$FL$47</c:f>
              <c:numCache>
                <c:formatCode>General</c:formatCode>
                <c:ptCount val="19"/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-1.0</c:v>
                </c:pt>
                <c:pt idx="6">
                  <c:v>3.0</c:v>
                </c:pt>
                <c:pt idx="7">
                  <c:v>0.0</c:v>
                </c:pt>
                <c:pt idx="8">
                  <c:v>2.0</c:v>
                </c:pt>
                <c:pt idx="9">
                  <c:v>2.0</c:v>
                </c:pt>
                <c:pt idx="10">
                  <c:v>0.0</c:v>
                </c:pt>
                <c:pt idx="11">
                  <c:v>2.0</c:v>
                </c:pt>
                <c:pt idx="12">
                  <c:v>1.0</c:v>
                </c:pt>
                <c:pt idx="13">
                  <c:v>4.0</c:v>
                </c:pt>
                <c:pt idx="14">
                  <c:v>0.0</c:v>
                </c:pt>
                <c:pt idx="15">
                  <c:v>4.0</c:v>
                </c:pt>
                <c:pt idx="16">
                  <c:v>7.0</c:v>
                </c:pt>
                <c:pt idx="17">
                  <c:v>3.0</c:v>
                </c:pt>
                <c:pt idx="18">
                  <c:v>3.0</c:v>
                </c:pt>
              </c:numCache>
            </c:numRef>
          </c:xVal>
          <c:yVal>
            <c:numRef>
              <c:f>MASTER_DATA_2_fig3!$FS$29:$FS$47</c:f>
              <c:numCache>
                <c:formatCode>General</c:formatCode>
                <c:ptCount val="19"/>
                <c:pt idx="0">
                  <c:v>0.0</c:v>
                </c:pt>
                <c:pt idx="1">
                  <c:v>0.226666666666667</c:v>
                </c:pt>
                <c:pt idx="2">
                  <c:v>0.0666666666666667</c:v>
                </c:pt>
                <c:pt idx="3">
                  <c:v>0.488333326143413</c:v>
                </c:pt>
                <c:pt idx="4">
                  <c:v>0.501666670044167</c:v>
                </c:pt>
                <c:pt idx="5">
                  <c:v>0.0233333333333333</c:v>
                </c:pt>
                <c:pt idx="6">
                  <c:v>0.02</c:v>
                </c:pt>
                <c:pt idx="7">
                  <c:v>0.0</c:v>
                </c:pt>
                <c:pt idx="8">
                  <c:v>0.253333333333333</c:v>
                </c:pt>
                <c:pt idx="9">
                  <c:v>0.0249999996666667</c:v>
                </c:pt>
                <c:pt idx="10">
                  <c:v>0.0</c:v>
                </c:pt>
                <c:pt idx="11">
                  <c:v>0.2633333302415</c:v>
                </c:pt>
                <c:pt idx="12">
                  <c:v>0.1899999997889</c:v>
                </c:pt>
                <c:pt idx="13">
                  <c:v>0.141666669833333</c:v>
                </c:pt>
                <c:pt idx="14">
                  <c:v>0.141666667</c:v>
                </c:pt>
                <c:pt idx="15">
                  <c:v>0.0199999996666667</c:v>
                </c:pt>
                <c:pt idx="16">
                  <c:v>0.005</c:v>
                </c:pt>
                <c:pt idx="17">
                  <c:v>0.221666666666667</c:v>
                </c:pt>
                <c:pt idx="18">
                  <c:v>0.0983333320667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056544"/>
        <c:axId val="-2043053904"/>
      </c:scatterChart>
      <c:valAx>
        <c:axId val="-204305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3053904"/>
        <c:crosses val="autoZero"/>
        <c:crossBetween val="midCat"/>
      </c:valAx>
      <c:valAx>
        <c:axId val="-2043053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3056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MASTER_DATA_2_fig3!$FK$50:$FK$67</c:f>
              <c:numCache>
                <c:formatCode>General</c:formatCode>
                <c:ptCount val="18"/>
                <c:pt idx="0">
                  <c:v>6.0</c:v>
                </c:pt>
                <c:pt idx="1">
                  <c:v>-2.0</c:v>
                </c:pt>
                <c:pt idx="2">
                  <c:v>8.0</c:v>
                </c:pt>
                <c:pt idx="3">
                  <c:v>13.0</c:v>
                </c:pt>
                <c:pt idx="4">
                  <c:v>2.0</c:v>
                </c:pt>
                <c:pt idx="5">
                  <c:v>9.0</c:v>
                </c:pt>
                <c:pt idx="6">
                  <c:v>1.0</c:v>
                </c:pt>
                <c:pt idx="7">
                  <c:v>10.0</c:v>
                </c:pt>
                <c:pt idx="8">
                  <c:v>1.0</c:v>
                </c:pt>
                <c:pt idx="9">
                  <c:v>2.0</c:v>
                </c:pt>
                <c:pt idx="10">
                  <c:v>-1.0</c:v>
                </c:pt>
                <c:pt idx="11">
                  <c:v>-6.0</c:v>
                </c:pt>
                <c:pt idx="12">
                  <c:v>12.0</c:v>
                </c:pt>
                <c:pt idx="13">
                  <c:v>-16.0</c:v>
                </c:pt>
                <c:pt idx="14">
                  <c:v>0.0</c:v>
                </c:pt>
                <c:pt idx="15">
                  <c:v>1.0</c:v>
                </c:pt>
                <c:pt idx="16">
                  <c:v>8.0</c:v>
                </c:pt>
                <c:pt idx="17">
                  <c:v>5.0</c:v>
                </c:pt>
              </c:numCache>
            </c:numRef>
          </c:xVal>
          <c:yVal>
            <c:numRef>
              <c:f>MASTER_DATA_2_fig3!$FM$50:$FM$67</c:f>
              <c:numCache>
                <c:formatCode>General</c:formatCode>
                <c:ptCount val="18"/>
                <c:pt idx="0">
                  <c:v>20.0</c:v>
                </c:pt>
                <c:pt idx="1">
                  <c:v>33.0</c:v>
                </c:pt>
                <c:pt idx="2">
                  <c:v>35.0</c:v>
                </c:pt>
                <c:pt idx="3">
                  <c:v>35.0</c:v>
                </c:pt>
                <c:pt idx="4">
                  <c:v>27.0</c:v>
                </c:pt>
                <c:pt idx="5">
                  <c:v>33.0</c:v>
                </c:pt>
                <c:pt idx="6">
                  <c:v>26.0</c:v>
                </c:pt>
                <c:pt idx="7">
                  <c:v>29.0</c:v>
                </c:pt>
                <c:pt idx="8">
                  <c:v>28.0</c:v>
                </c:pt>
                <c:pt idx="9">
                  <c:v>23.0</c:v>
                </c:pt>
                <c:pt idx="10">
                  <c:v>29.0</c:v>
                </c:pt>
                <c:pt idx="11">
                  <c:v>26.0</c:v>
                </c:pt>
                <c:pt idx="12">
                  <c:v>38.0</c:v>
                </c:pt>
                <c:pt idx="13">
                  <c:v>24.0</c:v>
                </c:pt>
                <c:pt idx="14">
                  <c:v>27.0</c:v>
                </c:pt>
                <c:pt idx="15">
                  <c:v>33.0</c:v>
                </c:pt>
                <c:pt idx="16">
                  <c:v>27.0</c:v>
                </c:pt>
                <c:pt idx="17">
                  <c:v>29.0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3027056"/>
        <c:axId val="-2043024416"/>
      </c:scatterChart>
      <c:valAx>
        <c:axId val="-204302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3024416"/>
        <c:crosses val="autoZero"/>
        <c:crossBetween val="midCat"/>
      </c:valAx>
      <c:valAx>
        <c:axId val="-204302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3027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111943132108486"/>
                  <c:y val="-0.317810586176728"/>
                </c:manualLayout>
              </c:layout>
              <c:numFmt formatCode="General" sourceLinked="0"/>
            </c:trendlineLbl>
          </c:trendline>
          <c:xVal>
            <c:numRef>
              <c:f>MASTER_DATA_2_fig3!$HN$3:$HN$22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xVal>
          <c:yVal>
            <c:numRef>
              <c:f>MASTER_DATA_2_fig3!$JN$3:$JN$22</c:f>
              <c:numCache>
                <c:formatCode>General</c:formatCode>
                <c:ptCount val="20"/>
                <c:pt idx="0">
                  <c:v>0.244943388843369</c:v>
                </c:pt>
                <c:pt idx="1">
                  <c:v>0.277039963092758</c:v>
                </c:pt>
                <c:pt idx="2">
                  <c:v>0.532518370552379</c:v>
                </c:pt>
                <c:pt idx="3">
                  <c:v>0.17584367794812</c:v>
                </c:pt>
                <c:pt idx="5">
                  <c:v>0.582564703934379</c:v>
                </c:pt>
                <c:pt idx="6">
                  <c:v>0.230744340953954</c:v>
                </c:pt>
                <c:pt idx="8">
                  <c:v>0.57132012192062</c:v>
                </c:pt>
                <c:pt idx="11">
                  <c:v>0.418985966484296</c:v>
                </c:pt>
                <c:pt idx="12">
                  <c:v>0.221697908280173</c:v>
                </c:pt>
                <c:pt idx="13">
                  <c:v>0.0605040596067136</c:v>
                </c:pt>
                <c:pt idx="15">
                  <c:v>0.422493968190907</c:v>
                </c:pt>
                <c:pt idx="17">
                  <c:v>0.794137522948122</c:v>
                </c:pt>
                <c:pt idx="18">
                  <c:v>0.176825948678836</c:v>
                </c:pt>
                <c:pt idx="19">
                  <c:v>0.63935512278022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997136"/>
        <c:axId val="-2042994496"/>
      </c:scatterChart>
      <c:valAx>
        <c:axId val="-204299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994496"/>
        <c:crosses val="autoZero"/>
        <c:crossBetween val="midCat"/>
      </c:valAx>
      <c:valAx>
        <c:axId val="-2042994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29971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88492563429571"/>
                  <c:y val="-0.04387941090697"/>
                </c:manualLayout>
              </c:layout>
              <c:numFmt formatCode="General" sourceLinked="0"/>
            </c:trendlineLbl>
          </c:trendline>
          <c:xVal>
            <c:numRef>
              <c:f>MASTER_DATA_2_fig3!$FM$3:$FM$22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MASTER_DATA_2_fig3!$HN$3:$HN$22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967632"/>
        <c:axId val="-2042964992"/>
      </c:scatterChart>
      <c:valAx>
        <c:axId val="-204296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964992"/>
        <c:crosses val="autoZero"/>
        <c:crossBetween val="midCat"/>
      </c:valAx>
      <c:valAx>
        <c:axId val="-2042964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2967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MASTER_DATA_2_fig3!$HN$3:$HN$22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938480"/>
        <c:axId val="-2042935840"/>
      </c:scatterChart>
      <c:valAx>
        <c:axId val="-20429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935840"/>
        <c:crosses val="autoZero"/>
        <c:crossBetween val="midCat"/>
      </c:valAx>
      <c:valAx>
        <c:axId val="-204293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93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159720034995626"/>
                  <c:y val="-0.0823067949839603"/>
                </c:manualLayout>
              </c:layout>
              <c:numFmt formatCode="General" sourceLinked="0"/>
            </c:trendlineLbl>
          </c:trendline>
          <c:xVal>
            <c:numRef>
              <c:f>MASTER_DATA_2_fig3!$CL$3:$CL$22</c:f>
              <c:numCache>
                <c:formatCode>General</c:formatCode>
                <c:ptCount val="20"/>
                <c:pt idx="0">
                  <c:v>1.663049578</c:v>
                </c:pt>
                <c:pt idx="1">
                  <c:v>1.938641179</c:v>
                </c:pt>
                <c:pt idx="2">
                  <c:v>0.4313899839</c:v>
                </c:pt>
                <c:pt idx="3">
                  <c:v>2.235626306</c:v>
                </c:pt>
                <c:pt idx="5">
                  <c:v>-0.9377022725</c:v>
                </c:pt>
                <c:pt idx="8">
                  <c:v>1.468671265</c:v>
                </c:pt>
                <c:pt idx="9">
                  <c:v>1.085623066</c:v>
                </c:pt>
                <c:pt idx="10">
                  <c:v>1.03214019</c:v>
                </c:pt>
                <c:pt idx="11">
                  <c:v>1.924846811</c:v>
                </c:pt>
                <c:pt idx="12">
                  <c:v>2.529154576</c:v>
                </c:pt>
                <c:pt idx="14">
                  <c:v>1.388251217</c:v>
                </c:pt>
                <c:pt idx="16">
                  <c:v>1.935950548</c:v>
                </c:pt>
                <c:pt idx="17">
                  <c:v>1.890021923</c:v>
                </c:pt>
                <c:pt idx="18">
                  <c:v>2.482854204</c:v>
                </c:pt>
                <c:pt idx="19">
                  <c:v>0.8911866177</c:v>
                </c:pt>
              </c:numCache>
            </c:numRef>
          </c:xVal>
          <c:yVal>
            <c:numRef>
              <c:f>MASTER_DATA_2_fig3!$FM$3:$FM$22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908192"/>
        <c:axId val="-2042905552"/>
      </c:scatterChart>
      <c:valAx>
        <c:axId val="-204290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905552"/>
        <c:crosses val="autoZero"/>
        <c:crossBetween val="midCat"/>
      </c:valAx>
      <c:valAx>
        <c:axId val="-2042905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908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155505249343832"/>
                  <c:y val="-0.361603966170895"/>
                </c:manualLayout>
              </c:layout>
              <c:numFmt formatCode="General" sourceLinked="0"/>
            </c:trendlineLbl>
          </c:trendline>
          <c:xVal>
            <c:numRef>
              <c:f>MASTER_DATA_2_fig3!$CM$3:$CM$22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MASTER_DATA_2_fig3!$FP$3:$FP$22</c:f>
              <c:numCache>
                <c:formatCode>General</c:formatCode>
                <c:ptCount val="20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0.29000000034768</c:v>
                </c:pt>
                <c:pt idx="5">
                  <c:v>0.02</c:v>
                </c:pt>
                <c:pt idx="6">
                  <c:v>0.533333333333333</c:v>
                </c:pt>
                <c:pt idx="7">
                  <c:v>0.386666666666667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0.25333333387968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0.663333340819333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877808"/>
        <c:axId val="-2042875168"/>
      </c:scatterChart>
      <c:valAx>
        <c:axId val="-204287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875168"/>
        <c:crosses val="autoZero"/>
        <c:crossBetween val="midCat"/>
      </c:valAx>
      <c:valAx>
        <c:axId val="-204287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877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MASTER_DATA_2_fig3!$FN$3:$FN$22</c:f>
              <c:numCache>
                <c:formatCode>General</c:formatCode>
                <c:ptCount val="20"/>
                <c:pt idx="0">
                  <c:v>0.986666679382333</c:v>
                </c:pt>
                <c:pt idx="1">
                  <c:v>0.55</c:v>
                </c:pt>
                <c:pt idx="2">
                  <c:v>0.21</c:v>
                </c:pt>
                <c:pt idx="3">
                  <c:v>1.0</c:v>
                </c:pt>
                <c:pt idx="4">
                  <c:v>0.733333329359667</c:v>
                </c:pt>
                <c:pt idx="5">
                  <c:v>0.02</c:v>
                </c:pt>
                <c:pt idx="6">
                  <c:v>0.94</c:v>
                </c:pt>
                <c:pt idx="7">
                  <c:v>0.42666666</c:v>
                </c:pt>
                <c:pt idx="8">
                  <c:v>1.0</c:v>
                </c:pt>
                <c:pt idx="9">
                  <c:v>0.963333333333333</c:v>
                </c:pt>
                <c:pt idx="10">
                  <c:v>0.560000002333333</c:v>
                </c:pt>
                <c:pt idx="11">
                  <c:v>0.986666666666667</c:v>
                </c:pt>
                <c:pt idx="12">
                  <c:v>0.84999999776468</c:v>
                </c:pt>
                <c:pt idx="13">
                  <c:v>0.986666679382333</c:v>
                </c:pt>
                <c:pt idx="14">
                  <c:v>0.583333343</c:v>
                </c:pt>
                <c:pt idx="15">
                  <c:v>0.566666672666667</c:v>
                </c:pt>
                <c:pt idx="16">
                  <c:v>0.243333333333333</c:v>
                </c:pt>
                <c:pt idx="17">
                  <c:v>0.463333325666667</c:v>
                </c:pt>
                <c:pt idx="18">
                  <c:v>1.0</c:v>
                </c:pt>
                <c:pt idx="19">
                  <c:v>0.376666664878667</c:v>
                </c:pt>
              </c:numCache>
            </c:numRef>
          </c:xVal>
          <c:yVal>
            <c:numRef>
              <c:f>MASTER_DATA_2_fig3!$JO$3:$JO$22</c:f>
              <c:numCache>
                <c:formatCode>General</c:formatCode>
                <c:ptCount val="20"/>
                <c:pt idx="0">
                  <c:v>0.755056611156631</c:v>
                </c:pt>
                <c:pt idx="1">
                  <c:v>0.722960036907242</c:v>
                </c:pt>
                <c:pt idx="2">
                  <c:v>0.467481629447621</c:v>
                </c:pt>
                <c:pt idx="3">
                  <c:v>0.82415632205188</c:v>
                </c:pt>
                <c:pt idx="5">
                  <c:v>0.417435296065621</c:v>
                </c:pt>
                <c:pt idx="6">
                  <c:v>0.769255659046046</c:v>
                </c:pt>
                <c:pt idx="8">
                  <c:v>0.42867987807938</c:v>
                </c:pt>
                <c:pt idx="11">
                  <c:v>0.581014033515704</c:v>
                </c:pt>
                <c:pt idx="12">
                  <c:v>0.778302091719827</c:v>
                </c:pt>
                <c:pt idx="13">
                  <c:v>0.939495940393286</c:v>
                </c:pt>
                <c:pt idx="15">
                  <c:v>0.577506031809093</c:v>
                </c:pt>
                <c:pt idx="17">
                  <c:v>0.205862477051878</c:v>
                </c:pt>
                <c:pt idx="18">
                  <c:v>0.823174051321164</c:v>
                </c:pt>
                <c:pt idx="19">
                  <c:v>0.36064487721978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847328"/>
        <c:axId val="-2042844688"/>
      </c:scatterChart>
      <c:valAx>
        <c:axId val="-204284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844688"/>
        <c:crosses val="autoZero"/>
        <c:crossBetween val="midCat"/>
      </c:valAx>
      <c:valAx>
        <c:axId val="-2042844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847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88862642169729"/>
                  <c:y val="-0.0297944006999125"/>
                </c:manualLayout>
              </c:layout>
              <c:numFmt formatCode="General" sourceLinked="0"/>
            </c:trendlineLbl>
          </c:trendline>
          <c:xVal>
            <c:numRef>
              <c:f>MASTER_DATA_2_fig3!$FM$3:$FM$22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MASTER_DATA_2_fig3!$HN$3:$HN$22</c:f>
              <c:numCache>
                <c:formatCode>General</c:formatCode>
                <c:ptCount val="20"/>
                <c:pt idx="0">
                  <c:v>1.25206595666302</c:v>
                </c:pt>
                <c:pt idx="1">
                  <c:v>1.781033327620324</c:v>
                </c:pt>
                <c:pt idx="2">
                  <c:v>1.025027654867257</c:v>
                </c:pt>
                <c:pt idx="3">
                  <c:v>1.203926057624394</c:v>
                </c:pt>
                <c:pt idx="5">
                  <c:v>1.233051846145887</c:v>
                </c:pt>
                <c:pt idx="8">
                  <c:v>1.222194016710865</c:v>
                </c:pt>
                <c:pt idx="9">
                  <c:v>1.55886887248165</c:v>
                </c:pt>
                <c:pt idx="10">
                  <c:v>1.002552523070882</c:v>
                </c:pt>
                <c:pt idx="11">
                  <c:v>1.276182038381195</c:v>
                </c:pt>
                <c:pt idx="12">
                  <c:v>1.425508105403895</c:v>
                </c:pt>
                <c:pt idx="14">
                  <c:v>1.359423926802727</c:v>
                </c:pt>
                <c:pt idx="16">
                  <c:v>1.099582087799944</c:v>
                </c:pt>
                <c:pt idx="17">
                  <c:v>1.271571539712851</c:v>
                </c:pt>
                <c:pt idx="18">
                  <c:v>1.473338643359955</c:v>
                </c:pt>
                <c:pt idx="19">
                  <c:v>1.167230994799743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816592"/>
        <c:axId val="-2042813952"/>
      </c:scatterChart>
      <c:valAx>
        <c:axId val="-204281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813952"/>
        <c:crosses val="autoZero"/>
        <c:crossBetween val="midCat"/>
      </c:valAx>
      <c:valAx>
        <c:axId val="-204281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816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MASTER_DATA_2_fig3!$CN$3:$CN$22</c:f>
              <c:numCache>
                <c:formatCode>General</c:formatCode>
                <c:ptCount val="20"/>
                <c:pt idx="0">
                  <c:v>-0.187242614</c:v>
                </c:pt>
                <c:pt idx="1">
                  <c:v>-0.5019366934</c:v>
                </c:pt>
                <c:pt idx="2">
                  <c:v>-0.04592407102</c:v>
                </c:pt>
                <c:pt idx="3">
                  <c:v>-0.2872757602</c:v>
                </c:pt>
                <c:pt idx="5">
                  <c:v>-0.4359304244</c:v>
                </c:pt>
                <c:pt idx="8">
                  <c:v>-0.2043187788</c:v>
                </c:pt>
                <c:pt idx="9">
                  <c:v>-0.736235746</c:v>
                </c:pt>
                <c:pt idx="10">
                  <c:v>-0.173692225</c:v>
                </c:pt>
                <c:pt idx="11">
                  <c:v>-0.5096687862</c:v>
                </c:pt>
                <c:pt idx="12">
                  <c:v>-0.1614287809</c:v>
                </c:pt>
                <c:pt idx="14">
                  <c:v>-0.2362861718</c:v>
                </c:pt>
                <c:pt idx="16">
                  <c:v>-0.676499765</c:v>
                </c:pt>
                <c:pt idx="17">
                  <c:v>-0.7177722454</c:v>
                </c:pt>
                <c:pt idx="18">
                  <c:v>-0.3972295963</c:v>
                </c:pt>
                <c:pt idx="19">
                  <c:v>-0.3814598523</c:v>
                </c:pt>
              </c:numCache>
            </c:numRef>
          </c:xVal>
          <c:yVal>
            <c:numRef>
              <c:f>MASTER_DATA_2_fig3!$GS$3:$GS$22</c:f>
              <c:numCache>
                <c:formatCode>General</c:formatCode>
                <c:ptCount val="20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0.230000004172</c:v>
                </c:pt>
                <c:pt idx="5">
                  <c:v>0.08</c:v>
                </c:pt>
                <c:pt idx="6">
                  <c:v>0.8</c:v>
                </c:pt>
                <c:pt idx="7">
                  <c:v>1.0</c:v>
                </c:pt>
                <c:pt idx="8">
                  <c:v>0.25</c:v>
                </c:pt>
                <c:pt idx="9">
                  <c:v>0.0</c:v>
                </c:pt>
                <c:pt idx="10">
                  <c:v>0.10000000149</c:v>
                </c:pt>
                <c:pt idx="11">
                  <c:v>0.11</c:v>
                </c:pt>
                <c:pt idx="12">
                  <c:v>0.0</c:v>
                </c:pt>
                <c:pt idx="13">
                  <c:v>1.0</c:v>
                </c:pt>
                <c:pt idx="14">
                  <c:v>0.119999997318</c:v>
                </c:pt>
                <c:pt idx="15">
                  <c:v>0.839999973774</c:v>
                </c:pt>
                <c:pt idx="16">
                  <c:v>1.0</c:v>
                </c:pt>
                <c:pt idx="17">
                  <c:v>0.839999973774</c:v>
                </c:pt>
                <c:pt idx="18">
                  <c:v>0.94</c:v>
                </c:pt>
                <c:pt idx="19">
                  <c:v>0.589999973774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786560"/>
        <c:axId val="-2042783920"/>
      </c:scatterChart>
      <c:valAx>
        <c:axId val="-20427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783920"/>
        <c:crosses val="autoZero"/>
        <c:crossBetween val="midCat"/>
      </c:valAx>
      <c:valAx>
        <c:axId val="-204278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786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411279527559055"/>
                  <c:y val="-0.0774208953047536"/>
                </c:manualLayout>
              </c:layout>
              <c:numFmt formatCode="General" sourceLinked="0"/>
            </c:trendlineLbl>
          </c:trendline>
          <c:xVal>
            <c:numRef>
              <c:f>MASTER_DATA_2_fig3!$FM$3:$FM$22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xVal>
          <c:yVal>
            <c:numRef>
              <c:f>MASTER_DATA_2_fig3!$JC$3:$JC$22</c:f>
              <c:numCache>
                <c:formatCode>General</c:formatCode>
                <c:ptCount val="20"/>
                <c:pt idx="0">
                  <c:v>0.0976272073570839</c:v>
                </c:pt>
                <c:pt idx="1">
                  <c:v>0.250672046283108</c:v>
                </c:pt>
                <c:pt idx="2">
                  <c:v>0.0107355826544349</c:v>
                </c:pt>
                <c:pt idx="3">
                  <c:v>0.0805998143704516</c:v>
                </c:pt>
                <c:pt idx="5">
                  <c:v>0.0909813377649808</c:v>
                </c:pt>
                <c:pt idx="8">
                  <c:v>0.0871401532867571</c:v>
                </c:pt>
                <c:pt idx="9">
                  <c:v>0.192809585135778</c:v>
                </c:pt>
                <c:pt idx="10">
                  <c:v>0.00110713429205333</c:v>
                </c:pt>
                <c:pt idx="11">
                  <c:v>0.105912627853503</c:v>
                </c:pt>
                <c:pt idx="12">
                  <c:v>0.153969691040202</c:v>
                </c:pt>
                <c:pt idx="14">
                  <c:v>0.133354909537211</c:v>
                </c:pt>
                <c:pt idx="16">
                  <c:v>0.0412276565688444</c:v>
                </c:pt>
                <c:pt idx="17">
                  <c:v>0.10434079898166</c:v>
                </c:pt>
                <c:pt idx="18">
                  <c:v>0.168302579863211</c:v>
                </c:pt>
                <c:pt idx="19">
                  <c:v>0.0671568113492176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755984"/>
        <c:axId val="-2042753344"/>
      </c:scatterChart>
      <c:valAx>
        <c:axId val="-204275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753344"/>
        <c:crosses val="autoZero"/>
        <c:crossBetween val="midCat"/>
      </c:valAx>
      <c:valAx>
        <c:axId val="-2042753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2755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48195538057743"/>
                  <c:y val="-0.168585228929717"/>
                </c:manualLayout>
              </c:layout>
              <c:numFmt formatCode="General" sourceLinked="0"/>
            </c:trendlineLbl>
          </c:trendline>
          <c:xVal>
            <c:numRef>
              <c:f>MASTER_DATA_2_fig3!$HM$3:$HM$22</c:f>
              <c:numCache>
                <c:formatCode>General</c:formatCode>
                <c:ptCount val="20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5">
                  <c:v>20.2705</c:v>
                </c:pt>
                <c:pt idx="8">
                  <c:v>20.5695</c:v>
                </c:pt>
                <c:pt idx="9">
                  <c:v>23.38190000000001</c:v>
                </c:pt>
                <c:pt idx="10">
                  <c:v>0.260000000000005</c:v>
                </c:pt>
                <c:pt idx="11">
                  <c:v>16.9892</c:v>
                </c:pt>
                <c:pt idx="12">
                  <c:v>29.0885</c:v>
                </c:pt>
                <c:pt idx="14">
                  <c:v>32.369</c:v>
                </c:pt>
                <c:pt idx="16">
                  <c:v>8.821299999999993</c:v>
                </c:pt>
                <c:pt idx="17">
                  <c:v>13.8231</c:v>
                </c:pt>
                <c:pt idx="18">
                  <c:v>43.976</c:v>
                </c:pt>
                <c:pt idx="19">
                  <c:v>15.854</c:v>
                </c:pt>
              </c:numCache>
            </c:numRef>
          </c:xVal>
          <c:yVal>
            <c:numRef>
              <c:f>MASTER_DATA_2_fig3!$KY$3:$KY$22</c:f>
              <c:numCache>
                <c:formatCode>General</c:formatCode>
                <c:ptCount val="20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0.810000002384333</c:v>
                </c:pt>
                <c:pt idx="5">
                  <c:v>0.0433333333333333</c:v>
                </c:pt>
                <c:pt idx="6">
                  <c:v>0.99</c:v>
                </c:pt>
                <c:pt idx="7">
                  <c:v>0.816666668333333</c:v>
                </c:pt>
                <c:pt idx="8">
                  <c:v>0.453333338</c:v>
                </c:pt>
                <c:pt idx="9">
                  <c:v>0.423333333333333</c:v>
                </c:pt>
                <c:pt idx="10">
                  <c:v>0.17333334</c:v>
                </c:pt>
                <c:pt idx="11">
                  <c:v>0.48</c:v>
                </c:pt>
                <c:pt idx="12">
                  <c:v>0.773333338399707</c:v>
                </c:pt>
                <c:pt idx="13">
                  <c:v>0.470000003775</c:v>
                </c:pt>
                <c:pt idx="14">
                  <c:v>0.373333335</c:v>
                </c:pt>
                <c:pt idx="15">
                  <c:v>0.603333324333333</c:v>
                </c:pt>
                <c:pt idx="16">
                  <c:v>0.529999999333333</c:v>
                </c:pt>
                <c:pt idx="17">
                  <c:v>0.176666667</c:v>
                </c:pt>
                <c:pt idx="18">
                  <c:v>0.963333333333333</c:v>
                </c:pt>
                <c:pt idx="19">
                  <c:v>0.510000001128333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726464"/>
        <c:axId val="-2042723824"/>
      </c:scatterChart>
      <c:valAx>
        <c:axId val="-204272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723824"/>
        <c:crosses val="autoZero"/>
        <c:crossBetween val="midCat"/>
      </c:valAx>
      <c:valAx>
        <c:axId val="-204272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726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262772747156605"/>
                  <c:y val="-0.481974336541266"/>
                </c:manualLayout>
              </c:layout>
              <c:numFmt formatCode="General" sourceLinked="0"/>
            </c:trendlineLbl>
          </c:trendline>
          <c:xVal>
            <c:numRef>
              <c:f>MASTER_DATA_2_fig3!$CM$3:$CM$22</c:f>
              <c:numCache>
                <c:formatCode>General</c:formatCode>
                <c:ptCount val="20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5">
                  <c:v>-2.329667399</c:v>
                </c:pt>
                <c:pt idx="8">
                  <c:v>-3.025424394</c:v>
                </c:pt>
                <c:pt idx="9">
                  <c:v>-1.202560635</c:v>
                </c:pt>
                <c:pt idx="10">
                  <c:v>-0.8059765305</c:v>
                </c:pt>
                <c:pt idx="11">
                  <c:v>-1.464961551</c:v>
                </c:pt>
                <c:pt idx="12">
                  <c:v>-2.45682521</c:v>
                </c:pt>
                <c:pt idx="14">
                  <c:v>-1.038020257</c:v>
                </c:pt>
                <c:pt idx="16">
                  <c:v>-2.706847059</c:v>
                </c:pt>
                <c:pt idx="17">
                  <c:v>-4.156706047</c:v>
                </c:pt>
                <c:pt idx="18">
                  <c:v>-4.843280928</c:v>
                </c:pt>
                <c:pt idx="19">
                  <c:v>-3.244384015</c:v>
                </c:pt>
              </c:numCache>
            </c:numRef>
          </c:xVal>
          <c:yVal>
            <c:numRef>
              <c:f>MASTER_DATA_2_fig3!$FP$3:$FP$22</c:f>
              <c:numCache>
                <c:formatCode>General</c:formatCode>
                <c:ptCount val="20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0.29000000034768</c:v>
                </c:pt>
                <c:pt idx="5">
                  <c:v>0.02</c:v>
                </c:pt>
                <c:pt idx="6">
                  <c:v>0.533333333333333</c:v>
                </c:pt>
                <c:pt idx="7">
                  <c:v>0.386666666666667</c:v>
                </c:pt>
                <c:pt idx="8">
                  <c:v>0.540000001666667</c:v>
                </c:pt>
                <c:pt idx="9">
                  <c:v>0.156666666666667</c:v>
                </c:pt>
                <c:pt idx="10">
                  <c:v>0.0433333336666667</c:v>
                </c:pt>
                <c:pt idx="11">
                  <c:v>0.0</c:v>
                </c:pt>
                <c:pt idx="12">
                  <c:v>0.25333333387968</c:v>
                </c:pt>
                <c:pt idx="13">
                  <c:v>0.4400000100333</c:v>
                </c:pt>
                <c:pt idx="14">
                  <c:v>0.156666666</c:v>
                </c:pt>
                <c:pt idx="15">
                  <c:v>0.369999995</c:v>
                </c:pt>
                <c:pt idx="16">
                  <c:v>0.659999991333333</c:v>
                </c:pt>
                <c:pt idx="17">
                  <c:v>0.510000010333333</c:v>
                </c:pt>
                <c:pt idx="18">
                  <c:v>0.926666666666667</c:v>
                </c:pt>
                <c:pt idx="19">
                  <c:v>0.663333340819333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696208"/>
        <c:axId val="-2042693568"/>
      </c:scatterChart>
      <c:valAx>
        <c:axId val="-204269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693568"/>
        <c:crosses val="autoZero"/>
        <c:crossBetween val="midCat"/>
      </c:valAx>
      <c:valAx>
        <c:axId val="-204269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2696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351372265966754"/>
                  <c:y val="-0.142989574219889"/>
                </c:manualLayout>
              </c:layout>
              <c:numFmt formatCode="General" sourceLinked="0"/>
            </c:trendlineLbl>
          </c:trendline>
          <c:xVal>
            <c:numRef>
              <c:f>MASTER_DATA_2_fig3!$CN$3:$CN$22</c:f>
              <c:numCache>
                <c:formatCode>General</c:formatCode>
                <c:ptCount val="20"/>
                <c:pt idx="0">
                  <c:v>-0.187242614</c:v>
                </c:pt>
                <c:pt idx="1">
                  <c:v>-0.5019366934</c:v>
                </c:pt>
                <c:pt idx="2">
                  <c:v>-0.04592407102</c:v>
                </c:pt>
                <c:pt idx="3">
                  <c:v>-0.2872757602</c:v>
                </c:pt>
                <c:pt idx="5">
                  <c:v>-0.4359304244</c:v>
                </c:pt>
                <c:pt idx="8">
                  <c:v>-0.2043187788</c:v>
                </c:pt>
                <c:pt idx="9">
                  <c:v>-0.736235746</c:v>
                </c:pt>
                <c:pt idx="10">
                  <c:v>-0.173692225</c:v>
                </c:pt>
                <c:pt idx="11">
                  <c:v>-0.5096687862</c:v>
                </c:pt>
                <c:pt idx="12">
                  <c:v>-0.1614287809</c:v>
                </c:pt>
                <c:pt idx="14">
                  <c:v>-0.2362861718</c:v>
                </c:pt>
                <c:pt idx="16">
                  <c:v>-0.676499765</c:v>
                </c:pt>
                <c:pt idx="17">
                  <c:v>-0.7177722454</c:v>
                </c:pt>
                <c:pt idx="18">
                  <c:v>-0.3972295963</c:v>
                </c:pt>
                <c:pt idx="19">
                  <c:v>-0.3814598523</c:v>
                </c:pt>
              </c:numCache>
            </c:numRef>
          </c:xVal>
          <c:yVal>
            <c:numRef>
              <c:f>MASTER_DATA_2_fig3!$DL$3:$DL$22</c:f>
              <c:numCache>
                <c:formatCode>General</c:formatCode>
                <c:ptCount val="20"/>
                <c:pt idx="0">
                  <c:v>-0.0478184850000005</c:v>
                </c:pt>
                <c:pt idx="1">
                  <c:v>-6.506975659999998</c:v>
                </c:pt>
                <c:pt idx="2">
                  <c:v>-3.068867618999999</c:v>
                </c:pt>
                <c:pt idx="3">
                  <c:v>-6.685211805</c:v>
                </c:pt>
                <c:pt idx="5">
                  <c:v>-5.712171469999999</c:v>
                </c:pt>
                <c:pt idx="8">
                  <c:v>-1.764571480000001</c:v>
                </c:pt>
                <c:pt idx="9">
                  <c:v>-7.2003302645</c:v>
                </c:pt>
                <c:pt idx="10">
                  <c:v>-5.575412363000002</c:v>
                </c:pt>
                <c:pt idx="11">
                  <c:v>-8.041392715000001</c:v>
                </c:pt>
                <c:pt idx="12">
                  <c:v>2.751430874</c:v>
                </c:pt>
                <c:pt idx="14">
                  <c:v>3.671068665</c:v>
                </c:pt>
                <c:pt idx="16">
                  <c:v>-4.904522840000002</c:v>
                </c:pt>
                <c:pt idx="17">
                  <c:v>-8.494767526999998</c:v>
                </c:pt>
                <c:pt idx="18">
                  <c:v>-4.633843721</c:v>
                </c:pt>
                <c:pt idx="19">
                  <c:v>-3.258010079999998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667152"/>
        <c:axId val="-2042664512"/>
      </c:scatterChart>
      <c:valAx>
        <c:axId val="-204266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2664512"/>
        <c:crosses val="autoZero"/>
        <c:crossBetween val="midCat"/>
      </c:valAx>
      <c:valAx>
        <c:axId val="-2042664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4266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MASTER_DATA_2_fig3!$DL$3:$DL$22</c:f>
              <c:numCache>
                <c:formatCode>General</c:formatCode>
                <c:ptCount val="20"/>
                <c:pt idx="0">
                  <c:v>-0.0478184850000005</c:v>
                </c:pt>
                <c:pt idx="1">
                  <c:v>-6.506975659999998</c:v>
                </c:pt>
                <c:pt idx="2">
                  <c:v>-3.068867618999999</c:v>
                </c:pt>
                <c:pt idx="3">
                  <c:v>-6.685211805</c:v>
                </c:pt>
                <c:pt idx="5">
                  <c:v>-5.712171469999999</c:v>
                </c:pt>
                <c:pt idx="8">
                  <c:v>-1.764571480000001</c:v>
                </c:pt>
                <c:pt idx="9">
                  <c:v>-7.2003302645</c:v>
                </c:pt>
                <c:pt idx="10">
                  <c:v>-5.575412363000002</c:v>
                </c:pt>
                <c:pt idx="11">
                  <c:v>-8.041392715000001</c:v>
                </c:pt>
                <c:pt idx="12">
                  <c:v>2.751430874</c:v>
                </c:pt>
                <c:pt idx="14">
                  <c:v>3.671068665</c:v>
                </c:pt>
                <c:pt idx="16">
                  <c:v>-4.904522840000002</c:v>
                </c:pt>
                <c:pt idx="17">
                  <c:v>-8.494767526999998</c:v>
                </c:pt>
                <c:pt idx="18">
                  <c:v>-4.633843721</c:v>
                </c:pt>
                <c:pt idx="19">
                  <c:v>-3.258010079999998</c:v>
                </c:pt>
              </c:numCache>
            </c:numRef>
          </c:xVal>
          <c:yVal>
            <c:numRef>
              <c:f>MASTER_DATA_2_fig3!$LJ$3:$LJ$22</c:f>
              <c:numCache>
                <c:formatCode>General</c:formatCode>
                <c:ptCount val="20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0.230000004172</c:v>
                </c:pt>
                <c:pt idx="5">
                  <c:v>0.08</c:v>
                </c:pt>
                <c:pt idx="6">
                  <c:v>0.8</c:v>
                </c:pt>
                <c:pt idx="7">
                  <c:v>1.0</c:v>
                </c:pt>
                <c:pt idx="8">
                  <c:v>0.25</c:v>
                </c:pt>
                <c:pt idx="9">
                  <c:v>0.0</c:v>
                </c:pt>
                <c:pt idx="10">
                  <c:v>0.10000000149</c:v>
                </c:pt>
                <c:pt idx="11">
                  <c:v>0.11</c:v>
                </c:pt>
                <c:pt idx="12">
                  <c:v>0.0</c:v>
                </c:pt>
                <c:pt idx="13">
                  <c:v>1.0</c:v>
                </c:pt>
                <c:pt idx="14">
                  <c:v>0.119999997318</c:v>
                </c:pt>
                <c:pt idx="15">
                  <c:v>0.839999973774</c:v>
                </c:pt>
                <c:pt idx="16">
                  <c:v>1.0</c:v>
                </c:pt>
                <c:pt idx="17">
                  <c:v>0.839999973774</c:v>
                </c:pt>
                <c:pt idx="18">
                  <c:v>0.94</c:v>
                </c:pt>
                <c:pt idx="19">
                  <c:v>0.589999973774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1804992"/>
        <c:axId val="-2052447312"/>
      </c:scatterChart>
      <c:valAx>
        <c:axId val="-205180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2447312"/>
        <c:crosses val="autoZero"/>
        <c:crossBetween val="midCat"/>
      </c:valAx>
      <c:valAx>
        <c:axId val="-2052447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1804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MASTER_DATA_3!$KW$3:$KW$17</c:f>
              <c:numCache>
                <c:formatCode>General</c:formatCode>
                <c:ptCount val="15"/>
                <c:pt idx="0">
                  <c:v>10.0</c:v>
                </c:pt>
                <c:pt idx="1">
                  <c:v>3.5</c:v>
                </c:pt>
                <c:pt idx="2">
                  <c:v>1.5</c:v>
                </c:pt>
                <c:pt idx="3">
                  <c:v>9.5</c:v>
                </c:pt>
                <c:pt idx="4">
                  <c:v>-0.5</c:v>
                </c:pt>
                <c:pt idx="5">
                  <c:v>10.0</c:v>
                </c:pt>
                <c:pt idx="6">
                  <c:v>0.0</c:v>
                </c:pt>
                <c:pt idx="7">
                  <c:v>0.5</c:v>
                </c:pt>
                <c:pt idx="8">
                  <c:v>6.5</c:v>
                </c:pt>
                <c:pt idx="9">
                  <c:v>0.0</c:v>
                </c:pt>
                <c:pt idx="10">
                  <c:v>12.0</c:v>
                </c:pt>
                <c:pt idx="11">
                  <c:v>18.5</c:v>
                </c:pt>
                <c:pt idx="12">
                  <c:v>5.0</c:v>
                </c:pt>
                <c:pt idx="13">
                  <c:v>16.5</c:v>
                </c:pt>
                <c:pt idx="14">
                  <c:v>7.5</c:v>
                </c:pt>
              </c:numCache>
            </c:numRef>
          </c:xVal>
          <c:yVal>
            <c:numRef>
              <c:f>MASTER_DATA_3!$MH$3:$MH$17</c:f>
              <c:numCache>
                <c:formatCode>General</c:formatCode>
                <c:ptCount val="15"/>
                <c:pt idx="0">
                  <c:v>2.411646875</c:v>
                </c:pt>
                <c:pt idx="1">
                  <c:v>2.228294377</c:v>
                </c:pt>
                <c:pt idx="2">
                  <c:v>0.8267892462</c:v>
                </c:pt>
                <c:pt idx="3">
                  <c:v>1.533247435</c:v>
                </c:pt>
                <c:pt idx="4">
                  <c:v>1.666467714</c:v>
                </c:pt>
                <c:pt idx="5">
                  <c:v>2.553270433</c:v>
                </c:pt>
                <c:pt idx="6">
                  <c:v>2.067521886</c:v>
                </c:pt>
                <c:pt idx="7">
                  <c:v>2.097980731</c:v>
                </c:pt>
                <c:pt idx="8">
                  <c:v>2.79946839</c:v>
                </c:pt>
                <c:pt idx="9">
                  <c:v>0.7147254299</c:v>
                </c:pt>
                <c:pt idx="10">
                  <c:v>2.390767572</c:v>
                </c:pt>
                <c:pt idx="11">
                  <c:v>3.354575578</c:v>
                </c:pt>
                <c:pt idx="12">
                  <c:v>1.211425822</c:v>
                </c:pt>
                <c:pt idx="13">
                  <c:v>1.304920116</c:v>
                </c:pt>
                <c:pt idx="14">
                  <c:v>2.34324806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639024"/>
        <c:axId val="-2047642832"/>
      </c:scatterChart>
      <c:valAx>
        <c:axId val="-204763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642832"/>
        <c:crosses val="autoZero"/>
        <c:crossBetween val="midCat"/>
      </c:valAx>
      <c:valAx>
        <c:axId val="-204764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639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14713254593176"/>
                  <c:y val="-0.14197579469233"/>
                </c:manualLayout>
              </c:layout>
              <c:numFmt formatCode="General" sourceLinked="0"/>
            </c:trendlineLbl>
          </c:trendline>
          <c:xVal>
            <c:numRef>
              <c:f>MASTER_DATA_3!$HB$3:$HB$17</c:f>
              <c:numCache>
                <c:formatCode>General</c:formatCode>
                <c:ptCount val="15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4">
                  <c:v>20.2705</c:v>
                </c:pt>
                <c:pt idx="5">
                  <c:v>20.5695</c:v>
                </c:pt>
                <c:pt idx="6">
                  <c:v>23.38190000000001</c:v>
                </c:pt>
                <c:pt idx="7">
                  <c:v>0.260000000000005</c:v>
                </c:pt>
                <c:pt idx="8">
                  <c:v>16.9892</c:v>
                </c:pt>
                <c:pt idx="9">
                  <c:v>29.0885</c:v>
                </c:pt>
                <c:pt idx="10">
                  <c:v>32.369</c:v>
                </c:pt>
                <c:pt idx="11">
                  <c:v>8.821299999999993</c:v>
                </c:pt>
                <c:pt idx="12">
                  <c:v>13.8231</c:v>
                </c:pt>
                <c:pt idx="13">
                  <c:v>43.976</c:v>
                </c:pt>
                <c:pt idx="14">
                  <c:v>15.854</c:v>
                </c:pt>
              </c:numCache>
            </c:numRef>
          </c:xVal>
          <c:yVal>
            <c:numRef>
              <c:f>MASTER_DATA_3!$KG$3:$KG$17</c:f>
              <c:numCache>
                <c:formatCode>General</c:formatCode>
                <c:ptCount val="15"/>
                <c:pt idx="0">
                  <c:v>-0.003999999910592</c:v>
                </c:pt>
                <c:pt idx="1">
                  <c:v>0.406</c:v>
                </c:pt>
                <c:pt idx="2">
                  <c:v>0.04</c:v>
                </c:pt>
                <c:pt idx="3">
                  <c:v>0.834000004455304</c:v>
                </c:pt>
                <c:pt idx="4">
                  <c:v>0.02</c:v>
                </c:pt>
                <c:pt idx="5">
                  <c:v>0.1880000002</c:v>
                </c:pt>
                <c:pt idx="6">
                  <c:v>0.162</c:v>
                </c:pt>
                <c:pt idx="7">
                  <c:v>0.0879999984</c:v>
                </c:pt>
                <c:pt idx="8">
                  <c:v>0.168</c:v>
                </c:pt>
                <c:pt idx="9">
                  <c:v>0.215999997407228</c:v>
                </c:pt>
                <c:pt idx="10">
                  <c:v>0.2400000016</c:v>
                </c:pt>
                <c:pt idx="11">
                  <c:v>0.6920000022</c:v>
                </c:pt>
                <c:pt idx="12">
                  <c:v>0.3559999984</c:v>
                </c:pt>
                <c:pt idx="13">
                  <c:v>0.372</c:v>
                </c:pt>
                <c:pt idx="14">
                  <c:v>0.478000001192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611744"/>
        <c:axId val="-2047588864"/>
      </c:scatterChart>
      <c:valAx>
        <c:axId val="-205061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588864"/>
        <c:crosses val="autoZero"/>
        <c:crossBetween val="midCat"/>
      </c:valAx>
      <c:valAx>
        <c:axId val="-204758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611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729978127734033"/>
                  <c:y val="-0.0564464858559347"/>
                </c:manualLayout>
              </c:layout>
              <c:numFmt formatCode="General" sourceLinked="0"/>
            </c:trendlineLbl>
          </c:trendline>
          <c:xVal>
            <c:numRef>
              <c:f>MASTER_DATA_3!$KG$3:$KG$17</c:f>
              <c:numCache>
                <c:formatCode>General</c:formatCode>
                <c:ptCount val="15"/>
                <c:pt idx="0">
                  <c:v>-0.003999999910592</c:v>
                </c:pt>
                <c:pt idx="1">
                  <c:v>0.406</c:v>
                </c:pt>
                <c:pt idx="2">
                  <c:v>0.04</c:v>
                </c:pt>
                <c:pt idx="3">
                  <c:v>0.834000004455304</c:v>
                </c:pt>
                <c:pt idx="4">
                  <c:v>0.02</c:v>
                </c:pt>
                <c:pt idx="5">
                  <c:v>0.1880000002</c:v>
                </c:pt>
                <c:pt idx="6">
                  <c:v>0.162</c:v>
                </c:pt>
                <c:pt idx="7">
                  <c:v>0.0879999984</c:v>
                </c:pt>
                <c:pt idx="8">
                  <c:v>0.168</c:v>
                </c:pt>
                <c:pt idx="9">
                  <c:v>0.215999997407228</c:v>
                </c:pt>
                <c:pt idx="10">
                  <c:v>0.2400000016</c:v>
                </c:pt>
                <c:pt idx="11">
                  <c:v>0.6920000022</c:v>
                </c:pt>
                <c:pt idx="12">
                  <c:v>0.3559999984</c:v>
                </c:pt>
                <c:pt idx="13">
                  <c:v>0.372</c:v>
                </c:pt>
                <c:pt idx="14">
                  <c:v>0.478000001192</c:v>
                </c:pt>
              </c:numCache>
            </c:numRef>
          </c:xVal>
          <c:yVal>
            <c:numRef>
              <c:f>MASTER_DATA_3!$MM$3:$MM$17</c:f>
              <c:numCache>
                <c:formatCode>General</c:formatCode>
                <c:ptCount val="15"/>
                <c:pt idx="0">
                  <c:v>1.663049578</c:v>
                </c:pt>
                <c:pt idx="1">
                  <c:v>1.938641179</c:v>
                </c:pt>
                <c:pt idx="2">
                  <c:v>0.4313899839</c:v>
                </c:pt>
                <c:pt idx="3">
                  <c:v>2.235626306</c:v>
                </c:pt>
                <c:pt idx="4">
                  <c:v>-0.9377022725</c:v>
                </c:pt>
                <c:pt idx="5">
                  <c:v>1.468671265</c:v>
                </c:pt>
                <c:pt idx="6">
                  <c:v>1.085623066</c:v>
                </c:pt>
                <c:pt idx="7">
                  <c:v>1.03214019</c:v>
                </c:pt>
                <c:pt idx="8">
                  <c:v>1.924846811</c:v>
                </c:pt>
                <c:pt idx="9">
                  <c:v>2.529154576</c:v>
                </c:pt>
                <c:pt idx="10">
                  <c:v>1.388251217</c:v>
                </c:pt>
                <c:pt idx="11">
                  <c:v>1.935950548</c:v>
                </c:pt>
                <c:pt idx="12">
                  <c:v>1.890021923</c:v>
                </c:pt>
                <c:pt idx="13">
                  <c:v>2.482854204</c:v>
                </c:pt>
                <c:pt idx="14">
                  <c:v>0.8911866177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432128"/>
        <c:axId val="-2047685136"/>
      </c:scatterChart>
      <c:valAx>
        <c:axId val="-205043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685136"/>
        <c:crosses val="autoZero"/>
        <c:crossBetween val="midCat"/>
      </c:valAx>
      <c:valAx>
        <c:axId val="-204768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432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MASTER_DATA_3!$KX$3:$KX$17</c:f>
              <c:numCache>
                <c:formatCode>General</c:formatCode>
                <c:ptCount val="15"/>
                <c:pt idx="0">
                  <c:v>0.0</c:v>
                </c:pt>
                <c:pt idx="1">
                  <c:v>16.0</c:v>
                </c:pt>
                <c:pt idx="2">
                  <c:v>0.0</c:v>
                </c:pt>
                <c:pt idx="3">
                  <c:v>2.0</c:v>
                </c:pt>
                <c:pt idx="4">
                  <c:v>0.0</c:v>
                </c:pt>
                <c:pt idx="5">
                  <c:v>6.0</c:v>
                </c:pt>
                <c:pt idx="6">
                  <c:v>1.0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3.0</c:v>
                </c:pt>
                <c:pt idx="11">
                  <c:v>20.0</c:v>
                </c:pt>
                <c:pt idx="12">
                  <c:v>10.5</c:v>
                </c:pt>
                <c:pt idx="13">
                  <c:v>16.5</c:v>
                </c:pt>
                <c:pt idx="14">
                  <c:v>11.0</c:v>
                </c:pt>
              </c:numCache>
            </c:numRef>
          </c:xVal>
          <c:yVal>
            <c:numRef>
              <c:f>MASTER_DATA_3!$MI$3:$MI$17</c:f>
              <c:numCache>
                <c:formatCode>General</c:formatCode>
                <c:ptCount val="15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4">
                  <c:v>-2.329667399</c:v>
                </c:pt>
                <c:pt idx="5">
                  <c:v>-3.025424394</c:v>
                </c:pt>
                <c:pt idx="6">
                  <c:v>-1.202560635</c:v>
                </c:pt>
                <c:pt idx="7">
                  <c:v>-0.8059765305</c:v>
                </c:pt>
                <c:pt idx="8">
                  <c:v>-1.464961551</c:v>
                </c:pt>
                <c:pt idx="9">
                  <c:v>-2.45682521</c:v>
                </c:pt>
                <c:pt idx="10">
                  <c:v>-1.038020257</c:v>
                </c:pt>
                <c:pt idx="11">
                  <c:v>-2.706847059</c:v>
                </c:pt>
                <c:pt idx="12">
                  <c:v>-4.156706047</c:v>
                </c:pt>
                <c:pt idx="13">
                  <c:v>-4.843280928</c:v>
                </c:pt>
                <c:pt idx="14">
                  <c:v>-3.244384015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918800"/>
        <c:axId val="-2047482880"/>
      </c:scatterChart>
      <c:valAx>
        <c:axId val="-205091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482880"/>
        <c:crosses val="autoZero"/>
        <c:crossBetween val="midCat"/>
      </c:valAx>
      <c:valAx>
        <c:axId val="-204748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918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48958880139983"/>
                  <c:y val="-0.640768810148732"/>
                </c:manualLayout>
              </c:layout>
              <c:numFmt formatCode="General" sourceLinked="0"/>
            </c:trendlineLbl>
          </c:trendline>
          <c:xVal>
            <c:numRef>
              <c:f>MASTER_DATA_3!$KQ$3:$KQ$17</c:f>
              <c:numCache>
                <c:formatCode>General</c:formatCode>
                <c:ptCount val="15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0.02</c:v>
                </c:pt>
                <c:pt idx="5">
                  <c:v>0.540000001666667</c:v>
                </c:pt>
                <c:pt idx="6">
                  <c:v>0.156666666666667</c:v>
                </c:pt>
                <c:pt idx="7">
                  <c:v>0.0433333336666667</c:v>
                </c:pt>
                <c:pt idx="8">
                  <c:v>0.0</c:v>
                </c:pt>
                <c:pt idx="9">
                  <c:v>0.25333333387968</c:v>
                </c:pt>
                <c:pt idx="10">
                  <c:v>0.156666666</c:v>
                </c:pt>
                <c:pt idx="11">
                  <c:v>0.659999991333333</c:v>
                </c:pt>
                <c:pt idx="12">
                  <c:v>0.510000010333333</c:v>
                </c:pt>
                <c:pt idx="13">
                  <c:v>0.926666666666667</c:v>
                </c:pt>
                <c:pt idx="14">
                  <c:v>0.663333340819333</c:v>
                </c:pt>
              </c:numCache>
            </c:numRef>
          </c:xVal>
          <c:yVal>
            <c:numRef>
              <c:f>MASTER_DATA_3!$MV$3:$MV$17</c:f>
              <c:numCache>
                <c:formatCode>General</c:formatCode>
                <c:ptCount val="15"/>
                <c:pt idx="0">
                  <c:v>0.416</c:v>
                </c:pt>
                <c:pt idx="1">
                  <c:v>-0.0333</c:v>
                </c:pt>
                <c:pt idx="2">
                  <c:v>0.1809</c:v>
                </c:pt>
                <c:pt idx="3">
                  <c:v>0.1172</c:v>
                </c:pt>
                <c:pt idx="4">
                  <c:v>0.8066</c:v>
                </c:pt>
                <c:pt idx="5">
                  <c:v>0.0315</c:v>
                </c:pt>
                <c:pt idx="6">
                  <c:v>0.3502</c:v>
                </c:pt>
                <c:pt idx="7">
                  <c:v>0.0659</c:v>
                </c:pt>
                <c:pt idx="8">
                  <c:v>0.6463</c:v>
                </c:pt>
                <c:pt idx="9">
                  <c:v>0.3109</c:v>
                </c:pt>
                <c:pt idx="10">
                  <c:v>0.1326</c:v>
                </c:pt>
                <c:pt idx="11">
                  <c:v>0.1372</c:v>
                </c:pt>
                <c:pt idx="12">
                  <c:v>0.1953</c:v>
                </c:pt>
                <c:pt idx="13">
                  <c:v>-0.0361</c:v>
                </c:pt>
                <c:pt idx="14">
                  <c:v>0.3133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773616"/>
        <c:axId val="-2050401552"/>
      </c:scatterChart>
      <c:valAx>
        <c:axId val="-204777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401552"/>
        <c:crosses val="autoZero"/>
        <c:crossBetween val="midCat"/>
      </c:valAx>
      <c:valAx>
        <c:axId val="-205040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773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858674540682415"/>
                  <c:y val="-0.260495771361913"/>
                </c:manualLayout>
              </c:layout>
              <c:numFmt formatCode="General" sourceLinked="0"/>
            </c:trendlineLbl>
          </c:trendline>
          <c:xVal>
            <c:numRef>
              <c:f>MASTER_DATA_3!$CS$3:$CS$17</c:f>
              <c:numCache>
                <c:formatCode>General</c:formatCode>
                <c:ptCount val="15"/>
                <c:pt idx="0">
                  <c:v>-0.009497938767</c:v>
                </c:pt>
                <c:pt idx="1">
                  <c:v>-0.2822411522</c:v>
                </c:pt>
                <c:pt idx="2">
                  <c:v>0.02792887441</c:v>
                </c:pt>
                <c:pt idx="3">
                  <c:v>-0.2623042526</c:v>
                </c:pt>
                <c:pt idx="4">
                  <c:v>-0.1701350174</c:v>
                </c:pt>
                <c:pt idx="5">
                  <c:v>-0.1853057019</c:v>
                </c:pt>
                <c:pt idx="6">
                  <c:v>-0.06093276434</c:v>
                </c:pt>
                <c:pt idx="7">
                  <c:v>-0.5712096534</c:v>
                </c:pt>
                <c:pt idx="8">
                  <c:v>-0.3399539441</c:v>
                </c:pt>
                <c:pt idx="9">
                  <c:v>0.01820450139</c:v>
                </c:pt>
                <c:pt idx="10">
                  <c:v>-0.03910645144</c:v>
                </c:pt>
                <c:pt idx="11">
                  <c:v>-0.1475830165</c:v>
                </c:pt>
                <c:pt idx="12">
                  <c:v>-0.238764752</c:v>
                </c:pt>
                <c:pt idx="13">
                  <c:v>-0.1112616293</c:v>
                </c:pt>
                <c:pt idx="14">
                  <c:v>-0.07030790329</c:v>
                </c:pt>
              </c:numCache>
            </c:numRef>
          </c:xVal>
          <c:yVal>
            <c:numRef>
              <c:f>MASTER_DATA_3!$KN$3:$KN$17</c:f>
              <c:numCache>
                <c:formatCode>General</c:formatCode>
                <c:ptCount val="15"/>
                <c:pt idx="0">
                  <c:v>0.0700000015396466</c:v>
                </c:pt>
                <c:pt idx="1">
                  <c:v>0.62</c:v>
                </c:pt>
                <c:pt idx="2">
                  <c:v>0.06</c:v>
                </c:pt>
                <c:pt idx="3">
                  <c:v>0.669999999925493</c:v>
                </c:pt>
                <c:pt idx="4">
                  <c:v>0.0433333333333333</c:v>
                </c:pt>
                <c:pt idx="5">
                  <c:v>0.453333338</c:v>
                </c:pt>
                <c:pt idx="6">
                  <c:v>0.423333333333333</c:v>
                </c:pt>
                <c:pt idx="7">
                  <c:v>0.17333334</c:v>
                </c:pt>
                <c:pt idx="8">
                  <c:v>0.48</c:v>
                </c:pt>
                <c:pt idx="9">
                  <c:v>0.773333338399707</c:v>
                </c:pt>
                <c:pt idx="10">
                  <c:v>0.373333335</c:v>
                </c:pt>
                <c:pt idx="11">
                  <c:v>0.529999999333333</c:v>
                </c:pt>
                <c:pt idx="12">
                  <c:v>0.176666667</c:v>
                </c:pt>
                <c:pt idx="13">
                  <c:v>0.963333333333333</c:v>
                </c:pt>
                <c:pt idx="14">
                  <c:v>0.510000001128333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973072"/>
        <c:axId val="-2046970320"/>
      </c:scatterChart>
      <c:valAx>
        <c:axId val="-204697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6970320"/>
        <c:crosses val="autoZero"/>
        <c:crossBetween val="midCat"/>
      </c:valAx>
      <c:valAx>
        <c:axId val="-204697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69730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2833624465884"/>
          <c:y val="0.311002816553936"/>
          <c:w val="0.634756819220123"/>
          <c:h val="0.64434497646018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MASTER_DATA_4_IMAGING!$AV$3:$AV$17</c:f>
              <c:numCache>
                <c:formatCode>General</c:formatCode>
                <c:ptCount val="15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4">
                  <c:v>20.2705</c:v>
                </c:pt>
                <c:pt idx="5">
                  <c:v>20.5695</c:v>
                </c:pt>
                <c:pt idx="6">
                  <c:v>23.38190000000001</c:v>
                </c:pt>
                <c:pt idx="7">
                  <c:v>0.260000000000005</c:v>
                </c:pt>
                <c:pt idx="8">
                  <c:v>16.9892</c:v>
                </c:pt>
                <c:pt idx="9">
                  <c:v>29.0885</c:v>
                </c:pt>
                <c:pt idx="10">
                  <c:v>32.369</c:v>
                </c:pt>
                <c:pt idx="11">
                  <c:v>8.821299999999993</c:v>
                </c:pt>
                <c:pt idx="12">
                  <c:v>13.8231</c:v>
                </c:pt>
                <c:pt idx="13">
                  <c:v>43.976</c:v>
                </c:pt>
                <c:pt idx="14">
                  <c:v>15.854</c:v>
                </c:pt>
              </c:numCache>
            </c:numRef>
          </c:xVal>
          <c:yVal>
            <c:numRef>
              <c:f>MASTER_DATA_4_IMAGING!$BW$3:$BW$17</c:f>
              <c:numCache>
                <c:formatCode>General</c:formatCode>
                <c:ptCount val="15"/>
                <c:pt idx="0">
                  <c:v>-0.610934277896122</c:v>
                </c:pt>
                <c:pt idx="1">
                  <c:v>-0.557457579315268</c:v>
                </c:pt>
                <c:pt idx="2">
                  <c:v>-0.273665405556996</c:v>
                </c:pt>
                <c:pt idx="3">
                  <c:v>-0.754873241117875</c:v>
                </c:pt>
                <c:pt idx="4">
                  <c:v>-0.234655831673493</c:v>
                </c:pt>
                <c:pt idx="5">
                  <c:v>-0.243120479798724</c:v>
                </c:pt>
                <c:pt idx="8">
                  <c:v>-0.377800523049214</c:v>
                </c:pt>
                <c:pt idx="9">
                  <c:v>-0.65423840443474</c:v>
                </c:pt>
                <c:pt idx="12">
                  <c:v>-0.100104283107165</c:v>
                </c:pt>
                <c:pt idx="13">
                  <c:v>-0.752454003230651</c:v>
                </c:pt>
                <c:pt idx="14">
                  <c:v>-0.194257850724497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951488"/>
        <c:axId val="-2046945696"/>
      </c:scatterChart>
      <c:valAx>
        <c:axId val="-2046951488"/>
        <c:scaling>
          <c:orientation val="minMax"/>
          <c:max val="50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Visual cortex CBF </a:t>
                </a:r>
                <a:r>
                  <a:rPr lang="en-GB" sz="3500" baseline="0">
                    <a:latin typeface="Calibri"/>
                    <a:cs typeface="Calibri"/>
                  </a:rPr>
                  <a:t>↑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395154981053989"/>
              <c:y val="0.094142965810735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46945696"/>
        <c:crosses val="autoZero"/>
        <c:crossBetween val="midCat"/>
      </c:valAx>
      <c:valAx>
        <c:axId val="-20469456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>
                    <a:latin typeface="Calibri"/>
                    <a:cs typeface="Calibri"/>
                  </a:rPr>
                  <a:t>←</a:t>
                </a:r>
                <a:r>
                  <a:rPr lang="en-GB" sz="3500"/>
                  <a:t> OCC </a:t>
                </a:r>
                <a:r>
                  <a:rPr lang="el-GR" sz="3500">
                    <a:latin typeface="Calibri"/>
                    <a:cs typeface="Calibri"/>
                  </a:rPr>
                  <a:t>α</a:t>
                </a:r>
                <a:r>
                  <a:rPr lang="en-GB" sz="3500" baseline="0"/>
                  <a:t> power 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0888784499207224"/>
              <c:y val="0.2094581937048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46951488"/>
        <c:crosses val="autoZero"/>
        <c:crossBetween val="midCat"/>
        <c:majorUnit val="0.2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userShapes r:id="rId1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46491306334149"/>
          <c:y val="0.304736498016077"/>
          <c:w val="0.621104942087017"/>
          <c:h val="0.6506112949980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MASTER_DATA_4_IMAGING!$AX$3:$AX$17</c:f>
              <c:numCache>
                <c:formatCode>General</c:formatCode>
                <c:ptCount val="15"/>
                <c:pt idx="0">
                  <c:v>2.162960334</c:v>
                </c:pt>
                <c:pt idx="1">
                  <c:v>2.99673636</c:v>
                </c:pt>
                <c:pt idx="2">
                  <c:v>0.907373172</c:v>
                </c:pt>
                <c:pt idx="3">
                  <c:v>2.85038212</c:v>
                </c:pt>
                <c:pt idx="4">
                  <c:v>0.092598798</c:v>
                </c:pt>
                <c:pt idx="5">
                  <c:v>1.876124694</c:v>
                </c:pt>
                <c:pt idx="6">
                  <c:v>1.343793015</c:v>
                </c:pt>
                <c:pt idx="7">
                  <c:v>1.370384933</c:v>
                </c:pt>
                <c:pt idx="8">
                  <c:v>2.014571385</c:v>
                </c:pt>
                <c:pt idx="9">
                  <c:v>3.376717678</c:v>
                </c:pt>
                <c:pt idx="10">
                  <c:v>0.461808708</c:v>
                </c:pt>
                <c:pt idx="11">
                  <c:v>1.764077789</c:v>
                </c:pt>
                <c:pt idx="12">
                  <c:v>1.412679074</c:v>
                </c:pt>
                <c:pt idx="13">
                  <c:v>2.910232215</c:v>
                </c:pt>
                <c:pt idx="14">
                  <c:v>1.265985443</c:v>
                </c:pt>
              </c:numCache>
            </c:numRef>
          </c:xVal>
          <c:yVal>
            <c:numRef>
              <c:f>MASTER_DATA_4_IMAGING!$BW$3:$BW$17</c:f>
              <c:numCache>
                <c:formatCode>General</c:formatCode>
                <c:ptCount val="15"/>
                <c:pt idx="0">
                  <c:v>-0.610934277896122</c:v>
                </c:pt>
                <c:pt idx="1">
                  <c:v>-0.557457579315268</c:v>
                </c:pt>
                <c:pt idx="2">
                  <c:v>-0.273665405556996</c:v>
                </c:pt>
                <c:pt idx="3">
                  <c:v>-0.754873241117875</c:v>
                </c:pt>
                <c:pt idx="4">
                  <c:v>-0.234655831673493</c:v>
                </c:pt>
                <c:pt idx="5">
                  <c:v>-0.243120479798724</c:v>
                </c:pt>
                <c:pt idx="8">
                  <c:v>-0.377800523049214</c:v>
                </c:pt>
                <c:pt idx="9">
                  <c:v>-0.65423840443474</c:v>
                </c:pt>
                <c:pt idx="12">
                  <c:v>-0.100104283107165</c:v>
                </c:pt>
                <c:pt idx="13">
                  <c:v>-0.752454003230651</c:v>
                </c:pt>
                <c:pt idx="14">
                  <c:v>-0.194257850724497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109888"/>
        <c:axId val="-2047511840"/>
      </c:scatterChart>
      <c:valAx>
        <c:axId val="-205010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V1 RSFC </a:t>
                </a:r>
                <a:r>
                  <a:rPr lang="en-GB" sz="3500" baseline="0">
                    <a:latin typeface="Calibri"/>
                    <a:cs typeface="Calibri"/>
                  </a:rPr>
                  <a:t>↑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468915858213969"/>
              <c:y val="0.104586830040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47511840"/>
        <c:crosses val="autoZero"/>
        <c:crossBetween val="midCat"/>
      </c:valAx>
      <c:valAx>
        <c:axId val="-20475118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>
                    <a:latin typeface="Calibri"/>
                    <a:cs typeface="Calibri"/>
                  </a:rPr>
                  <a:t>←</a:t>
                </a:r>
                <a:r>
                  <a:rPr lang="en-GB" sz="3500"/>
                  <a:t> Occ</a:t>
                </a:r>
                <a:r>
                  <a:rPr lang="en-GB" sz="3500" baseline="0"/>
                  <a:t> </a:t>
                </a:r>
                <a:r>
                  <a:rPr lang="el-GR" sz="3500" baseline="0"/>
                  <a:t>α</a:t>
                </a:r>
                <a:r>
                  <a:rPr lang="en-GB" sz="3500" baseline="0"/>
                  <a:t> power 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0847828867807906"/>
              <c:y val="0.25541119631586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50109888"/>
        <c:crosses val="autoZero"/>
        <c:crossBetween val="midCat"/>
        <c:majorUnit val="0.2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userShapes r:id="rId1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2428236599708"/>
          <c:y val="0.33780648884858"/>
          <c:w val="0.700208573522193"/>
          <c:h val="0.6167974605268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MASTER_DATA_4_IMAGING!$AF$3:$AF$17</c:f>
              <c:numCache>
                <c:formatCode>General</c:formatCode>
                <c:ptCount val="15"/>
                <c:pt idx="0">
                  <c:v>-0.0992542436416667</c:v>
                </c:pt>
                <c:pt idx="1">
                  <c:v>-0.411114925291667</c:v>
                </c:pt>
                <c:pt idx="2">
                  <c:v>-0.2324265152</c:v>
                </c:pt>
                <c:pt idx="3">
                  <c:v>-0.383625158658333</c:v>
                </c:pt>
                <c:pt idx="4">
                  <c:v>-0.329047625483333</c:v>
                </c:pt>
                <c:pt idx="5">
                  <c:v>-0.116925142283333</c:v>
                </c:pt>
                <c:pt idx="6">
                  <c:v>-0.430970306158333</c:v>
                </c:pt>
                <c:pt idx="7">
                  <c:v>-0.268085117658333</c:v>
                </c:pt>
                <c:pt idx="8">
                  <c:v>-0.4199116941</c:v>
                </c:pt>
                <c:pt idx="9">
                  <c:v>-0.0941748171416667</c:v>
                </c:pt>
                <c:pt idx="10">
                  <c:v>-0.066584580225</c:v>
                </c:pt>
                <c:pt idx="11">
                  <c:v>-0.337970023775</c:v>
                </c:pt>
                <c:pt idx="12">
                  <c:v>-0.39789291295</c:v>
                </c:pt>
                <c:pt idx="13">
                  <c:v>-0.302394171391667</c:v>
                </c:pt>
                <c:pt idx="14">
                  <c:v>-0.0826522036583333</c:v>
                </c:pt>
              </c:numCache>
            </c:numRef>
          </c:xVal>
          <c:yVal>
            <c:numRef>
              <c:f>MASTER_DATA_4_IMAGING!$AT$3:$AT$17</c:f>
              <c:numCache>
                <c:formatCode>General</c:formatCode>
                <c:ptCount val="15"/>
                <c:pt idx="0">
                  <c:v>0.268982191958333</c:v>
                </c:pt>
                <c:pt idx="1">
                  <c:v>-6.902104932083333</c:v>
                </c:pt>
                <c:pt idx="2">
                  <c:v>-3.119696811416665</c:v>
                </c:pt>
                <c:pt idx="3">
                  <c:v>-5.675115451458333</c:v>
                </c:pt>
                <c:pt idx="4">
                  <c:v>-4.609700915083333</c:v>
                </c:pt>
                <c:pt idx="5">
                  <c:v>-1.362732811</c:v>
                </c:pt>
                <c:pt idx="6">
                  <c:v>-5.5830455605</c:v>
                </c:pt>
                <c:pt idx="7">
                  <c:v>-5.873522132083333</c:v>
                </c:pt>
                <c:pt idx="8">
                  <c:v>-5.972702426291667</c:v>
                </c:pt>
                <c:pt idx="9">
                  <c:v>2.602587130916667</c:v>
                </c:pt>
                <c:pt idx="10">
                  <c:v>1.547842865375</c:v>
                </c:pt>
                <c:pt idx="11">
                  <c:v>-5.041176995</c:v>
                </c:pt>
                <c:pt idx="12">
                  <c:v>-5.925751840708333</c:v>
                </c:pt>
                <c:pt idx="13">
                  <c:v>-2.468685783291666</c:v>
                </c:pt>
                <c:pt idx="14">
                  <c:v>-2.22186764625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701808"/>
        <c:axId val="-2050971376"/>
      </c:scatterChart>
      <c:valAx>
        <c:axId val="-2050701808"/>
        <c:scaling>
          <c:orientation val="minMax"/>
          <c:max val="0.0"/>
          <c:min val="-0.5"/>
        </c:scaling>
        <c:delete val="0"/>
        <c:axPos val="b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RSN integrity</a:t>
                </a:r>
                <a:r>
                  <a:rPr lang="en-GB" sz="3500" baseline="0">
                    <a:latin typeface="Calibri"/>
                    <a:cs typeface="Calibri"/>
                  </a:rPr>
                  <a:t> ↓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407520656914582"/>
              <c:y val="0.0608264830770499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txPr>
          <a:bodyPr/>
          <a:lstStyle/>
          <a:p>
            <a:pPr>
              <a:defRPr sz="3500"/>
            </a:pPr>
            <a:endParaRPr lang="en-US"/>
          </a:p>
        </c:txPr>
        <c:crossAx val="-2050971376"/>
        <c:crossesAt val="4.0"/>
        <c:crossBetween val="midCat"/>
      </c:valAx>
      <c:valAx>
        <c:axId val="-20509713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>
                    <a:latin typeface="Calibri"/>
                    <a:cs typeface="Calibri"/>
                  </a:rPr>
                  <a:t>←</a:t>
                </a:r>
                <a:r>
                  <a:rPr lang="en-GB" sz="3500"/>
                  <a:t> RSN variance</a:t>
                </a:r>
              </a:p>
            </c:rich>
          </c:tx>
          <c:layout>
            <c:manualLayout>
              <c:xMode val="edge"/>
              <c:yMode val="edge"/>
              <c:x val="0.0650821277749313"/>
              <c:y val="0.24907944098610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50701808"/>
        <c:crossesAt val="-0.5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>
      <a:solidFill>
        <a:schemeClr val="bg1">
          <a:lumMod val="75000"/>
        </a:schemeClr>
      </a:solidFill>
    </a:ln>
  </c:spPr>
  <c:userShapes r:id="rId1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2394262823731"/>
          <c:y val="0.356654656387847"/>
          <c:w val="0.646925846253086"/>
          <c:h val="0.59794929298759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MASTER_DATA_4_IMAGING!$AF$3:$AF$17</c:f>
              <c:numCache>
                <c:formatCode>General</c:formatCode>
                <c:ptCount val="15"/>
                <c:pt idx="0">
                  <c:v>-0.0992542436416667</c:v>
                </c:pt>
                <c:pt idx="1">
                  <c:v>-0.411114925291667</c:v>
                </c:pt>
                <c:pt idx="2">
                  <c:v>-0.2324265152</c:v>
                </c:pt>
                <c:pt idx="3">
                  <c:v>-0.383625158658333</c:v>
                </c:pt>
                <c:pt idx="4">
                  <c:v>-0.329047625483333</c:v>
                </c:pt>
                <c:pt idx="5">
                  <c:v>-0.116925142283333</c:v>
                </c:pt>
                <c:pt idx="6">
                  <c:v>-0.430970306158333</c:v>
                </c:pt>
                <c:pt idx="7">
                  <c:v>-0.268085117658333</c:v>
                </c:pt>
                <c:pt idx="8">
                  <c:v>-0.4199116941</c:v>
                </c:pt>
                <c:pt idx="9">
                  <c:v>-0.0941748171416667</c:v>
                </c:pt>
                <c:pt idx="10">
                  <c:v>-0.066584580225</c:v>
                </c:pt>
                <c:pt idx="11">
                  <c:v>-0.337970023775</c:v>
                </c:pt>
                <c:pt idx="12">
                  <c:v>-0.39789291295</c:v>
                </c:pt>
                <c:pt idx="13">
                  <c:v>-0.302394171391667</c:v>
                </c:pt>
                <c:pt idx="14">
                  <c:v>-0.0826522036583333</c:v>
                </c:pt>
              </c:numCache>
            </c:numRef>
          </c:xVal>
          <c:yVal>
            <c:numRef>
              <c:f>MASTER_DATA_4_IMAGING!$CG$3:$CG$17</c:f>
              <c:numCache>
                <c:formatCode>General</c:formatCode>
                <c:ptCount val="15"/>
                <c:pt idx="0">
                  <c:v>-0.49</c:v>
                </c:pt>
                <c:pt idx="1">
                  <c:v>-1.2481</c:v>
                </c:pt>
                <c:pt idx="2">
                  <c:v>-0.949275</c:v>
                </c:pt>
                <c:pt idx="3">
                  <c:v>-0.786325</c:v>
                </c:pt>
                <c:pt idx="4">
                  <c:v>-0.514625</c:v>
                </c:pt>
                <c:pt idx="5">
                  <c:v>-0.3252</c:v>
                </c:pt>
                <c:pt idx="8">
                  <c:v>-1.28665</c:v>
                </c:pt>
                <c:pt idx="9">
                  <c:v>-0.135875</c:v>
                </c:pt>
                <c:pt idx="11">
                  <c:v>-0.5855</c:v>
                </c:pt>
                <c:pt idx="12">
                  <c:v>-0.90755</c:v>
                </c:pt>
                <c:pt idx="13">
                  <c:v>-0.949175</c:v>
                </c:pt>
                <c:pt idx="14">
                  <c:v>-0.4208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417984"/>
        <c:axId val="-2050468608"/>
      </c:scatterChart>
      <c:valAx>
        <c:axId val="-2047417984"/>
        <c:scaling>
          <c:orientation val="minMax"/>
          <c:max val="0.0"/>
          <c:min val="-0.5"/>
        </c:scaling>
        <c:delete val="0"/>
        <c:axPos val="b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RSN integrity</a:t>
                </a:r>
                <a:r>
                  <a:rPr lang="en-GB" sz="3500" baseline="0">
                    <a:latin typeface="Calibri"/>
                    <a:cs typeface="Calibri"/>
                  </a:rPr>
                  <a:t> ↓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421188082392407"/>
              <c:y val="0.0587322422393536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txPr>
          <a:bodyPr/>
          <a:lstStyle/>
          <a:p>
            <a:pPr>
              <a:defRPr sz="3500"/>
            </a:pPr>
            <a:endParaRPr lang="en-US"/>
          </a:p>
        </c:txPr>
        <c:crossAx val="-2050468608"/>
        <c:crossesAt val="4.0"/>
        <c:crossBetween val="midCat"/>
      </c:valAx>
      <c:valAx>
        <c:axId val="-20504686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>
                    <a:latin typeface="Calibri"/>
                    <a:cs typeface="Calibri"/>
                  </a:rPr>
                  <a:t>←</a:t>
                </a:r>
                <a:r>
                  <a:rPr lang="en-GB" sz="3500"/>
                  <a:t> Power </a:t>
                </a:r>
                <a:r>
                  <a:rPr lang="en-GB" sz="3000"/>
                  <a:t>(1-30Hz)</a:t>
                </a:r>
              </a:p>
            </c:rich>
          </c:tx>
          <c:layout>
            <c:manualLayout>
              <c:xMode val="edge"/>
              <c:yMode val="edge"/>
              <c:x val="0.0732793545359226"/>
              <c:y val="0.1420160778332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3500"/>
            </a:pPr>
            <a:endParaRPr lang="en-US"/>
          </a:p>
        </c:txPr>
        <c:crossAx val="-2047417984"/>
        <c:crossesAt val="-0.5"/>
        <c:crossBetween val="midCat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userShapes r:id="rId1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3167603423399"/>
          <c:y val="0.348277693037062"/>
          <c:w val="0.651026073896433"/>
          <c:h val="0.60698404584243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MASTER_DATA_4_IMAGING!$AF$3:$AF$17</c:f>
              <c:numCache>
                <c:formatCode>General</c:formatCode>
                <c:ptCount val="15"/>
                <c:pt idx="0">
                  <c:v>-0.0992542436416667</c:v>
                </c:pt>
                <c:pt idx="1">
                  <c:v>-0.411114925291667</c:v>
                </c:pt>
                <c:pt idx="2">
                  <c:v>-0.2324265152</c:v>
                </c:pt>
                <c:pt idx="3">
                  <c:v>-0.383625158658333</c:v>
                </c:pt>
                <c:pt idx="4">
                  <c:v>-0.329047625483333</c:v>
                </c:pt>
                <c:pt idx="5">
                  <c:v>-0.116925142283333</c:v>
                </c:pt>
                <c:pt idx="6">
                  <c:v>-0.430970306158333</c:v>
                </c:pt>
                <c:pt idx="7">
                  <c:v>-0.268085117658333</c:v>
                </c:pt>
                <c:pt idx="8">
                  <c:v>-0.4199116941</c:v>
                </c:pt>
                <c:pt idx="9">
                  <c:v>-0.0941748171416667</c:v>
                </c:pt>
                <c:pt idx="10">
                  <c:v>-0.066584580225</c:v>
                </c:pt>
                <c:pt idx="11">
                  <c:v>-0.337970023775</c:v>
                </c:pt>
                <c:pt idx="12">
                  <c:v>-0.39789291295</c:v>
                </c:pt>
                <c:pt idx="13">
                  <c:v>-0.302394171391667</c:v>
                </c:pt>
                <c:pt idx="14">
                  <c:v>-0.0826522036583333</c:v>
                </c:pt>
              </c:numCache>
            </c:numRef>
          </c:xVal>
          <c:y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069680"/>
        <c:axId val="-2047064464"/>
      </c:scatterChart>
      <c:valAx>
        <c:axId val="-2047069680"/>
        <c:scaling>
          <c:orientation val="maxMin"/>
          <c:max val="0.0"/>
          <c:min val="-0.5"/>
        </c:scaling>
        <c:delete val="0"/>
        <c:axPos val="t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RSN integrity</a:t>
                </a:r>
                <a:r>
                  <a:rPr lang="en-GB" sz="3500" baseline="0">
                    <a:latin typeface="Calibri"/>
                    <a:cs typeface="Calibri"/>
                  </a:rPr>
                  <a:t> ↓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412987627105712"/>
              <c:y val="0.0587322422393536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3500"/>
            </a:pPr>
            <a:endParaRPr lang="en-US"/>
          </a:p>
        </c:txPr>
        <c:crossAx val="-2047064464"/>
        <c:crossesAt val="0.0"/>
        <c:crossBetween val="midCat"/>
      </c:valAx>
      <c:valAx>
        <c:axId val="-2047064464"/>
        <c:scaling>
          <c:orientation val="maxMin"/>
          <c:max val="0.4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>
                    <a:latin typeface="Calibri"/>
                    <a:cs typeface="Calibri"/>
                  </a:rPr>
                  <a:t>←</a:t>
                </a:r>
                <a:r>
                  <a:rPr lang="en-GB" sz="3500"/>
                  <a:t> RSN</a:t>
                </a:r>
                <a:r>
                  <a:rPr lang="en-GB" sz="3500" baseline="0"/>
                  <a:t> segregation  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0650788992492279"/>
              <c:y val="0.130900441109783"/>
            </c:manualLayout>
          </c:layout>
          <c:overlay val="0"/>
        </c:title>
        <c:numFmt formatCode="General" sourceLinked="1"/>
        <c:majorTickMark val="out"/>
        <c:minorTickMark val="none"/>
        <c:tickLblPos val="high"/>
        <c:txPr>
          <a:bodyPr/>
          <a:lstStyle/>
          <a:p>
            <a:pPr>
              <a:defRPr sz="3500"/>
            </a:pPr>
            <a:endParaRPr lang="en-US"/>
          </a:p>
        </c:txPr>
        <c:crossAx val="-2047069680"/>
        <c:crossesAt val="0.0"/>
        <c:crossBetween val="midCat"/>
        <c:majorUnit val="0.2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userShapes r:id="rId1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7267831066747"/>
          <c:y val="0.373408583089418"/>
          <c:w val="0.646925846253086"/>
          <c:h val="0.58185315579008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18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MASTER_DATA_4_IMAGING!$CG$3:$CG$17</c:f>
              <c:numCache>
                <c:formatCode>General</c:formatCode>
                <c:ptCount val="15"/>
                <c:pt idx="0">
                  <c:v>-0.49</c:v>
                </c:pt>
                <c:pt idx="1">
                  <c:v>-1.2481</c:v>
                </c:pt>
                <c:pt idx="2">
                  <c:v>-0.949275</c:v>
                </c:pt>
                <c:pt idx="3">
                  <c:v>-0.786325</c:v>
                </c:pt>
                <c:pt idx="4">
                  <c:v>-0.514625</c:v>
                </c:pt>
                <c:pt idx="5">
                  <c:v>-0.3252</c:v>
                </c:pt>
                <c:pt idx="8">
                  <c:v>-1.28665</c:v>
                </c:pt>
                <c:pt idx="9">
                  <c:v>-0.135875</c:v>
                </c:pt>
                <c:pt idx="11">
                  <c:v>-0.5855</c:v>
                </c:pt>
                <c:pt idx="12">
                  <c:v>-0.90755</c:v>
                </c:pt>
                <c:pt idx="13">
                  <c:v>-0.949175</c:v>
                </c:pt>
                <c:pt idx="14">
                  <c:v>-0.4208</c:v>
                </c:pt>
              </c:numCache>
            </c:numRef>
          </c:xVal>
          <c:y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541952"/>
        <c:axId val="-2047437632"/>
      </c:scatterChart>
      <c:valAx>
        <c:axId val="-2047541952"/>
        <c:scaling>
          <c:orientation val="maxMin"/>
        </c:scaling>
        <c:delete val="0"/>
        <c:axPos val="t"/>
        <c:title>
          <c:tx>
            <c:rich>
              <a:bodyPr/>
              <a:lstStyle/>
              <a:p>
                <a:pPr>
                  <a:defRPr sz="3500"/>
                </a:pPr>
                <a:r>
                  <a:rPr lang="en-GB" sz="3500" baseline="0"/>
                  <a:t>Power </a:t>
                </a:r>
                <a:r>
                  <a:rPr lang="en-GB" sz="3000" baseline="0"/>
                  <a:t>(1-30Hz) </a:t>
                </a:r>
                <a:r>
                  <a:rPr lang="en-GB" sz="3500" baseline="0">
                    <a:latin typeface="Calibri"/>
                    <a:cs typeface="Calibri"/>
                  </a:rPr>
                  <a:t>↓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38975300379341"/>
              <c:y val="0.0608264830770499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3500"/>
            </a:pPr>
            <a:endParaRPr lang="en-US"/>
          </a:p>
        </c:txPr>
        <c:crossAx val="-2047437632"/>
        <c:crossesAt val="0.0"/>
        <c:crossBetween val="midCat"/>
      </c:valAx>
      <c:valAx>
        <c:axId val="-2047437632"/>
        <c:scaling>
          <c:orientation val="maxMin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3500"/>
                </a:pPr>
                <a:r>
                  <a:rPr lang="en-GB" sz="3500" baseline="0">
                    <a:latin typeface="Calibri"/>
                    <a:cs typeface="Calibri"/>
                  </a:rPr>
                  <a:t>←</a:t>
                </a:r>
                <a:r>
                  <a:rPr lang="en-GB" sz="3500" baseline="0"/>
                  <a:t> RSN segregation  </a:t>
                </a:r>
                <a:endParaRPr lang="en-GB" sz="3500"/>
              </a:p>
            </c:rich>
          </c:tx>
          <c:layout>
            <c:manualLayout>
              <c:xMode val="edge"/>
              <c:yMode val="edge"/>
              <c:x val="0.0732793545359226"/>
              <c:y val="0.132994681947479"/>
            </c:manualLayout>
          </c:layout>
          <c:overlay val="0"/>
        </c:title>
        <c:numFmt formatCode="General" sourceLinked="1"/>
        <c:majorTickMark val="in"/>
        <c:minorTickMark val="none"/>
        <c:tickLblPos val="high"/>
        <c:txPr>
          <a:bodyPr/>
          <a:lstStyle/>
          <a:p>
            <a:pPr>
              <a:defRPr sz="3500"/>
            </a:pPr>
            <a:endParaRPr lang="en-US"/>
          </a:p>
        </c:txPr>
        <c:crossAx val="-2047541952"/>
        <c:crossesAt val="0.0"/>
        <c:crossBetween val="midCat"/>
        <c:majorUnit val="0.1"/>
        <c:minorUnit val="0.01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userShapes r:id="rId1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0142420722"/>
          <c:y val="0.161620597634501"/>
          <c:w val="0.836346865453294"/>
          <c:h val="0.6530876684347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</c:marker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MASTER_DATA_4_IMAGING!$Y$3:$Y$17</c:f>
              <c:numCache>
                <c:formatCode>General</c:formatCode>
                <c:ptCount val="15"/>
                <c:pt idx="0">
                  <c:v>-0.1872426141</c:v>
                </c:pt>
                <c:pt idx="1">
                  <c:v>-0.5019366933</c:v>
                </c:pt>
                <c:pt idx="2">
                  <c:v>-0.0459240709999999</c:v>
                </c:pt>
                <c:pt idx="3">
                  <c:v>-0.2872757605</c:v>
                </c:pt>
                <c:pt idx="4">
                  <c:v>-0.435930425</c:v>
                </c:pt>
                <c:pt idx="5">
                  <c:v>-0.2043187791</c:v>
                </c:pt>
                <c:pt idx="6">
                  <c:v>-0.7362357461</c:v>
                </c:pt>
                <c:pt idx="7">
                  <c:v>-0.1736922253</c:v>
                </c:pt>
                <c:pt idx="8">
                  <c:v>-0.509668787</c:v>
                </c:pt>
                <c:pt idx="9">
                  <c:v>-0.161428781</c:v>
                </c:pt>
                <c:pt idx="10">
                  <c:v>-0.236286172</c:v>
                </c:pt>
                <c:pt idx="11">
                  <c:v>-0.676499765</c:v>
                </c:pt>
                <c:pt idx="12">
                  <c:v>-0.7177722454</c:v>
                </c:pt>
                <c:pt idx="13">
                  <c:v>-0.3972295963</c:v>
                </c:pt>
                <c:pt idx="14">
                  <c:v>-0.381459852</c:v>
                </c:pt>
              </c:numCache>
            </c:numRef>
          </c:xVal>
          <c:yVal>
            <c:numRef>
              <c:f>MASTER_DATA_4_IMAGING!$S$3:$S$17</c:f>
              <c:numCache>
                <c:formatCode>General</c:formatCode>
                <c:ptCount val="15"/>
                <c:pt idx="0">
                  <c:v>0.0</c:v>
                </c:pt>
                <c:pt idx="1">
                  <c:v>16.0</c:v>
                </c:pt>
                <c:pt idx="2">
                  <c:v>0.0</c:v>
                </c:pt>
                <c:pt idx="3">
                  <c:v>2.0</c:v>
                </c:pt>
                <c:pt idx="4">
                  <c:v>0.0</c:v>
                </c:pt>
                <c:pt idx="5">
                  <c:v>6.0</c:v>
                </c:pt>
                <c:pt idx="6">
                  <c:v>1.0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3.0</c:v>
                </c:pt>
                <c:pt idx="11">
                  <c:v>20.0</c:v>
                </c:pt>
                <c:pt idx="12">
                  <c:v>10.5</c:v>
                </c:pt>
                <c:pt idx="13">
                  <c:v>16.5</c:v>
                </c:pt>
                <c:pt idx="14">
                  <c:v>11.0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633344"/>
        <c:axId val="-2047576592"/>
      </c:scatterChart>
      <c:valAx>
        <c:axId val="-2050633344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3200"/>
                </a:pPr>
                <a:r>
                  <a:rPr lang="en-US" sz="3200"/>
                  <a:t>DMN disintegration </a:t>
                </a:r>
                <a:r>
                  <a:rPr lang="en-US" sz="3200">
                    <a:latin typeface="Calibri"/>
                    <a:cs typeface="Calibri"/>
                  </a:rPr>
                  <a:t>→</a:t>
                </a:r>
                <a:endParaRPr lang="en-US" sz="32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/>
            </a:pPr>
            <a:endParaRPr lang="en-US"/>
          </a:p>
        </c:txPr>
        <c:crossAx val="-2047576592"/>
        <c:crossesAt val="-0.8"/>
        <c:crossBetween val="midCat"/>
      </c:valAx>
      <c:valAx>
        <c:axId val="-2047576592"/>
        <c:scaling>
          <c:orientation val="minMax"/>
          <c:max val="2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3200"/>
                </a:pPr>
                <a:r>
                  <a:rPr lang="en-US" sz="3200"/>
                  <a:t>Ego-dissolution </a:t>
                </a:r>
                <a:r>
                  <a:rPr lang="en-US" sz="3200">
                    <a:latin typeface="Calibri"/>
                    <a:cs typeface="Calibri"/>
                  </a:rPr>
                  <a:t>→</a:t>
                </a:r>
                <a:endParaRPr lang="en-US" sz="3200"/>
              </a:p>
            </c:rich>
          </c:tx>
          <c:layout>
            <c:manualLayout>
              <c:xMode val="edge"/>
              <c:yMode val="edge"/>
              <c:x val="0.0325409836065574"/>
              <c:y val="0.278626989094982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2200"/>
            </a:pPr>
            <a:endParaRPr lang="en-US"/>
          </a:p>
        </c:txPr>
        <c:crossAx val="-2050633344"/>
        <c:crossesAt val="0.0"/>
        <c:crossBetween val="midCat"/>
      </c:valAx>
    </c:plotArea>
    <c:plotVisOnly val="1"/>
    <c:dispBlanksAs val="gap"/>
    <c:showDLblsOverMax val="0"/>
  </c:chart>
  <c:userShapes r:id="rId1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0142420722"/>
          <c:y val="0.136555251742357"/>
          <c:w val="0.836346865453294"/>
          <c:h val="0.69695195411278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</c:marker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MASTER_DATA_4_IMAGING!$EX$3:$EX$17</c:f>
              <c:numCache>
                <c:formatCode>General</c:formatCode>
                <c:ptCount val="15"/>
                <c:pt idx="0">
                  <c:v>-0.7362357461</c:v>
                </c:pt>
                <c:pt idx="1">
                  <c:v>-0.1736922253</c:v>
                </c:pt>
                <c:pt idx="2">
                  <c:v>-0.509668787</c:v>
                </c:pt>
                <c:pt idx="3">
                  <c:v>-0.161428781</c:v>
                </c:pt>
                <c:pt idx="4">
                  <c:v>-0.236286172</c:v>
                </c:pt>
                <c:pt idx="5">
                  <c:v>-0.676499765</c:v>
                </c:pt>
                <c:pt idx="6">
                  <c:v>-0.7177722454</c:v>
                </c:pt>
                <c:pt idx="7">
                  <c:v>-0.3972295963</c:v>
                </c:pt>
                <c:pt idx="8">
                  <c:v>-0.1872426141</c:v>
                </c:pt>
                <c:pt idx="9">
                  <c:v>-0.381459852</c:v>
                </c:pt>
                <c:pt idx="10">
                  <c:v>-0.5019366933</c:v>
                </c:pt>
                <c:pt idx="11">
                  <c:v>-0.0459240709999999</c:v>
                </c:pt>
                <c:pt idx="12">
                  <c:v>-0.2872757605</c:v>
                </c:pt>
                <c:pt idx="13">
                  <c:v>-0.435930425</c:v>
                </c:pt>
                <c:pt idx="14">
                  <c:v>-0.2043187791</c:v>
                </c:pt>
              </c:numCache>
            </c:numRef>
          </c:xVal>
          <c:yVal>
            <c:numRef>
              <c:f>MASTER_DATA_4_IMAGING!$EY$3:$EY$17</c:f>
              <c:numCache>
                <c:formatCode>General</c:formatCode>
                <c:ptCount val="15"/>
                <c:pt idx="0">
                  <c:v>0.0</c:v>
                </c:pt>
                <c:pt idx="1">
                  <c:v>0.17</c:v>
                </c:pt>
                <c:pt idx="2">
                  <c:v>0.0</c:v>
                </c:pt>
                <c:pt idx="3">
                  <c:v>-1.0</c:v>
                </c:pt>
                <c:pt idx="4">
                  <c:v>-1.33</c:v>
                </c:pt>
                <c:pt idx="5">
                  <c:v>-2.67</c:v>
                </c:pt>
                <c:pt idx="6">
                  <c:v>-3.17</c:v>
                </c:pt>
                <c:pt idx="7">
                  <c:v>0.17</c:v>
                </c:pt>
                <c:pt idx="8">
                  <c:v>0.0</c:v>
                </c:pt>
                <c:pt idx="9">
                  <c:v>-0.67</c:v>
                </c:pt>
                <c:pt idx="10">
                  <c:v>-0.83</c:v>
                </c:pt>
                <c:pt idx="11">
                  <c:v>0.0</c:v>
                </c:pt>
                <c:pt idx="12">
                  <c:v>-0.17</c:v>
                </c:pt>
                <c:pt idx="13">
                  <c:v>0.0</c:v>
                </c:pt>
                <c:pt idx="14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551360"/>
        <c:axId val="-2047545984"/>
      </c:scatterChart>
      <c:valAx>
        <c:axId val="-204755136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3200"/>
                </a:pPr>
                <a:r>
                  <a:rPr lang="en-US" sz="3200"/>
                  <a:t>DMN disintegration </a:t>
                </a:r>
                <a:r>
                  <a:rPr lang="en-US" sz="3200">
                    <a:latin typeface="Calibri"/>
                    <a:cs typeface="Calibri"/>
                  </a:rPr>
                  <a:t>→</a:t>
                </a:r>
                <a:endParaRPr lang="en-US" sz="32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/>
            </a:pPr>
            <a:endParaRPr lang="en-US"/>
          </a:p>
        </c:txPr>
        <c:crossAx val="-2047545984"/>
        <c:crosses val="autoZero"/>
        <c:crossBetween val="midCat"/>
      </c:valAx>
      <c:valAx>
        <c:axId val="-2047545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/>
            </a:pPr>
            <a:endParaRPr lang="en-US"/>
          </a:p>
        </c:txPr>
        <c:crossAx val="-2047551360"/>
        <c:crossesAt val="0.0"/>
        <c:crossBetween val="midCat"/>
      </c:valAx>
    </c:plotArea>
    <c:plotVisOnly val="1"/>
    <c:dispBlanksAs val="gap"/>
    <c:showDLblsOverMax val="0"/>
  </c:chart>
  <c:userShapes r:id="rId1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0142420722"/>
          <c:y val="0.161620597634501"/>
          <c:w val="0.836346865453294"/>
          <c:h val="0.6530876684347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xVal>
          <c:yVal>
            <c:numRef>
              <c:f>MASTER_DATA_4_IMAGING!$E$3:$E$17</c:f>
              <c:numCache>
                <c:formatCode>General</c:formatCode>
                <c:ptCount val="15"/>
                <c:pt idx="0">
                  <c:v>0.0366666652263467</c:v>
                </c:pt>
                <c:pt idx="1">
                  <c:v>0.376666666666667</c:v>
                </c:pt>
                <c:pt idx="2">
                  <c:v>0.286666666666667</c:v>
                </c:pt>
                <c:pt idx="3">
                  <c:v>0.763333320617666</c:v>
                </c:pt>
                <c:pt idx="4">
                  <c:v>0.01</c:v>
                </c:pt>
                <c:pt idx="5">
                  <c:v>0.529999991333333</c:v>
                </c:pt>
                <c:pt idx="6">
                  <c:v>0.07</c:v>
                </c:pt>
                <c:pt idx="7">
                  <c:v>0.050000001</c:v>
                </c:pt>
                <c:pt idx="8">
                  <c:v>0.0133333333333333</c:v>
                </c:pt>
                <c:pt idx="9">
                  <c:v>0.45666666515184</c:v>
                </c:pt>
                <c:pt idx="10">
                  <c:v>0.216666666</c:v>
                </c:pt>
                <c:pt idx="11">
                  <c:v>0.326666658333333</c:v>
                </c:pt>
                <c:pt idx="12">
                  <c:v>0.183333333666667</c:v>
                </c:pt>
                <c:pt idx="13">
                  <c:v>0.303333333333333</c:v>
                </c:pt>
                <c:pt idx="14">
                  <c:v>0.533333338832667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369552"/>
        <c:axId val="-2050243616"/>
      </c:scatterChart>
      <c:valAx>
        <c:axId val="-2096369552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3200"/>
                </a:pPr>
                <a:r>
                  <a:rPr lang="en-US" sz="3200"/>
                  <a:t>Inter-RSN desegregation</a:t>
                </a:r>
                <a:r>
                  <a:rPr lang="en-US" sz="3200" baseline="0"/>
                  <a:t> </a:t>
                </a:r>
                <a:r>
                  <a:rPr lang="en-US" sz="3200">
                    <a:latin typeface="Calibri"/>
                    <a:cs typeface="Calibri"/>
                  </a:rPr>
                  <a:t>→</a:t>
                </a:r>
                <a:endParaRPr lang="en-US" sz="32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200"/>
            </a:pPr>
            <a:endParaRPr lang="en-US"/>
          </a:p>
        </c:txPr>
        <c:crossAx val="-2050243616"/>
        <c:crossesAt val="-0.8"/>
        <c:crossBetween val="midCat"/>
      </c:valAx>
      <c:valAx>
        <c:axId val="-205024361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3200"/>
                </a:pPr>
                <a:r>
                  <a:rPr lang="en-US" sz="3200"/>
                  <a:t>Insight (ASC) </a:t>
                </a:r>
                <a:r>
                  <a:rPr lang="en-US" sz="3200">
                    <a:latin typeface="Calibri"/>
                    <a:cs typeface="Calibri"/>
                  </a:rPr>
                  <a:t>→</a:t>
                </a:r>
                <a:endParaRPr lang="en-US" sz="3200"/>
              </a:p>
            </c:rich>
          </c:tx>
          <c:layout>
            <c:manualLayout>
              <c:xMode val="edge"/>
              <c:yMode val="edge"/>
              <c:x val="0.0325409836065574"/>
              <c:y val="0.278626989094982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2200"/>
            </a:pPr>
            <a:endParaRPr lang="en-US"/>
          </a:p>
        </c:txPr>
        <c:crossAx val="-2096369552"/>
        <c:crossesAt val="0.5"/>
        <c:crossBetween val="midCat"/>
      </c:valAx>
    </c:plotArea>
    <c:plotVisOnly val="1"/>
    <c:dispBlanksAs val="gap"/>
    <c:showDLblsOverMax val="0"/>
  </c:chart>
  <c:userShapes r:id="rId1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886198400399761"/>
          <c:y val="0.0900400803548033"/>
          <c:w val="0.88771502543548"/>
          <c:h val="0.84916548743761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MASTER_DATA_4_IMAGING!$DY$3:$DY$17</c:f>
              <c:numCache>
                <c:formatCode>General</c:formatCode>
                <c:ptCount val="15"/>
                <c:pt idx="0">
                  <c:v>0.0</c:v>
                </c:pt>
                <c:pt idx="1">
                  <c:v>0.93</c:v>
                </c:pt>
                <c:pt idx="2">
                  <c:v>0.05</c:v>
                </c:pt>
                <c:pt idx="3">
                  <c:v>0.070000000298</c:v>
                </c:pt>
                <c:pt idx="4">
                  <c:v>0.08</c:v>
                </c:pt>
                <c:pt idx="5">
                  <c:v>0.25</c:v>
                </c:pt>
                <c:pt idx="6">
                  <c:v>0.0</c:v>
                </c:pt>
                <c:pt idx="7">
                  <c:v>0.10000000149</c:v>
                </c:pt>
                <c:pt idx="8">
                  <c:v>0.11</c:v>
                </c:pt>
                <c:pt idx="9">
                  <c:v>0.0</c:v>
                </c:pt>
                <c:pt idx="10">
                  <c:v>0.119999997318</c:v>
                </c:pt>
                <c:pt idx="11">
                  <c:v>1.0</c:v>
                </c:pt>
                <c:pt idx="12">
                  <c:v>0.839999973774</c:v>
                </c:pt>
                <c:pt idx="13">
                  <c:v>0.94</c:v>
                </c:pt>
                <c:pt idx="14">
                  <c:v>0.589999973774</c:v>
                </c:pt>
              </c:numCache>
            </c:numRef>
          </c:xVal>
          <c:yVal>
            <c:numRef>
              <c:f>MASTER_DATA_4_IMAGING!$DR$3:$DR$17</c:f>
              <c:numCache>
                <c:formatCode>General</c:formatCode>
                <c:ptCount val="15"/>
                <c:pt idx="0">
                  <c:v>0.0</c:v>
                </c:pt>
                <c:pt idx="1">
                  <c:v>2.0</c:v>
                </c:pt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0.0</c:v>
                </c:pt>
                <c:pt idx="6">
                  <c:v>2.0</c:v>
                </c:pt>
                <c:pt idx="7">
                  <c:v>2.0</c:v>
                </c:pt>
                <c:pt idx="8">
                  <c:v>0.0</c:v>
                </c:pt>
                <c:pt idx="9">
                  <c:v>2.0</c:v>
                </c:pt>
                <c:pt idx="10">
                  <c:v>4.0</c:v>
                </c:pt>
                <c:pt idx="11">
                  <c:v>4.0</c:v>
                </c:pt>
                <c:pt idx="12">
                  <c:v>7.0</c:v>
                </c:pt>
                <c:pt idx="13">
                  <c:v>3.0</c:v>
                </c:pt>
                <c:pt idx="14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250016"/>
        <c:axId val="-2050334224"/>
      </c:scatterChart>
      <c:valAx>
        <c:axId val="-205025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334224"/>
        <c:crosses val="autoZero"/>
        <c:crossBetween val="midCat"/>
      </c:valAx>
      <c:valAx>
        <c:axId val="-2050334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0250016"/>
        <c:crosses val="autoZero"/>
        <c:crossBetween val="midCat"/>
      </c:valAx>
    </c:plotArea>
    <c:plotVisOnly val="1"/>
    <c:dispBlanksAs val="gap"/>
    <c:showDLblsOverMax val="0"/>
  </c:char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65625546806649"/>
                  <c:y val="-0.585213254593176"/>
                </c:manualLayout>
              </c:layout>
              <c:numFmt formatCode="General" sourceLinked="0"/>
            </c:trendlineLbl>
          </c:trendline>
          <c:xVal>
            <c:numRef>
              <c:f>MASTER_DATA_4_IMAGING!$R$3:$R$17</c:f>
              <c:numCache>
                <c:formatCode>General</c:formatCode>
                <c:ptCount val="15"/>
                <c:pt idx="0">
                  <c:v>10.0</c:v>
                </c:pt>
                <c:pt idx="1">
                  <c:v>3.5</c:v>
                </c:pt>
                <c:pt idx="2">
                  <c:v>1.5</c:v>
                </c:pt>
                <c:pt idx="3">
                  <c:v>9.5</c:v>
                </c:pt>
                <c:pt idx="4">
                  <c:v>-0.5</c:v>
                </c:pt>
                <c:pt idx="5">
                  <c:v>10.0</c:v>
                </c:pt>
                <c:pt idx="6">
                  <c:v>0.0</c:v>
                </c:pt>
                <c:pt idx="7">
                  <c:v>0.5</c:v>
                </c:pt>
                <c:pt idx="8">
                  <c:v>6.5</c:v>
                </c:pt>
                <c:pt idx="9">
                  <c:v>0.0</c:v>
                </c:pt>
                <c:pt idx="10">
                  <c:v>12.0</c:v>
                </c:pt>
                <c:pt idx="11">
                  <c:v>18.5</c:v>
                </c:pt>
                <c:pt idx="12">
                  <c:v>5.0</c:v>
                </c:pt>
                <c:pt idx="13">
                  <c:v>16.5</c:v>
                </c:pt>
                <c:pt idx="14">
                  <c:v>7.5</c:v>
                </c:pt>
              </c:numCache>
            </c:numRef>
          </c:xVal>
          <c:yVal>
            <c:numRef>
              <c:f>MASTER_DATA_4_IMAGING!$BD$3:$BD$17</c:f>
              <c:numCache>
                <c:formatCode>General</c:formatCode>
                <c:ptCount val="15"/>
                <c:pt idx="0">
                  <c:v>0.3328</c:v>
                </c:pt>
                <c:pt idx="1">
                  <c:v>0.0245</c:v>
                </c:pt>
                <c:pt idx="2">
                  <c:v>0.2129</c:v>
                </c:pt>
                <c:pt idx="3">
                  <c:v>0.1782</c:v>
                </c:pt>
                <c:pt idx="4">
                  <c:v>0.4688</c:v>
                </c:pt>
                <c:pt idx="5">
                  <c:v>0.0501</c:v>
                </c:pt>
                <c:pt idx="6">
                  <c:v>0.1035</c:v>
                </c:pt>
                <c:pt idx="7">
                  <c:v>0.253</c:v>
                </c:pt>
                <c:pt idx="8">
                  <c:v>0.415</c:v>
                </c:pt>
                <c:pt idx="9">
                  <c:v>0.2067</c:v>
                </c:pt>
                <c:pt idx="10">
                  <c:v>0.1284</c:v>
                </c:pt>
                <c:pt idx="11">
                  <c:v>0.2269</c:v>
                </c:pt>
                <c:pt idx="12">
                  <c:v>0.0122</c:v>
                </c:pt>
                <c:pt idx="13">
                  <c:v>0.0157</c:v>
                </c:pt>
                <c:pt idx="14">
                  <c:v>0.1503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490160"/>
        <c:axId val="-2047487456"/>
      </c:scatterChart>
      <c:valAx>
        <c:axId val="-204749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487456"/>
        <c:crosses val="autoZero"/>
        <c:crossBetween val="midCat"/>
      </c:valAx>
      <c:valAx>
        <c:axId val="-204748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490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186410455960447"/>
                  <c:y val="-0.374968128983877"/>
                </c:manualLayout>
              </c:layout>
              <c:numFmt formatCode="General" sourceLinked="0"/>
            </c:trendlineLbl>
          </c:trendline>
          <c:xVal>
            <c:numRef>
              <c:f>MASTER_DATA_4_IMAGING!$BD$3:$BD$17</c:f>
              <c:numCache>
                <c:formatCode>General</c:formatCode>
                <c:ptCount val="15"/>
                <c:pt idx="0">
                  <c:v>0.3328</c:v>
                </c:pt>
                <c:pt idx="1">
                  <c:v>0.0245</c:v>
                </c:pt>
                <c:pt idx="2">
                  <c:v>0.2129</c:v>
                </c:pt>
                <c:pt idx="3">
                  <c:v>0.1782</c:v>
                </c:pt>
                <c:pt idx="4">
                  <c:v>0.4688</c:v>
                </c:pt>
                <c:pt idx="5">
                  <c:v>0.0501</c:v>
                </c:pt>
                <c:pt idx="6">
                  <c:v>0.1035</c:v>
                </c:pt>
                <c:pt idx="7">
                  <c:v>0.253</c:v>
                </c:pt>
                <c:pt idx="8">
                  <c:v>0.415</c:v>
                </c:pt>
                <c:pt idx="9">
                  <c:v>0.2067</c:v>
                </c:pt>
                <c:pt idx="10">
                  <c:v>0.1284</c:v>
                </c:pt>
                <c:pt idx="11">
                  <c:v>0.2269</c:v>
                </c:pt>
                <c:pt idx="12">
                  <c:v>0.0122</c:v>
                </c:pt>
                <c:pt idx="13">
                  <c:v>0.0157</c:v>
                </c:pt>
                <c:pt idx="14">
                  <c:v>0.1503</c:v>
                </c:pt>
              </c:numCache>
            </c:numRef>
          </c:xVal>
          <c:yVal>
            <c:numRef>
              <c:f>MASTER_DATA_4_IMAGING!$N$3:$N$17</c:f>
              <c:numCache>
                <c:formatCode>General</c:formatCode>
                <c:ptCount val="15"/>
                <c:pt idx="0">
                  <c:v>11.0</c:v>
                </c:pt>
                <c:pt idx="1">
                  <c:v>11.5</c:v>
                </c:pt>
                <c:pt idx="2">
                  <c:v>10.5</c:v>
                </c:pt>
                <c:pt idx="3">
                  <c:v>13.0</c:v>
                </c:pt>
                <c:pt idx="4">
                  <c:v>8.5</c:v>
                </c:pt>
                <c:pt idx="5">
                  <c:v>14.5</c:v>
                </c:pt>
                <c:pt idx="6">
                  <c:v>11.0</c:v>
                </c:pt>
                <c:pt idx="7">
                  <c:v>8.5</c:v>
                </c:pt>
                <c:pt idx="8">
                  <c:v>4.0</c:v>
                </c:pt>
                <c:pt idx="9">
                  <c:v>13.0</c:v>
                </c:pt>
                <c:pt idx="10">
                  <c:v>10.5</c:v>
                </c:pt>
                <c:pt idx="11">
                  <c:v>18.5</c:v>
                </c:pt>
                <c:pt idx="12">
                  <c:v>14.5</c:v>
                </c:pt>
                <c:pt idx="13">
                  <c:v>18.5</c:v>
                </c:pt>
                <c:pt idx="14">
                  <c:v>15.0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546240"/>
        <c:axId val="-2050551952"/>
      </c:scatterChart>
      <c:valAx>
        <c:axId val="-205054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551952"/>
        <c:crosses val="autoZero"/>
        <c:crossBetween val="midCat"/>
      </c:valAx>
      <c:valAx>
        <c:axId val="-205055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546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MASTER_DATA_4_IMAGING!$E$3:$E$17</c:f>
              <c:numCache>
                <c:formatCode>General</c:formatCode>
                <c:ptCount val="15"/>
                <c:pt idx="0">
                  <c:v>0.0366666652263467</c:v>
                </c:pt>
                <c:pt idx="1">
                  <c:v>0.376666666666667</c:v>
                </c:pt>
                <c:pt idx="2">
                  <c:v>0.286666666666667</c:v>
                </c:pt>
                <c:pt idx="3">
                  <c:v>0.763333320617666</c:v>
                </c:pt>
                <c:pt idx="4">
                  <c:v>0.01</c:v>
                </c:pt>
                <c:pt idx="5">
                  <c:v>0.529999991333333</c:v>
                </c:pt>
                <c:pt idx="6">
                  <c:v>0.07</c:v>
                </c:pt>
                <c:pt idx="7">
                  <c:v>0.050000001</c:v>
                </c:pt>
                <c:pt idx="8">
                  <c:v>0.0133333333333333</c:v>
                </c:pt>
                <c:pt idx="9">
                  <c:v>0.45666666515184</c:v>
                </c:pt>
                <c:pt idx="10">
                  <c:v>0.216666666</c:v>
                </c:pt>
                <c:pt idx="11">
                  <c:v>0.326666658333333</c:v>
                </c:pt>
                <c:pt idx="12">
                  <c:v>0.183333333666667</c:v>
                </c:pt>
                <c:pt idx="13">
                  <c:v>0.303333333333333</c:v>
                </c:pt>
                <c:pt idx="14">
                  <c:v>0.533333338832667</c:v>
                </c:pt>
              </c:numCache>
            </c:numRef>
          </c:xVal>
          <c:y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1376000"/>
        <c:axId val="-2047220832"/>
      </c:scatterChart>
      <c:valAx>
        <c:axId val="-20613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220832"/>
        <c:crosses val="autoZero"/>
        <c:crossBetween val="midCat"/>
      </c:valAx>
      <c:valAx>
        <c:axId val="-20472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61376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784288102912508"/>
                  <c:y val="0.193716049851561"/>
                </c:manualLayout>
              </c:layout>
              <c:numFmt formatCode="General" sourceLinked="0"/>
            </c:trendlineLbl>
          </c:trendline>
          <c:xVal>
            <c:numRef>
              <c:f>MASTER_DATA_4_IMAGING!$BT$3:$BT$17</c:f>
              <c:numCache>
                <c:formatCode>General</c:formatCode>
                <c:ptCount val="15"/>
                <c:pt idx="0">
                  <c:v>-0.182335844209677</c:v>
                </c:pt>
                <c:pt idx="1">
                  <c:v>-0.494965675550401</c:v>
                </c:pt>
                <c:pt idx="2">
                  <c:v>-0.381915538484682</c:v>
                </c:pt>
                <c:pt idx="3">
                  <c:v>-0.319444829013215</c:v>
                </c:pt>
                <c:pt idx="4">
                  <c:v>-0.297530124208081</c:v>
                </c:pt>
                <c:pt idx="5">
                  <c:v>-0.239814323071158</c:v>
                </c:pt>
                <c:pt idx="8">
                  <c:v>-0.31526687554122</c:v>
                </c:pt>
                <c:pt idx="9">
                  <c:v>0.0832264886531698</c:v>
                </c:pt>
                <c:pt idx="12">
                  <c:v>-0.510340478949351</c:v>
                </c:pt>
                <c:pt idx="13">
                  <c:v>-0.361174509082968</c:v>
                </c:pt>
                <c:pt idx="14">
                  <c:v>-0.236183767545742</c:v>
                </c:pt>
              </c:numCache>
            </c:numRef>
          </c:xVal>
          <c:yVal>
            <c:numRef>
              <c:f>MASTER_DATA_4_IMAGING!$Y$3:$Y$17</c:f>
              <c:numCache>
                <c:formatCode>General</c:formatCode>
                <c:ptCount val="15"/>
                <c:pt idx="0">
                  <c:v>-0.1872426141</c:v>
                </c:pt>
                <c:pt idx="1">
                  <c:v>-0.5019366933</c:v>
                </c:pt>
                <c:pt idx="2">
                  <c:v>-0.0459240709999999</c:v>
                </c:pt>
                <c:pt idx="3">
                  <c:v>-0.2872757605</c:v>
                </c:pt>
                <c:pt idx="4">
                  <c:v>-0.435930425</c:v>
                </c:pt>
                <c:pt idx="5">
                  <c:v>-0.2043187791</c:v>
                </c:pt>
                <c:pt idx="6">
                  <c:v>-0.7362357461</c:v>
                </c:pt>
                <c:pt idx="7">
                  <c:v>-0.1736922253</c:v>
                </c:pt>
                <c:pt idx="8">
                  <c:v>-0.509668787</c:v>
                </c:pt>
                <c:pt idx="9">
                  <c:v>-0.161428781</c:v>
                </c:pt>
                <c:pt idx="10">
                  <c:v>-0.236286172</c:v>
                </c:pt>
                <c:pt idx="11">
                  <c:v>-0.676499765</c:v>
                </c:pt>
                <c:pt idx="12">
                  <c:v>-0.7177722454</c:v>
                </c:pt>
                <c:pt idx="13">
                  <c:v>-0.3972295963</c:v>
                </c:pt>
                <c:pt idx="14">
                  <c:v>-0.381459852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675568"/>
        <c:axId val="-2050798880"/>
      </c:scatterChart>
      <c:valAx>
        <c:axId val="-205067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798880"/>
        <c:crosses val="autoZero"/>
        <c:crossBetween val="midCat"/>
      </c:valAx>
      <c:valAx>
        <c:axId val="-2050798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0675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MASTER_DATA_4_IMAGING!$AV$3:$AV$17</c:f>
              <c:numCache>
                <c:formatCode>General</c:formatCode>
                <c:ptCount val="15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4">
                  <c:v>20.2705</c:v>
                </c:pt>
                <c:pt idx="5">
                  <c:v>20.5695</c:v>
                </c:pt>
                <c:pt idx="6">
                  <c:v>23.38190000000001</c:v>
                </c:pt>
                <c:pt idx="7">
                  <c:v>0.260000000000005</c:v>
                </c:pt>
                <c:pt idx="8">
                  <c:v>16.9892</c:v>
                </c:pt>
                <c:pt idx="9">
                  <c:v>29.0885</c:v>
                </c:pt>
                <c:pt idx="10">
                  <c:v>32.369</c:v>
                </c:pt>
                <c:pt idx="11">
                  <c:v>8.821299999999993</c:v>
                </c:pt>
                <c:pt idx="12">
                  <c:v>13.8231</c:v>
                </c:pt>
                <c:pt idx="13">
                  <c:v>43.976</c:v>
                </c:pt>
                <c:pt idx="14">
                  <c:v>15.854</c:v>
                </c:pt>
              </c:numCache>
            </c:numRef>
          </c:xVal>
          <c:yVal>
            <c:numRef>
              <c:f>MASTER_DATA_4_IMAGING!$BW$3:$BW$17</c:f>
              <c:numCache>
                <c:formatCode>General</c:formatCode>
                <c:ptCount val="15"/>
                <c:pt idx="0">
                  <c:v>-0.610934277896122</c:v>
                </c:pt>
                <c:pt idx="1">
                  <c:v>-0.557457579315268</c:v>
                </c:pt>
                <c:pt idx="2">
                  <c:v>-0.273665405556996</c:v>
                </c:pt>
                <c:pt idx="3">
                  <c:v>-0.754873241117875</c:v>
                </c:pt>
                <c:pt idx="4">
                  <c:v>-0.234655831673493</c:v>
                </c:pt>
                <c:pt idx="5">
                  <c:v>-0.243120479798724</c:v>
                </c:pt>
                <c:pt idx="8">
                  <c:v>-0.377800523049214</c:v>
                </c:pt>
                <c:pt idx="9">
                  <c:v>-0.65423840443474</c:v>
                </c:pt>
                <c:pt idx="12">
                  <c:v>-0.100104283107165</c:v>
                </c:pt>
                <c:pt idx="13">
                  <c:v>-0.752454003230651</c:v>
                </c:pt>
                <c:pt idx="14">
                  <c:v>-0.194257850724497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386272"/>
        <c:axId val="-2047379968"/>
      </c:scatterChart>
      <c:valAx>
        <c:axId val="-20473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379968"/>
        <c:crosses val="autoZero"/>
        <c:crossBetween val="midCat"/>
      </c:valAx>
      <c:valAx>
        <c:axId val="-204737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386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279582239720035"/>
          <c:y val="0.0514005540974045"/>
          <c:w val="0.920555774278215"/>
          <c:h val="0.89719889180519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149398075240595"/>
                  <c:y val="-0.512413604549431"/>
                </c:manualLayout>
              </c:layout>
              <c:numFmt formatCode="General" sourceLinked="0"/>
            </c:trendlineLbl>
          </c:trendline>
          <c:xVal>
            <c:numRef>
              <c:f>MASTER_DATA_4_IMAGING!$AU$3:$AU$17</c:f>
              <c:numCache>
                <c:formatCode>General</c:formatCode>
                <c:ptCount val="15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4">
                  <c:v>-2.329667399</c:v>
                </c:pt>
                <c:pt idx="5">
                  <c:v>-3.025424394</c:v>
                </c:pt>
                <c:pt idx="6">
                  <c:v>-1.202560635</c:v>
                </c:pt>
                <c:pt idx="7">
                  <c:v>-0.8059765305</c:v>
                </c:pt>
                <c:pt idx="8">
                  <c:v>-1.464961551</c:v>
                </c:pt>
                <c:pt idx="9">
                  <c:v>-2.45682521</c:v>
                </c:pt>
                <c:pt idx="10">
                  <c:v>-1.038020257</c:v>
                </c:pt>
                <c:pt idx="11">
                  <c:v>-2.706847059</c:v>
                </c:pt>
                <c:pt idx="12">
                  <c:v>-4.156706047</c:v>
                </c:pt>
                <c:pt idx="13">
                  <c:v>-4.843280928</c:v>
                </c:pt>
                <c:pt idx="14">
                  <c:v>-3.244384015</c:v>
                </c:pt>
              </c:numCache>
            </c:numRef>
          </c:xVal>
          <c:yVal>
            <c:numRef>
              <c:f>MASTER_DATA_4_IMAGING!$CL$3:$CL$17</c:f>
              <c:numCache>
                <c:formatCode>General</c:formatCode>
                <c:ptCount val="15"/>
                <c:pt idx="0">
                  <c:v>3.466499999999996</c:v>
                </c:pt>
                <c:pt idx="1">
                  <c:v>15.7332</c:v>
                </c:pt>
                <c:pt idx="2">
                  <c:v>-3.319499999999991</c:v>
                </c:pt>
                <c:pt idx="3">
                  <c:v>4.391500000000008</c:v>
                </c:pt>
                <c:pt idx="4">
                  <c:v>6.877499999999998</c:v>
                </c:pt>
                <c:pt idx="5">
                  <c:v>16.6434</c:v>
                </c:pt>
                <c:pt idx="6">
                  <c:v>14.95020000000001</c:v>
                </c:pt>
                <c:pt idx="7">
                  <c:v>-7.586199999999991</c:v>
                </c:pt>
                <c:pt idx="8">
                  <c:v>0.225999999999999</c:v>
                </c:pt>
                <c:pt idx="9">
                  <c:v>11.28149999999999</c:v>
                </c:pt>
                <c:pt idx="10">
                  <c:v>3.586700000000008</c:v>
                </c:pt>
                <c:pt idx="11">
                  <c:v>-6.429199999999994</c:v>
                </c:pt>
                <c:pt idx="12">
                  <c:v>5.2423</c:v>
                </c:pt>
                <c:pt idx="13">
                  <c:v>26.58019999999999</c:v>
                </c:pt>
                <c:pt idx="14">
                  <c:v>7.932999999999993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705184"/>
        <c:axId val="-2050506352"/>
      </c:scatterChart>
      <c:valAx>
        <c:axId val="-205070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506352"/>
        <c:crosses val="autoZero"/>
        <c:crossBetween val="midCat"/>
      </c:valAx>
      <c:valAx>
        <c:axId val="-2050506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05070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218038932633421"/>
                  <c:y val="-0.174785651793526"/>
                </c:manualLayout>
              </c:layout>
              <c:numFmt formatCode="General" sourceLinked="0"/>
            </c:trendlineLbl>
          </c:trendline>
          <c:xVal>
            <c:numRef>
              <c:f>MASTER_DATA_4_IMAGING!$Y$3:$Y$17</c:f>
              <c:numCache>
                <c:formatCode>General</c:formatCode>
                <c:ptCount val="15"/>
                <c:pt idx="0">
                  <c:v>-0.1872426141</c:v>
                </c:pt>
                <c:pt idx="1">
                  <c:v>-0.5019366933</c:v>
                </c:pt>
                <c:pt idx="2">
                  <c:v>-0.0459240709999999</c:v>
                </c:pt>
                <c:pt idx="3">
                  <c:v>-0.2872757605</c:v>
                </c:pt>
                <c:pt idx="4">
                  <c:v>-0.435930425</c:v>
                </c:pt>
                <c:pt idx="5">
                  <c:v>-0.2043187791</c:v>
                </c:pt>
                <c:pt idx="6">
                  <c:v>-0.7362357461</c:v>
                </c:pt>
                <c:pt idx="7">
                  <c:v>-0.1736922253</c:v>
                </c:pt>
                <c:pt idx="8">
                  <c:v>-0.509668787</c:v>
                </c:pt>
                <c:pt idx="9">
                  <c:v>-0.161428781</c:v>
                </c:pt>
                <c:pt idx="10">
                  <c:v>-0.236286172</c:v>
                </c:pt>
                <c:pt idx="11">
                  <c:v>-0.676499765</c:v>
                </c:pt>
                <c:pt idx="12">
                  <c:v>-0.7177722454</c:v>
                </c:pt>
                <c:pt idx="13">
                  <c:v>-0.3972295963</c:v>
                </c:pt>
                <c:pt idx="14">
                  <c:v>-0.381459852</c:v>
                </c:pt>
              </c:numCache>
            </c:numRef>
          </c:xVal>
          <c:yVal>
            <c:numRef>
              <c:f>MASTER_DATA_4_IMAGING!$CA$3:$CA$17</c:f>
              <c:numCache>
                <c:formatCode>General</c:formatCode>
                <c:ptCount val="15"/>
                <c:pt idx="0">
                  <c:v>-0.4371</c:v>
                </c:pt>
                <c:pt idx="1">
                  <c:v>-1.7874</c:v>
                </c:pt>
                <c:pt idx="2">
                  <c:v>-1.0186</c:v>
                </c:pt>
                <c:pt idx="3">
                  <c:v>-0.7199</c:v>
                </c:pt>
                <c:pt idx="4">
                  <c:v>-0.2629</c:v>
                </c:pt>
                <c:pt idx="5">
                  <c:v>-0.2626</c:v>
                </c:pt>
                <c:pt idx="8">
                  <c:v>-0.7492</c:v>
                </c:pt>
                <c:pt idx="9">
                  <c:v>0.1529</c:v>
                </c:pt>
                <c:pt idx="12">
                  <c:v>-1.3097</c:v>
                </c:pt>
                <c:pt idx="13">
                  <c:v>-0.9867</c:v>
                </c:pt>
                <c:pt idx="14">
                  <c:v>-0.6135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695696"/>
        <c:axId val="-2050693808"/>
      </c:scatterChart>
      <c:valAx>
        <c:axId val="-205069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693808"/>
        <c:crosses val="autoZero"/>
        <c:crossBetween val="midCat"/>
      </c:valAx>
      <c:valAx>
        <c:axId val="-205069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695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MASTER_DATA_4_IMAGING!$AF$3:$AF$17</c:f>
              <c:numCache>
                <c:formatCode>General</c:formatCode>
                <c:ptCount val="15"/>
                <c:pt idx="0">
                  <c:v>-0.0992542436416667</c:v>
                </c:pt>
                <c:pt idx="1">
                  <c:v>-0.411114925291667</c:v>
                </c:pt>
                <c:pt idx="2">
                  <c:v>-0.2324265152</c:v>
                </c:pt>
                <c:pt idx="3">
                  <c:v>-0.383625158658333</c:v>
                </c:pt>
                <c:pt idx="4">
                  <c:v>-0.329047625483333</c:v>
                </c:pt>
                <c:pt idx="5">
                  <c:v>-0.116925142283333</c:v>
                </c:pt>
                <c:pt idx="6">
                  <c:v>-0.430970306158333</c:v>
                </c:pt>
                <c:pt idx="7">
                  <c:v>-0.268085117658333</c:v>
                </c:pt>
                <c:pt idx="8">
                  <c:v>-0.4199116941</c:v>
                </c:pt>
                <c:pt idx="9">
                  <c:v>-0.0941748171416667</c:v>
                </c:pt>
                <c:pt idx="10">
                  <c:v>-0.066584580225</c:v>
                </c:pt>
                <c:pt idx="11">
                  <c:v>-0.337970023775</c:v>
                </c:pt>
                <c:pt idx="12">
                  <c:v>-0.39789291295</c:v>
                </c:pt>
                <c:pt idx="13">
                  <c:v>-0.302394171391667</c:v>
                </c:pt>
                <c:pt idx="14">
                  <c:v>-0.0826522036583333</c:v>
                </c:pt>
              </c:numCache>
            </c:numRef>
          </c:xVal>
          <c:yVal>
            <c:numRef>
              <c:f>MASTER_DATA_4_IMAGING!$AT$3:$AT$17</c:f>
              <c:numCache>
                <c:formatCode>General</c:formatCode>
                <c:ptCount val="15"/>
                <c:pt idx="0">
                  <c:v>0.268982191958333</c:v>
                </c:pt>
                <c:pt idx="1">
                  <c:v>-6.902104932083333</c:v>
                </c:pt>
                <c:pt idx="2">
                  <c:v>-3.119696811416665</c:v>
                </c:pt>
                <c:pt idx="3">
                  <c:v>-5.675115451458333</c:v>
                </c:pt>
                <c:pt idx="4">
                  <c:v>-4.609700915083333</c:v>
                </c:pt>
                <c:pt idx="5">
                  <c:v>-1.362732811</c:v>
                </c:pt>
                <c:pt idx="6">
                  <c:v>-5.5830455605</c:v>
                </c:pt>
                <c:pt idx="7">
                  <c:v>-5.873522132083333</c:v>
                </c:pt>
                <c:pt idx="8">
                  <c:v>-5.972702426291667</c:v>
                </c:pt>
                <c:pt idx="9">
                  <c:v>2.602587130916667</c:v>
                </c:pt>
                <c:pt idx="10">
                  <c:v>1.547842865375</c:v>
                </c:pt>
                <c:pt idx="11">
                  <c:v>-5.041176995</c:v>
                </c:pt>
                <c:pt idx="12">
                  <c:v>-5.925751840708333</c:v>
                </c:pt>
                <c:pt idx="13">
                  <c:v>-2.468685783291666</c:v>
                </c:pt>
                <c:pt idx="14">
                  <c:v>-2.22186764625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875184"/>
        <c:axId val="-2046872432"/>
      </c:scatterChart>
      <c:valAx>
        <c:axId val="-204687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6872432"/>
        <c:crosses val="autoZero"/>
        <c:crossBetween val="midCat"/>
      </c:valAx>
      <c:valAx>
        <c:axId val="-2046872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687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538267716535433"/>
                  <c:y val="-0.18022127442403"/>
                </c:manualLayout>
              </c:layout>
              <c:numFmt formatCode="General" sourceLinked="0"/>
            </c:trendlineLbl>
          </c:trendline>
          <c:xVal>
            <c:numRef>
              <c:f>MASTER_DATA_4_IMAGING!$CG$3:$CG$17</c:f>
              <c:numCache>
                <c:formatCode>General</c:formatCode>
                <c:ptCount val="15"/>
                <c:pt idx="0">
                  <c:v>-0.49</c:v>
                </c:pt>
                <c:pt idx="1">
                  <c:v>-1.2481</c:v>
                </c:pt>
                <c:pt idx="2">
                  <c:v>-0.949275</c:v>
                </c:pt>
                <c:pt idx="3">
                  <c:v>-0.786325</c:v>
                </c:pt>
                <c:pt idx="4">
                  <c:v>-0.514625</c:v>
                </c:pt>
                <c:pt idx="5">
                  <c:v>-0.3252</c:v>
                </c:pt>
                <c:pt idx="8">
                  <c:v>-1.28665</c:v>
                </c:pt>
                <c:pt idx="9">
                  <c:v>-0.135875</c:v>
                </c:pt>
                <c:pt idx="11">
                  <c:v>-0.5855</c:v>
                </c:pt>
                <c:pt idx="12">
                  <c:v>-0.90755</c:v>
                </c:pt>
                <c:pt idx="13">
                  <c:v>-0.949175</c:v>
                </c:pt>
                <c:pt idx="14">
                  <c:v>-0.4208</c:v>
                </c:pt>
              </c:numCache>
            </c:numRef>
          </c:xVal>
          <c:yVal>
            <c:numRef>
              <c:f>MASTER_DATA_4_IMAGING!$DP$3:$DP$17</c:f>
              <c:numCache>
                <c:formatCode>General</c:formatCode>
                <c:ptCount val="15"/>
                <c:pt idx="0">
                  <c:v>1.479958333333332</c:v>
                </c:pt>
                <c:pt idx="1">
                  <c:v>6.569133333333334</c:v>
                </c:pt>
                <c:pt idx="2">
                  <c:v>-1.7631</c:v>
                </c:pt>
                <c:pt idx="3">
                  <c:v>2.304366666666668</c:v>
                </c:pt>
                <c:pt idx="4">
                  <c:v>3.252333333333333</c:v>
                </c:pt>
                <c:pt idx="5">
                  <c:v>6.362199999999999</c:v>
                </c:pt>
                <c:pt idx="6">
                  <c:v>3.119691666666666</c:v>
                </c:pt>
                <c:pt idx="7">
                  <c:v>-4.957708333333331</c:v>
                </c:pt>
                <c:pt idx="8">
                  <c:v>0.0108333333333324</c:v>
                </c:pt>
                <c:pt idx="9">
                  <c:v>4.312324999999998</c:v>
                </c:pt>
                <c:pt idx="10">
                  <c:v>5.278991666666667</c:v>
                </c:pt>
                <c:pt idx="11">
                  <c:v>-3.316758333333335</c:v>
                </c:pt>
                <c:pt idx="12">
                  <c:v>1.412925</c:v>
                </c:pt>
                <c:pt idx="13">
                  <c:v>6.564450000000001</c:v>
                </c:pt>
                <c:pt idx="14">
                  <c:v>0.326508333333333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920512"/>
        <c:axId val="-2046917760"/>
      </c:scatterChart>
      <c:valAx>
        <c:axId val="-20469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6917760"/>
        <c:crosses val="autoZero"/>
        <c:crossBetween val="midCat"/>
      </c:valAx>
      <c:valAx>
        <c:axId val="-204691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6920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0034588801399825"/>
                  <c:y val="-0.242071668124818"/>
                </c:manualLayout>
              </c:layout>
              <c:numFmt formatCode="General" sourceLinked="0"/>
            </c:trendlineLbl>
          </c:trendline>
          <c:xVal>
            <c:numRef>
              <c:f>MASTER_DATA_4_IMAGING!$CH$3:$CH$17</c:f>
              <c:numCache>
                <c:formatCode>0.00</c:formatCode>
                <c:ptCount val="15"/>
                <c:pt idx="0">
                  <c:v>8.173200000000008</c:v>
                </c:pt>
                <c:pt idx="1">
                  <c:v>18.4901</c:v>
                </c:pt>
                <c:pt idx="2">
                  <c:v>12.7524</c:v>
                </c:pt>
                <c:pt idx="3">
                  <c:v>11.0738</c:v>
                </c:pt>
                <c:pt idx="4">
                  <c:v>4.216999999999999</c:v>
                </c:pt>
                <c:pt idx="5">
                  <c:v>5.884999999999991</c:v>
                </c:pt>
                <c:pt idx="6">
                  <c:v>15.6451</c:v>
                </c:pt>
                <c:pt idx="7">
                  <c:v>15.97370000000001</c:v>
                </c:pt>
                <c:pt idx="8">
                  <c:v>10.99760000000001</c:v>
                </c:pt>
                <c:pt idx="9">
                  <c:v>25.81529999999999</c:v>
                </c:pt>
                <c:pt idx="10">
                  <c:v>23.79119999999999</c:v>
                </c:pt>
                <c:pt idx="11">
                  <c:v>3.296800000000005</c:v>
                </c:pt>
                <c:pt idx="12">
                  <c:v>-5.823199999999993</c:v>
                </c:pt>
                <c:pt idx="13">
                  <c:v>8.398800000000001</c:v>
                </c:pt>
                <c:pt idx="14">
                  <c:v>0.471700000000013</c:v>
                </c:pt>
              </c:numCache>
            </c:numRef>
          </c:xVal>
          <c:yVal>
            <c:numRef>
              <c:f>MASTER_DATA_4_IMAGING!$AX$3:$AX$17</c:f>
              <c:numCache>
                <c:formatCode>General</c:formatCode>
                <c:ptCount val="15"/>
                <c:pt idx="0">
                  <c:v>2.162960334</c:v>
                </c:pt>
                <c:pt idx="1">
                  <c:v>2.99673636</c:v>
                </c:pt>
                <c:pt idx="2">
                  <c:v>0.907373172</c:v>
                </c:pt>
                <c:pt idx="3">
                  <c:v>2.85038212</c:v>
                </c:pt>
                <c:pt idx="4">
                  <c:v>0.092598798</c:v>
                </c:pt>
                <c:pt idx="5">
                  <c:v>1.876124694</c:v>
                </c:pt>
                <c:pt idx="6">
                  <c:v>1.343793015</c:v>
                </c:pt>
                <c:pt idx="7">
                  <c:v>1.370384933</c:v>
                </c:pt>
                <c:pt idx="8">
                  <c:v>2.014571385</c:v>
                </c:pt>
                <c:pt idx="9">
                  <c:v>3.376717678</c:v>
                </c:pt>
                <c:pt idx="10">
                  <c:v>0.461808708</c:v>
                </c:pt>
                <c:pt idx="11">
                  <c:v>1.764077789</c:v>
                </c:pt>
                <c:pt idx="12">
                  <c:v>1.412679074</c:v>
                </c:pt>
                <c:pt idx="13">
                  <c:v>2.910232215</c:v>
                </c:pt>
                <c:pt idx="14">
                  <c:v>1.265985443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945568"/>
        <c:axId val="-2050942816"/>
      </c:scatterChart>
      <c:valAx>
        <c:axId val="-205094556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-2050942816"/>
        <c:crosses val="autoZero"/>
        <c:crossBetween val="midCat"/>
      </c:valAx>
      <c:valAx>
        <c:axId val="-205094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945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00537401574803149"/>
                  <c:y val="-0.282045056867891"/>
                </c:manualLayout>
              </c:layout>
              <c:numFmt formatCode="General" sourceLinked="0"/>
            </c:trendlineLbl>
          </c:trendline>
          <c:xVal>
            <c:numRef>
              <c:f>MASTER_DATA_4_IMAGING!$AV$3:$AV$17</c:f>
              <c:numCache>
                <c:formatCode>General</c:formatCode>
                <c:ptCount val="15"/>
                <c:pt idx="0">
                  <c:v>18.33800000000001</c:v>
                </c:pt>
                <c:pt idx="1">
                  <c:v>40.102</c:v>
                </c:pt>
                <c:pt idx="2">
                  <c:v>2.533999999999992</c:v>
                </c:pt>
                <c:pt idx="3">
                  <c:v>16.74600000000001</c:v>
                </c:pt>
                <c:pt idx="4">
                  <c:v>20.2705</c:v>
                </c:pt>
                <c:pt idx="5">
                  <c:v>20.5695</c:v>
                </c:pt>
                <c:pt idx="6">
                  <c:v>23.38190000000001</c:v>
                </c:pt>
                <c:pt idx="7">
                  <c:v>0.260000000000005</c:v>
                </c:pt>
                <c:pt idx="8">
                  <c:v>16.9892</c:v>
                </c:pt>
                <c:pt idx="9">
                  <c:v>29.0885</c:v>
                </c:pt>
                <c:pt idx="10">
                  <c:v>32.369</c:v>
                </c:pt>
                <c:pt idx="11">
                  <c:v>8.821299999999993</c:v>
                </c:pt>
                <c:pt idx="12">
                  <c:v>13.8231</c:v>
                </c:pt>
                <c:pt idx="13">
                  <c:v>43.976</c:v>
                </c:pt>
                <c:pt idx="14">
                  <c:v>15.854</c:v>
                </c:pt>
              </c:numCache>
            </c:numRef>
          </c:xVal>
          <c:yVal>
            <c:numRef>
              <c:f>MASTER_DATA_4_IMAGING!$BW$3:$BW$17</c:f>
              <c:numCache>
                <c:formatCode>General</c:formatCode>
                <c:ptCount val="15"/>
                <c:pt idx="0">
                  <c:v>-0.610934277896122</c:v>
                </c:pt>
                <c:pt idx="1">
                  <c:v>-0.557457579315268</c:v>
                </c:pt>
                <c:pt idx="2">
                  <c:v>-0.273665405556996</c:v>
                </c:pt>
                <c:pt idx="3">
                  <c:v>-0.754873241117875</c:v>
                </c:pt>
                <c:pt idx="4">
                  <c:v>-0.234655831673493</c:v>
                </c:pt>
                <c:pt idx="5">
                  <c:v>-0.243120479798724</c:v>
                </c:pt>
                <c:pt idx="8">
                  <c:v>-0.377800523049214</c:v>
                </c:pt>
                <c:pt idx="9">
                  <c:v>-0.65423840443474</c:v>
                </c:pt>
                <c:pt idx="12">
                  <c:v>-0.100104283107165</c:v>
                </c:pt>
                <c:pt idx="13">
                  <c:v>-0.752454003230651</c:v>
                </c:pt>
                <c:pt idx="14">
                  <c:v>-0.194257850724497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478480"/>
        <c:axId val="-2047476000"/>
      </c:scatterChart>
      <c:valAx>
        <c:axId val="-204747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476000"/>
        <c:crosses val="autoZero"/>
        <c:crossBetween val="midCat"/>
      </c:valAx>
      <c:valAx>
        <c:axId val="-204747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478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MASTER_DATA_4_IMAGING!$CU$3:$CU$17</c:f>
              <c:numCache>
                <c:formatCode>General</c:formatCode>
                <c:ptCount val="15"/>
                <c:pt idx="0">
                  <c:v>11.51900000000001</c:v>
                </c:pt>
                <c:pt idx="1">
                  <c:v>28.7691</c:v>
                </c:pt>
                <c:pt idx="2">
                  <c:v>3.686700000000002</c:v>
                </c:pt>
                <c:pt idx="3">
                  <c:v>9.444299999999998</c:v>
                </c:pt>
                <c:pt idx="4">
                  <c:v>11.476</c:v>
                </c:pt>
                <c:pt idx="5">
                  <c:v>18.6478</c:v>
                </c:pt>
                <c:pt idx="6">
                  <c:v>15.3674</c:v>
                </c:pt>
                <c:pt idx="7">
                  <c:v>2.793500000000009</c:v>
                </c:pt>
                <c:pt idx="8">
                  <c:v>6.322999999999993</c:v>
                </c:pt>
                <c:pt idx="9">
                  <c:v>27.15309999999999</c:v>
                </c:pt>
                <c:pt idx="10">
                  <c:v>25.7285</c:v>
                </c:pt>
                <c:pt idx="11">
                  <c:v>-6.592200000000005</c:v>
                </c:pt>
                <c:pt idx="12">
                  <c:v>5.773400000000002</c:v>
                </c:pt>
                <c:pt idx="13">
                  <c:v>31.29000000000001</c:v>
                </c:pt>
                <c:pt idx="14">
                  <c:v>7.038000000000011</c:v>
                </c:pt>
              </c:numCache>
            </c:numRef>
          </c:xVal>
          <c:yVal>
            <c:numRef>
              <c:f>MASTER_DATA_4_IMAGING!$AX$3:$AX$17</c:f>
              <c:numCache>
                <c:formatCode>General</c:formatCode>
                <c:ptCount val="15"/>
                <c:pt idx="0">
                  <c:v>2.162960334</c:v>
                </c:pt>
                <c:pt idx="1">
                  <c:v>2.99673636</c:v>
                </c:pt>
                <c:pt idx="2">
                  <c:v>0.907373172</c:v>
                </c:pt>
                <c:pt idx="3">
                  <c:v>2.85038212</c:v>
                </c:pt>
                <c:pt idx="4">
                  <c:v>0.092598798</c:v>
                </c:pt>
                <c:pt idx="5">
                  <c:v>1.876124694</c:v>
                </c:pt>
                <c:pt idx="6">
                  <c:v>1.343793015</c:v>
                </c:pt>
                <c:pt idx="7">
                  <c:v>1.370384933</c:v>
                </c:pt>
                <c:pt idx="8">
                  <c:v>2.014571385</c:v>
                </c:pt>
                <c:pt idx="9">
                  <c:v>3.376717678</c:v>
                </c:pt>
                <c:pt idx="10">
                  <c:v>0.461808708</c:v>
                </c:pt>
                <c:pt idx="11">
                  <c:v>1.764077789</c:v>
                </c:pt>
                <c:pt idx="12">
                  <c:v>1.412679074</c:v>
                </c:pt>
                <c:pt idx="13">
                  <c:v>2.910232215</c:v>
                </c:pt>
                <c:pt idx="14">
                  <c:v>1.265985443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868432"/>
        <c:axId val="-2046865680"/>
      </c:scatterChart>
      <c:valAx>
        <c:axId val="-204686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6865680"/>
        <c:crosses val="autoZero"/>
        <c:crossBetween val="midCat"/>
      </c:valAx>
      <c:valAx>
        <c:axId val="-2046865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6868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243980752405949"/>
                  <c:y val="-0.126829615048119"/>
                </c:manualLayout>
              </c:layout>
              <c:numFmt formatCode="General" sourceLinked="0"/>
            </c:trendlineLbl>
          </c:trendline>
          <c:xVal>
            <c:numRef>
              <c:f>MASTER_DATA_4_IMAGING!$AU$3:$AU$17</c:f>
              <c:numCache>
                <c:formatCode>General</c:formatCode>
                <c:ptCount val="15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4">
                  <c:v>-2.329667399</c:v>
                </c:pt>
                <c:pt idx="5">
                  <c:v>-3.025424394</c:v>
                </c:pt>
                <c:pt idx="6">
                  <c:v>-1.202560635</c:v>
                </c:pt>
                <c:pt idx="7">
                  <c:v>-0.8059765305</c:v>
                </c:pt>
                <c:pt idx="8">
                  <c:v>-1.464961551</c:v>
                </c:pt>
                <c:pt idx="9">
                  <c:v>-2.45682521</c:v>
                </c:pt>
                <c:pt idx="10">
                  <c:v>-1.038020257</c:v>
                </c:pt>
                <c:pt idx="11">
                  <c:v>-2.706847059</c:v>
                </c:pt>
                <c:pt idx="12">
                  <c:v>-4.156706047</c:v>
                </c:pt>
                <c:pt idx="13">
                  <c:v>-4.843280928</c:v>
                </c:pt>
                <c:pt idx="14">
                  <c:v>-3.244384015</c:v>
                </c:pt>
              </c:numCache>
            </c:numRef>
          </c:xVal>
          <c:yVal>
            <c:numRef>
              <c:f>MASTER_DATA_4_IMAGING!$CI$3:$CI$17</c:f>
              <c:numCache>
                <c:formatCode>0.00</c:formatCode>
                <c:ptCount val="15"/>
                <c:pt idx="0">
                  <c:v>5.878199999999992</c:v>
                </c:pt>
                <c:pt idx="1">
                  <c:v>-17.7901</c:v>
                </c:pt>
                <c:pt idx="2">
                  <c:v>6.193799999999996</c:v>
                </c:pt>
                <c:pt idx="3">
                  <c:v>-3.46990000000001</c:v>
                </c:pt>
                <c:pt idx="4">
                  <c:v>-7.670500000000004</c:v>
                </c:pt>
                <c:pt idx="5">
                  <c:v>-24.0257</c:v>
                </c:pt>
                <c:pt idx="6">
                  <c:v>-10.6477</c:v>
                </c:pt>
                <c:pt idx="7">
                  <c:v>9.55119999999998</c:v>
                </c:pt>
                <c:pt idx="8">
                  <c:v>0.581999999999994</c:v>
                </c:pt>
                <c:pt idx="9">
                  <c:v>-4.348999999999989</c:v>
                </c:pt>
                <c:pt idx="10">
                  <c:v>-8.08420000000001</c:v>
                </c:pt>
                <c:pt idx="11">
                  <c:v>16.98649999999999</c:v>
                </c:pt>
                <c:pt idx="12">
                  <c:v>-9.113299999999995</c:v>
                </c:pt>
                <c:pt idx="13">
                  <c:v>-55.33719999999998</c:v>
                </c:pt>
                <c:pt idx="14">
                  <c:v>-11.9272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445792"/>
        <c:axId val="-2047443072"/>
      </c:scatterChart>
      <c:valAx>
        <c:axId val="-204744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443072"/>
        <c:crosses val="autoZero"/>
        <c:crossBetween val="midCat"/>
      </c:valAx>
      <c:valAx>
        <c:axId val="-204744307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-2047445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124339676290464"/>
                  <c:y val="-0.177238626421697"/>
                </c:manualLayout>
              </c:layout>
              <c:numFmt formatCode="General" sourceLinked="0"/>
            </c:trendlineLbl>
          </c:trendline>
          <c:xVal>
            <c:numRef>
              <c:f>MASTER_DATA_4_IMAGING!$BZ$3:$BZ$17</c:f>
              <c:numCache>
                <c:formatCode>General</c:formatCode>
                <c:ptCount val="15"/>
                <c:pt idx="0">
                  <c:v>-0.398185425529209</c:v>
                </c:pt>
                <c:pt idx="1">
                  <c:v>-0.524012143484567</c:v>
                </c:pt>
                <c:pt idx="2">
                  <c:v>-0.313825739626604</c:v>
                </c:pt>
                <c:pt idx="3">
                  <c:v>-0.606756920830664</c:v>
                </c:pt>
                <c:pt idx="4">
                  <c:v>-0.15366277301743</c:v>
                </c:pt>
                <c:pt idx="5">
                  <c:v>-0.103579242108612</c:v>
                </c:pt>
                <c:pt idx="8">
                  <c:v>-0.469270833546212</c:v>
                </c:pt>
                <c:pt idx="9">
                  <c:v>-0.516582860986262</c:v>
                </c:pt>
                <c:pt idx="12">
                  <c:v>-0.199954119715476</c:v>
                </c:pt>
                <c:pt idx="13">
                  <c:v>-0.700341151823496</c:v>
                </c:pt>
                <c:pt idx="14">
                  <c:v>-0.0920813194048483</c:v>
                </c:pt>
              </c:numCache>
            </c:numRef>
          </c:xVal>
          <c:yVal>
            <c:numRef>
              <c:f>MASTER_DATA_4_IMAGING!$AU$3:$AU$17</c:f>
              <c:numCache>
                <c:formatCode>General</c:formatCode>
                <c:ptCount val="15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4">
                  <c:v>-2.329667399</c:v>
                </c:pt>
                <c:pt idx="5">
                  <c:v>-3.025424394</c:v>
                </c:pt>
                <c:pt idx="6">
                  <c:v>-1.202560635</c:v>
                </c:pt>
                <c:pt idx="7">
                  <c:v>-0.8059765305</c:v>
                </c:pt>
                <c:pt idx="8">
                  <c:v>-1.464961551</c:v>
                </c:pt>
                <c:pt idx="9">
                  <c:v>-2.45682521</c:v>
                </c:pt>
                <c:pt idx="10">
                  <c:v>-1.038020257</c:v>
                </c:pt>
                <c:pt idx="11">
                  <c:v>-2.706847059</c:v>
                </c:pt>
                <c:pt idx="12">
                  <c:v>-4.156706047</c:v>
                </c:pt>
                <c:pt idx="13">
                  <c:v>-4.843280928</c:v>
                </c:pt>
                <c:pt idx="14">
                  <c:v>-3.244384015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1472848"/>
        <c:axId val="-2050601984"/>
      </c:scatterChart>
      <c:valAx>
        <c:axId val="-20614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601984"/>
        <c:crosses val="autoZero"/>
        <c:crossBetween val="midCat"/>
      </c:valAx>
      <c:valAx>
        <c:axId val="-205060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61472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990931758530184"/>
                  <c:y val="-0.190869058034412"/>
                </c:manualLayout>
              </c:layout>
              <c:numFmt formatCode="General" sourceLinked="0"/>
            </c:trendlineLbl>
          </c:trendline>
          <c:xVal>
            <c:numRef>
              <c:f>MASTER_DATA_4_IMAGING!$AF$3:$AF$17</c:f>
              <c:numCache>
                <c:formatCode>General</c:formatCode>
                <c:ptCount val="15"/>
                <c:pt idx="0">
                  <c:v>-0.0992542436416667</c:v>
                </c:pt>
                <c:pt idx="1">
                  <c:v>-0.411114925291667</c:v>
                </c:pt>
                <c:pt idx="2">
                  <c:v>-0.2324265152</c:v>
                </c:pt>
                <c:pt idx="3">
                  <c:v>-0.383625158658333</c:v>
                </c:pt>
                <c:pt idx="4">
                  <c:v>-0.329047625483333</c:v>
                </c:pt>
                <c:pt idx="5">
                  <c:v>-0.116925142283333</c:v>
                </c:pt>
                <c:pt idx="6">
                  <c:v>-0.430970306158333</c:v>
                </c:pt>
                <c:pt idx="7">
                  <c:v>-0.268085117658333</c:v>
                </c:pt>
                <c:pt idx="8">
                  <c:v>-0.4199116941</c:v>
                </c:pt>
                <c:pt idx="9">
                  <c:v>-0.0941748171416667</c:v>
                </c:pt>
                <c:pt idx="10">
                  <c:v>-0.066584580225</c:v>
                </c:pt>
                <c:pt idx="11">
                  <c:v>-0.337970023775</c:v>
                </c:pt>
                <c:pt idx="12">
                  <c:v>-0.39789291295</c:v>
                </c:pt>
                <c:pt idx="13">
                  <c:v>-0.302394171391667</c:v>
                </c:pt>
                <c:pt idx="14">
                  <c:v>-0.0826522036583333</c:v>
                </c:pt>
              </c:numCache>
            </c:numRef>
          </c:xVal>
          <c:yVal>
            <c:numRef>
              <c:f>MASTER_DATA_4_IMAGING!$DP$3:$DP$17</c:f>
              <c:numCache>
                <c:formatCode>General</c:formatCode>
                <c:ptCount val="15"/>
                <c:pt idx="0">
                  <c:v>1.479958333333332</c:v>
                </c:pt>
                <c:pt idx="1">
                  <c:v>6.569133333333334</c:v>
                </c:pt>
                <c:pt idx="2">
                  <c:v>-1.7631</c:v>
                </c:pt>
                <c:pt idx="3">
                  <c:v>2.304366666666668</c:v>
                </c:pt>
                <c:pt idx="4">
                  <c:v>3.252333333333333</c:v>
                </c:pt>
                <c:pt idx="5">
                  <c:v>6.362199999999999</c:v>
                </c:pt>
                <c:pt idx="6">
                  <c:v>3.119691666666666</c:v>
                </c:pt>
                <c:pt idx="7">
                  <c:v>-4.957708333333331</c:v>
                </c:pt>
                <c:pt idx="8">
                  <c:v>0.0108333333333324</c:v>
                </c:pt>
                <c:pt idx="9">
                  <c:v>4.312324999999998</c:v>
                </c:pt>
                <c:pt idx="10">
                  <c:v>5.278991666666667</c:v>
                </c:pt>
                <c:pt idx="11">
                  <c:v>-3.316758333333335</c:v>
                </c:pt>
                <c:pt idx="12">
                  <c:v>1.412925</c:v>
                </c:pt>
                <c:pt idx="13">
                  <c:v>6.564450000000001</c:v>
                </c:pt>
                <c:pt idx="14">
                  <c:v>0.326508333333333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1428912"/>
        <c:axId val="-2050352496"/>
      </c:scatterChart>
      <c:valAx>
        <c:axId val="-206142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352496"/>
        <c:crosses val="autoZero"/>
        <c:crossBetween val="midCat"/>
      </c:valAx>
      <c:valAx>
        <c:axId val="-205035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61428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MASTER_DATA_4_IMAGING!$L$3:$L$17</c:f>
              <c:numCache>
                <c:formatCode>General</c:formatCode>
                <c:ptCount val="15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0.02</c:v>
                </c:pt>
                <c:pt idx="5">
                  <c:v>0.540000001666667</c:v>
                </c:pt>
                <c:pt idx="6">
                  <c:v>0.156666666666667</c:v>
                </c:pt>
                <c:pt idx="7">
                  <c:v>0.0433333336666667</c:v>
                </c:pt>
                <c:pt idx="8">
                  <c:v>0.0</c:v>
                </c:pt>
                <c:pt idx="9">
                  <c:v>0.25333333387968</c:v>
                </c:pt>
                <c:pt idx="10">
                  <c:v>0.156666666</c:v>
                </c:pt>
                <c:pt idx="11">
                  <c:v>0.659999991333333</c:v>
                </c:pt>
                <c:pt idx="12">
                  <c:v>0.510000010333333</c:v>
                </c:pt>
                <c:pt idx="13">
                  <c:v>0.926666666666667</c:v>
                </c:pt>
                <c:pt idx="14">
                  <c:v>0.663333340819333</c:v>
                </c:pt>
              </c:numCache>
            </c:numRef>
          </c:xVal>
          <c:yVal>
            <c:numRef>
              <c:f>MASTER_DATA_4_IMAGING!$CL$3:$CL$17</c:f>
              <c:numCache>
                <c:formatCode>General</c:formatCode>
                <c:ptCount val="15"/>
                <c:pt idx="0">
                  <c:v>3.466499999999996</c:v>
                </c:pt>
                <c:pt idx="1">
                  <c:v>15.7332</c:v>
                </c:pt>
                <c:pt idx="2">
                  <c:v>-3.319499999999991</c:v>
                </c:pt>
                <c:pt idx="3">
                  <c:v>4.391500000000008</c:v>
                </c:pt>
                <c:pt idx="4">
                  <c:v>6.877499999999998</c:v>
                </c:pt>
                <c:pt idx="5">
                  <c:v>16.6434</c:v>
                </c:pt>
                <c:pt idx="6">
                  <c:v>14.95020000000001</c:v>
                </c:pt>
                <c:pt idx="7">
                  <c:v>-7.586199999999991</c:v>
                </c:pt>
                <c:pt idx="8">
                  <c:v>0.225999999999999</c:v>
                </c:pt>
                <c:pt idx="9">
                  <c:v>11.28149999999999</c:v>
                </c:pt>
                <c:pt idx="10">
                  <c:v>3.586700000000008</c:v>
                </c:pt>
                <c:pt idx="11">
                  <c:v>-6.429199999999994</c:v>
                </c:pt>
                <c:pt idx="12">
                  <c:v>5.2423</c:v>
                </c:pt>
                <c:pt idx="13">
                  <c:v>26.58019999999999</c:v>
                </c:pt>
                <c:pt idx="14">
                  <c:v>7.932999999999993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0807664"/>
        <c:axId val="-2050068592"/>
      </c:scatterChart>
      <c:valAx>
        <c:axId val="-205080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0068592"/>
        <c:crosses val="autoZero"/>
        <c:crossBetween val="midCat"/>
      </c:valAx>
      <c:valAx>
        <c:axId val="-205006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0807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MASTER_DATA_4_IMAGING!$AT$3:$AT$17</c:f>
              <c:numCache>
                <c:formatCode>General</c:formatCode>
                <c:ptCount val="15"/>
                <c:pt idx="0">
                  <c:v>0.268982191958333</c:v>
                </c:pt>
                <c:pt idx="1">
                  <c:v>-6.902104932083333</c:v>
                </c:pt>
                <c:pt idx="2">
                  <c:v>-3.119696811416665</c:v>
                </c:pt>
                <c:pt idx="3">
                  <c:v>-5.675115451458333</c:v>
                </c:pt>
                <c:pt idx="4">
                  <c:v>-4.609700915083333</c:v>
                </c:pt>
                <c:pt idx="5">
                  <c:v>-1.362732811</c:v>
                </c:pt>
                <c:pt idx="6">
                  <c:v>-5.5830455605</c:v>
                </c:pt>
                <c:pt idx="7">
                  <c:v>-5.873522132083333</c:v>
                </c:pt>
                <c:pt idx="8">
                  <c:v>-5.972702426291667</c:v>
                </c:pt>
                <c:pt idx="9">
                  <c:v>2.602587130916667</c:v>
                </c:pt>
                <c:pt idx="10">
                  <c:v>1.547842865375</c:v>
                </c:pt>
                <c:pt idx="11">
                  <c:v>-5.041176995</c:v>
                </c:pt>
                <c:pt idx="12">
                  <c:v>-5.925751840708333</c:v>
                </c:pt>
                <c:pt idx="13">
                  <c:v>-2.468685783291666</c:v>
                </c:pt>
                <c:pt idx="14">
                  <c:v>-2.22186764625</c:v>
                </c:pt>
              </c:numCache>
            </c:numRef>
          </c:xVal>
          <c:yVal>
            <c:numRef>
              <c:f>MASTER_DATA_4_IMAGING!$CG$3:$CG$17</c:f>
              <c:numCache>
                <c:formatCode>General</c:formatCode>
                <c:ptCount val="15"/>
                <c:pt idx="0">
                  <c:v>-0.49</c:v>
                </c:pt>
                <c:pt idx="1">
                  <c:v>-1.2481</c:v>
                </c:pt>
                <c:pt idx="2">
                  <c:v>-0.949275</c:v>
                </c:pt>
                <c:pt idx="3">
                  <c:v>-0.786325</c:v>
                </c:pt>
                <c:pt idx="4">
                  <c:v>-0.514625</c:v>
                </c:pt>
                <c:pt idx="5">
                  <c:v>-0.3252</c:v>
                </c:pt>
                <c:pt idx="8">
                  <c:v>-1.28665</c:v>
                </c:pt>
                <c:pt idx="9">
                  <c:v>-0.135875</c:v>
                </c:pt>
                <c:pt idx="11">
                  <c:v>-0.5855</c:v>
                </c:pt>
                <c:pt idx="12">
                  <c:v>-0.90755</c:v>
                </c:pt>
                <c:pt idx="13">
                  <c:v>-0.949175</c:v>
                </c:pt>
                <c:pt idx="14">
                  <c:v>-0.4208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665424"/>
        <c:axId val="-2047662672"/>
      </c:scatterChart>
      <c:valAx>
        <c:axId val="-204766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662672"/>
        <c:crosses val="autoZero"/>
        <c:crossBetween val="midCat"/>
      </c:valAx>
      <c:valAx>
        <c:axId val="-204766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665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0"/>
            <c:trendlineLbl>
              <c:numFmt formatCode="General" sourceLinked="0"/>
            </c:trendlineLbl>
          </c:trendline>
          <c:trendline>
            <c:trendlineType val="poly"/>
            <c:order val="2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MASTER_DATA_4_IMAGING!$S$3:$S$17</c:f>
              <c:numCache>
                <c:formatCode>General</c:formatCode>
                <c:ptCount val="15"/>
                <c:pt idx="0">
                  <c:v>0.0</c:v>
                </c:pt>
                <c:pt idx="1">
                  <c:v>16.0</c:v>
                </c:pt>
                <c:pt idx="2">
                  <c:v>0.0</c:v>
                </c:pt>
                <c:pt idx="3">
                  <c:v>2.0</c:v>
                </c:pt>
                <c:pt idx="4">
                  <c:v>0.0</c:v>
                </c:pt>
                <c:pt idx="5">
                  <c:v>6.0</c:v>
                </c:pt>
                <c:pt idx="6">
                  <c:v>1.0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3.0</c:v>
                </c:pt>
                <c:pt idx="11">
                  <c:v>20.0</c:v>
                </c:pt>
                <c:pt idx="12">
                  <c:v>10.5</c:v>
                </c:pt>
                <c:pt idx="13">
                  <c:v>16.5</c:v>
                </c:pt>
                <c:pt idx="14">
                  <c:v>11.0</c:v>
                </c:pt>
              </c:numCache>
            </c:numRef>
          </c:xVal>
          <c:yVal>
            <c:numRef>
              <c:f>MASTER_DATA_4_IMAGING!$AU$3:$AU$17</c:f>
              <c:numCache>
                <c:formatCode>General</c:formatCode>
                <c:ptCount val="15"/>
                <c:pt idx="0">
                  <c:v>-1.687394822</c:v>
                </c:pt>
                <c:pt idx="1">
                  <c:v>-3.354545752</c:v>
                </c:pt>
                <c:pt idx="2">
                  <c:v>-1.120985176</c:v>
                </c:pt>
                <c:pt idx="3">
                  <c:v>-2.625504628</c:v>
                </c:pt>
                <c:pt idx="4">
                  <c:v>-2.329667399</c:v>
                </c:pt>
                <c:pt idx="5">
                  <c:v>-3.025424394</c:v>
                </c:pt>
                <c:pt idx="6">
                  <c:v>-1.202560635</c:v>
                </c:pt>
                <c:pt idx="7">
                  <c:v>-0.8059765305</c:v>
                </c:pt>
                <c:pt idx="8">
                  <c:v>-1.464961551</c:v>
                </c:pt>
                <c:pt idx="9">
                  <c:v>-2.45682521</c:v>
                </c:pt>
                <c:pt idx="10">
                  <c:v>-1.038020257</c:v>
                </c:pt>
                <c:pt idx="11">
                  <c:v>-2.706847059</c:v>
                </c:pt>
                <c:pt idx="12">
                  <c:v>-4.156706047</c:v>
                </c:pt>
                <c:pt idx="13">
                  <c:v>-4.843280928</c:v>
                </c:pt>
                <c:pt idx="14">
                  <c:v>-3.244384015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840464"/>
        <c:axId val="-2047843152"/>
      </c:scatterChart>
      <c:valAx>
        <c:axId val="-204784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47843152"/>
        <c:crosses val="autoZero"/>
        <c:crossBetween val="midCat"/>
      </c:valAx>
      <c:valAx>
        <c:axId val="-204784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840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MASTER_DATA_4_IMAGING!$S$3:$S$17</c:f>
              <c:numCache>
                <c:formatCode>General</c:formatCode>
                <c:ptCount val="15"/>
                <c:pt idx="0">
                  <c:v>0.0</c:v>
                </c:pt>
                <c:pt idx="1">
                  <c:v>16.0</c:v>
                </c:pt>
                <c:pt idx="2">
                  <c:v>0.0</c:v>
                </c:pt>
                <c:pt idx="3">
                  <c:v>2.0</c:v>
                </c:pt>
                <c:pt idx="4">
                  <c:v>0.0</c:v>
                </c:pt>
                <c:pt idx="5">
                  <c:v>6.0</c:v>
                </c:pt>
                <c:pt idx="6">
                  <c:v>1.0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3.0</c:v>
                </c:pt>
                <c:pt idx="11">
                  <c:v>20.0</c:v>
                </c:pt>
                <c:pt idx="12">
                  <c:v>10.5</c:v>
                </c:pt>
                <c:pt idx="13">
                  <c:v>16.5</c:v>
                </c:pt>
                <c:pt idx="14">
                  <c:v>11.0</c:v>
                </c:pt>
              </c:numCache>
            </c:numRef>
          </c:xVal>
          <c:yVal>
            <c:numRef>
              <c:f>MASTER_DATA_4_IMAGING!$DR$3:$DR$17</c:f>
              <c:numCache>
                <c:formatCode>General</c:formatCode>
                <c:ptCount val="15"/>
                <c:pt idx="0">
                  <c:v>0.0</c:v>
                </c:pt>
                <c:pt idx="1">
                  <c:v>2.0</c:v>
                </c:pt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0.0</c:v>
                </c:pt>
                <c:pt idx="6">
                  <c:v>2.0</c:v>
                </c:pt>
                <c:pt idx="7">
                  <c:v>2.0</c:v>
                </c:pt>
                <c:pt idx="8">
                  <c:v>0.0</c:v>
                </c:pt>
                <c:pt idx="9">
                  <c:v>2.0</c:v>
                </c:pt>
                <c:pt idx="10">
                  <c:v>4.0</c:v>
                </c:pt>
                <c:pt idx="11">
                  <c:v>4.0</c:v>
                </c:pt>
                <c:pt idx="12">
                  <c:v>7.0</c:v>
                </c:pt>
                <c:pt idx="13">
                  <c:v>3.0</c:v>
                </c:pt>
                <c:pt idx="14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139952"/>
        <c:axId val="-2053145344"/>
      </c:scatterChart>
      <c:valAx>
        <c:axId val="-205313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3145344"/>
        <c:crosses val="autoZero"/>
        <c:crossBetween val="midCat"/>
      </c:valAx>
      <c:valAx>
        <c:axId val="-205314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313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MASTER_DATA_4_IMAGING!$B$3:$B$17</c:f>
              <c:numCache>
                <c:formatCode>General</c:formatCode>
                <c:ptCount val="15"/>
                <c:pt idx="0">
                  <c:v>-0.003999999910592</c:v>
                </c:pt>
                <c:pt idx="1">
                  <c:v>0.406</c:v>
                </c:pt>
                <c:pt idx="2">
                  <c:v>0.04</c:v>
                </c:pt>
                <c:pt idx="3">
                  <c:v>0.834000004455304</c:v>
                </c:pt>
                <c:pt idx="4">
                  <c:v>0.02</c:v>
                </c:pt>
                <c:pt idx="5">
                  <c:v>0.1880000002</c:v>
                </c:pt>
                <c:pt idx="6">
                  <c:v>0.162</c:v>
                </c:pt>
                <c:pt idx="7">
                  <c:v>0.0879999984</c:v>
                </c:pt>
                <c:pt idx="8">
                  <c:v>0.168</c:v>
                </c:pt>
                <c:pt idx="9">
                  <c:v>0.215999997407228</c:v>
                </c:pt>
                <c:pt idx="10">
                  <c:v>0.2400000016</c:v>
                </c:pt>
                <c:pt idx="11">
                  <c:v>0.6920000022</c:v>
                </c:pt>
                <c:pt idx="12">
                  <c:v>0.3559999984</c:v>
                </c:pt>
                <c:pt idx="13">
                  <c:v>0.372</c:v>
                </c:pt>
                <c:pt idx="14">
                  <c:v>0.478000001192</c:v>
                </c:pt>
              </c:numCache>
            </c:numRef>
          </c:xVal>
          <c:y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849184"/>
        <c:axId val="-2053154256"/>
      </c:scatterChart>
      <c:valAx>
        <c:axId val="-204784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3154256"/>
        <c:crosses val="autoZero"/>
        <c:crossBetween val="midCat"/>
      </c:valAx>
      <c:valAx>
        <c:axId val="-205315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7849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36730971128609"/>
                  <c:y val="-0.123593977836104"/>
                </c:manualLayout>
              </c:layout>
              <c:numFmt formatCode="General" sourceLinked="0"/>
            </c:trendlineLbl>
          </c:trendline>
          <c:xVal>
            <c:numRef>
              <c:f>MASTER_DATA_4_IMAGING!$L$3:$L$17</c:f>
              <c:numCache>
                <c:formatCode>General</c:formatCode>
                <c:ptCount val="15"/>
                <c:pt idx="0">
                  <c:v>-0.00666666651765333</c:v>
                </c:pt>
                <c:pt idx="1">
                  <c:v>0.34</c:v>
                </c:pt>
                <c:pt idx="2">
                  <c:v>0.203333333333333</c:v>
                </c:pt>
                <c:pt idx="3">
                  <c:v>0.549999992052667</c:v>
                </c:pt>
                <c:pt idx="4">
                  <c:v>0.02</c:v>
                </c:pt>
                <c:pt idx="5">
                  <c:v>0.540000001666667</c:v>
                </c:pt>
                <c:pt idx="6">
                  <c:v>0.156666666666667</c:v>
                </c:pt>
                <c:pt idx="7">
                  <c:v>0.0433333336666667</c:v>
                </c:pt>
                <c:pt idx="8">
                  <c:v>0.0</c:v>
                </c:pt>
                <c:pt idx="9">
                  <c:v>0.25333333387968</c:v>
                </c:pt>
                <c:pt idx="10">
                  <c:v>0.156666666</c:v>
                </c:pt>
                <c:pt idx="11">
                  <c:v>0.659999991333333</c:v>
                </c:pt>
                <c:pt idx="12">
                  <c:v>0.510000010333333</c:v>
                </c:pt>
                <c:pt idx="13">
                  <c:v>0.926666666666667</c:v>
                </c:pt>
                <c:pt idx="14">
                  <c:v>0.663333340819333</c:v>
                </c:pt>
              </c:numCache>
            </c:numRef>
          </c:xVal>
          <c:yVal>
            <c:numRef>
              <c:f>MASTER_DATA_4_IMAGING!$BH$3:$BH$17</c:f>
              <c:numCache>
                <c:formatCode>General</c:formatCode>
                <c:ptCount val="15"/>
                <c:pt idx="0">
                  <c:v>0.2710375</c:v>
                </c:pt>
                <c:pt idx="1">
                  <c:v>0.250875</c:v>
                </c:pt>
                <c:pt idx="2">
                  <c:v>0.218025</c:v>
                </c:pt>
                <c:pt idx="3">
                  <c:v>0.1004625</c:v>
                </c:pt>
                <c:pt idx="4">
                  <c:v>0.1982125</c:v>
                </c:pt>
                <c:pt idx="5">
                  <c:v>0.1225375</c:v>
                </c:pt>
                <c:pt idx="6">
                  <c:v>0.270325</c:v>
                </c:pt>
                <c:pt idx="7">
                  <c:v>0.2127</c:v>
                </c:pt>
                <c:pt idx="8">
                  <c:v>0.3414125</c:v>
                </c:pt>
                <c:pt idx="9">
                  <c:v>0.12515</c:v>
                </c:pt>
                <c:pt idx="10">
                  <c:v>0.1965625</c:v>
                </c:pt>
                <c:pt idx="11">
                  <c:v>0.235275</c:v>
                </c:pt>
                <c:pt idx="12">
                  <c:v>0.2693125</c:v>
                </c:pt>
                <c:pt idx="13">
                  <c:v>0.3271125</c:v>
                </c:pt>
                <c:pt idx="14">
                  <c:v>0.058375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182032"/>
        <c:axId val="-2053346304"/>
      </c:scatterChart>
      <c:valAx>
        <c:axId val="-205318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3346304"/>
        <c:crosses val="autoZero"/>
        <c:crossBetween val="midCat"/>
      </c:valAx>
      <c:valAx>
        <c:axId val="-205334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3182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06277121609799"/>
                  <c:y val="-0.0585473170020414"/>
                </c:manualLayout>
              </c:layout>
              <c:numFmt formatCode="General" sourceLinked="0"/>
            </c:trendlineLbl>
          </c:trendline>
          <c:xVal>
            <c:numRef>
              <c:f>MASTER_DATA_4_IMAGING!$EL$3:$EL$17</c:f>
              <c:numCache>
                <c:formatCode>General</c:formatCode>
                <c:ptCount val="15"/>
                <c:pt idx="0">
                  <c:v>50.0</c:v>
                </c:pt>
                <c:pt idx="1">
                  <c:v>86.0</c:v>
                </c:pt>
                <c:pt idx="2">
                  <c:v>88.0</c:v>
                </c:pt>
                <c:pt idx="3">
                  <c:v>84.0</c:v>
                </c:pt>
                <c:pt idx="4">
                  <c:v>91.0</c:v>
                </c:pt>
                <c:pt idx="5">
                  <c:v>61.0</c:v>
                </c:pt>
                <c:pt idx="6">
                  <c:v>78.0</c:v>
                </c:pt>
                <c:pt idx="7">
                  <c:v>82.0</c:v>
                </c:pt>
                <c:pt idx="8">
                  <c:v>79.0</c:v>
                </c:pt>
                <c:pt idx="9">
                  <c:v>94.0</c:v>
                </c:pt>
                <c:pt idx="10">
                  <c:v>93.0</c:v>
                </c:pt>
                <c:pt idx="11">
                  <c:v>58.0</c:v>
                </c:pt>
                <c:pt idx="12">
                  <c:v>86.0</c:v>
                </c:pt>
                <c:pt idx="13">
                  <c:v>58.0</c:v>
                </c:pt>
                <c:pt idx="14">
                  <c:v>53.0</c:v>
                </c:pt>
              </c:numCache>
            </c:numRef>
          </c:xVal>
          <c:yVal>
            <c:numRef>
              <c:f>MASTER_DATA_4_IMAGING!$ET$3:$ET$17</c:f>
              <c:numCache>
                <c:formatCode>General</c:formatCode>
                <c:ptCount val="15"/>
                <c:pt idx="0">
                  <c:v>0.0</c:v>
                </c:pt>
                <c:pt idx="1">
                  <c:v>16.0</c:v>
                </c:pt>
                <c:pt idx="2">
                  <c:v>0.0</c:v>
                </c:pt>
                <c:pt idx="3">
                  <c:v>2.0</c:v>
                </c:pt>
                <c:pt idx="4">
                  <c:v>0.0</c:v>
                </c:pt>
                <c:pt idx="5">
                  <c:v>6.0</c:v>
                </c:pt>
                <c:pt idx="6">
                  <c:v>1.0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3.0</c:v>
                </c:pt>
                <c:pt idx="11">
                  <c:v>20.0</c:v>
                </c:pt>
                <c:pt idx="12">
                  <c:v>10.5</c:v>
                </c:pt>
                <c:pt idx="13">
                  <c:v>16.5</c:v>
                </c:pt>
                <c:pt idx="14">
                  <c:v>11.0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534960"/>
        <c:axId val="-2053848704"/>
      </c:scatterChart>
      <c:valAx>
        <c:axId val="-205353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3848704"/>
        <c:crosses val="autoZero"/>
        <c:crossBetween val="midCat"/>
      </c:valAx>
      <c:valAx>
        <c:axId val="-205384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3534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/>
            </a:pPr>
            <a:r>
              <a:rPr lang="en-GB" sz="2600" baseline="0"/>
              <a:t>Neuroticism (negatively) predicts LSD-induced ego-dissolution</a:t>
            </a:r>
            <a:endParaRPr lang="en-GB" sz="26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3655074365704"/>
          <c:y val="0.134733887430738"/>
          <c:w val="0.823143582462028"/>
          <c:h val="0.74315312493673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0406770362721053"/>
                  <c:y val="-0.44278143840806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en-US"/>
                </a:p>
              </c:txPr>
            </c:trendlineLbl>
          </c:trendline>
          <c:xVal>
            <c:numRef>
              <c:f>MASTER_DATA!$M$3:$M$22</c:f>
              <c:numCache>
                <c:formatCode>General</c:formatCode>
                <c:ptCount val="20"/>
                <c:pt idx="0">
                  <c:v>50.0</c:v>
                </c:pt>
                <c:pt idx="1">
                  <c:v>86.0</c:v>
                </c:pt>
                <c:pt idx="2">
                  <c:v>88.0</c:v>
                </c:pt>
                <c:pt idx="3">
                  <c:v>84.0</c:v>
                </c:pt>
                <c:pt idx="4">
                  <c:v>52.0</c:v>
                </c:pt>
                <c:pt idx="5">
                  <c:v>91.0</c:v>
                </c:pt>
                <c:pt idx="6">
                  <c:v>70.0</c:v>
                </c:pt>
                <c:pt idx="7">
                  <c:v>66.0</c:v>
                </c:pt>
                <c:pt idx="8">
                  <c:v>61.0</c:v>
                </c:pt>
                <c:pt idx="9">
                  <c:v>78.0</c:v>
                </c:pt>
                <c:pt idx="10">
                  <c:v>82.0</c:v>
                </c:pt>
                <c:pt idx="11">
                  <c:v>79.0</c:v>
                </c:pt>
                <c:pt idx="12">
                  <c:v>94.0</c:v>
                </c:pt>
                <c:pt idx="13">
                  <c:v>49.0</c:v>
                </c:pt>
                <c:pt idx="14">
                  <c:v>93.0</c:v>
                </c:pt>
                <c:pt idx="15">
                  <c:v>52.0</c:v>
                </c:pt>
                <c:pt idx="16">
                  <c:v>58.0</c:v>
                </c:pt>
                <c:pt idx="17">
                  <c:v>86.0</c:v>
                </c:pt>
                <c:pt idx="18">
                  <c:v>58.0</c:v>
                </c:pt>
                <c:pt idx="19">
                  <c:v>53.0</c:v>
                </c:pt>
              </c:numCache>
            </c:numRef>
          </c:xVal>
          <c:yVal>
            <c:numRef>
              <c:f>MASTER_DATA!$O$3:$O$22</c:f>
              <c:numCache>
                <c:formatCode>General</c:formatCode>
                <c:ptCount val="20"/>
                <c:pt idx="0">
                  <c:v>0.0</c:v>
                </c:pt>
                <c:pt idx="1">
                  <c:v>9.5</c:v>
                </c:pt>
                <c:pt idx="2">
                  <c:v>0.0</c:v>
                </c:pt>
                <c:pt idx="3">
                  <c:v>1.0</c:v>
                </c:pt>
                <c:pt idx="4">
                  <c:v>2.5</c:v>
                </c:pt>
                <c:pt idx="5">
                  <c:v>0.0</c:v>
                </c:pt>
                <c:pt idx="6">
                  <c:v>8.5</c:v>
                </c:pt>
                <c:pt idx="7">
                  <c:v>14.0</c:v>
                </c:pt>
                <c:pt idx="8">
                  <c:v>7.0</c:v>
                </c:pt>
                <c:pt idx="9">
                  <c:v>2.5</c:v>
                </c:pt>
                <c:pt idx="10">
                  <c:v>0.5</c:v>
                </c:pt>
                <c:pt idx="11">
                  <c:v>0.0</c:v>
                </c:pt>
                <c:pt idx="12">
                  <c:v>0.0</c:v>
                </c:pt>
                <c:pt idx="13">
                  <c:v>16.5</c:v>
                </c:pt>
                <c:pt idx="14">
                  <c:v>3.5</c:v>
                </c:pt>
                <c:pt idx="15">
                  <c:v>10.0</c:v>
                </c:pt>
                <c:pt idx="16">
                  <c:v>20.0</c:v>
                </c:pt>
                <c:pt idx="17">
                  <c:v>6.0</c:v>
                </c:pt>
                <c:pt idx="18">
                  <c:v>13.0</c:v>
                </c:pt>
                <c:pt idx="19">
                  <c:v>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548704"/>
        <c:axId val="-2053723776"/>
      </c:scatterChart>
      <c:valAx>
        <c:axId val="-2053548704"/>
        <c:scaling>
          <c:orientation val="minMax"/>
          <c:min val="40.0"/>
        </c:scaling>
        <c:delete val="0"/>
        <c:axPos val="b"/>
        <c:title>
          <c:tx>
            <c:rich>
              <a:bodyPr/>
              <a:lstStyle/>
              <a:p>
                <a:pPr>
                  <a:defRPr sz="2500"/>
                </a:pPr>
                <a:r>
                  <a:rPr lang="en-US" sz="2500"/>
                  <a:t>Trait neuroticism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53723776"/>
        <c:crosses val="autoZero"/>
        <c:crossBetween val="midCat"/>
      </c:valAx>
      <c:valAx>
        <c:axId val="-2053723776"/>
        <c:scaling>
          <c:orientation val="minMax"/>
          <c:max val="2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500"/>
                </a:pPr>
                <a:r>
                  <a:rPr lang="en-US" sz="2500"/>
                  <a:t>Ego-dissolution</a:t>
                </a:r>
              </a:p>
            </c:rich>
          </c:tx>
          <c:layout>
            <c:manualLayout>
              <c:xMode val="edge"/>
              <c:yMode val="edge"/>
              <c:x val="0.0323435953702509"/>
              <c:y val="0.325285309524594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crossAx val="-2053548704"/>
        <c:crosses val="autoZero"/>
        <c:crossBetween val="midCat"/>
      </c:valAx>
    </c:plotArea>
    <c:plotVisOnly val="1"/>
    <c:dispBlanksAs val="gap"/>
    <c:showDLblsOverMax val="0"/>
  </c:chart>
  <c:userShapes r:id="rId1"/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en-GB" sz="2800"/>
              <a:t>Baseline agreeableness predicts increased optimism 1 week post-LSD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969606299212599"/>
          <c:y val="0.128738285570957"/>
          <c:w val="0.851358923884514"/>
          <c:h val="0.77893701179421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135790609646747"/>
                  <c:y val="-0.261818610333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en-US"/>
                </a:p>
              </c:txPr>
            </c:trendlineLbl>
          </c:trendline>
          <c:xVal>
            <c:numRef>
              <c:f>MASTER_DATA!$J$3:$J$22</c:f>
              <c:numCache>
                <c:formatCode>General</c:formatCode>
                <c:ptCount val="20"/>
                <c:pt idx="0">
                  <c:v>131.0</c:v>
                </c:pt>
                <c:pt idx="1">
                  <c:v>130.0</c:v>
                </c:pt>
                <c:pt idx="2">
                  <c:v>114.0</c:v>
                </c:pt>
                <c:pt idx="3">
                  <c:v>144.0</c:v>
                </c:pt>
                <c:pt idx="4">
                  <c:v>136.0</c:v>
                </c:pt>
                <c:pt idx="5">
                  <c:v>134.0</c:v>
                </c:pt>
                <c:pt idx="6">
                  <c:v>112.0</c:v>
                </c:pt>
                <c:pt idx="7">
                  <c:v>128.0</c:v>
                </c:pt>
                <c:pt idx="8">
                  <c:v>160.0</c:v>
                </c:pt>
                <c:pt idx="9">
                  <c:v>106.0</c:v>
                </c:pt>
                <c:pt idx="10">
                  <c:v>124.0</c:v>
                </c:pt>
                <c:pt idx="11">
                  <c:v>126.0</c:v>
                </c:pt>
                <c:pt idx="12">
                  <c:v>110.0</c:v>
                </c:pt>
                <c:pt idx="13">
                  <c:v>121.0</c:v>
                </c:pt>
                <c:pt idx="14">
                  <c:v>127.0</c:v>
                </c:pt>
                <c:pt idx="15">
                  <c:v>103.0</c:v>
                </c:pt>
                <c:pt idx="16">
                  <c:v>120.0</c:v>
                </c:pt>
                <c:pt idx="17">
                  <c:v>113.0</c:v>
                </c:pt>
                <c:pt idx="18">
                  <c:v>104.0</c:v>
                </c:pt>
                <c:pt idx="19">
                  <c:v>115.0</c:v>
                </c:pt>
              </c:numCache>
            </c:numRef>
          </c:xVal>
          <c:yVal>
            <c:numRef>
              <c:f>MASTER_DATA!$Q$3:$Q$22</c:f>
              <c:numCache>
                <c:formatCode>General</c:formatCode>
                <c:ptCount val="20"/>
                <c:pt idx="0">
                  <c:v>0.0</c:v>
                </c:pt>
                <c:pt idx="1">
                  <c:v>2.0</c:v>
                </c:pt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-1.0</c:v>
                </c:pt>
                <c:pt idx="6">
                  <c:v>3.0</c:v>
                </c:pt>
                <c:pt idx="7">
                  <c:v>0.0</c:v>
                </c:pt>
                <c:pt idx="8">
                  <c:v>0.0</c:v>
                </c:pt>
                <c:pt idx="9">
                  <c:v>2.0</c:v>
                </c:pt>
                <c:pt idx="10">
                  <c:v>2.0</c:v>
                </c:pt>
                <c:pt idx="11">
                  <c:v>0.0</c:v>
                </c:pt>
                <c:pt idx="12">
                  <c:v>2.0</c:v>
                </c:pt>
                <c:pt idx="13">
                  <c:v>1.0</c:v>
                </c:pt>
                <c:pt idx="14">
                  <c:v>4.0</c:v>
                </c:pt>
                <c:pt idx="15">
                  <c:v>0.0</c:v>
                </c:pt>
                <c:pt idx="16">
                  <c:v>4.0</c:v>
                </c:pt>
                <c:pt idx="17">
                  <c:v>7.0</c:v>
                </c:pt>
                <c:pt idx="18">
                  <c:v>3.0</c:v>
                </c:pt>
                <c:pt idx="19">
                  <c:v>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570032"/>
        <c:axId val="-2053153200"/>
      </c:scatterChart>
      <c:valAx>
        <c:axId val="-2053570032"/>
        <c:scaling>
          <c:orientation val="minMax"/>
          <c:max val="165.0"/>
          <c:min val="100.0"/>
        </c:scaling>
        <c:delete val="0"/>
        <c:axPos val="b"/>
        <c:title>
          <c:tx>
            <c:rich>
              <a:bodyPr/>
              <a:lstStyle/>
              <a:p>
                <a:pPr>
                  <a:defRPr sz="2200"/>
                </a:pPr>
                <a:r>
                  <a:rPr lang="en-US" sz="2200"/>
                  <a:t>Baseline agreeableness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53153200"/>
        <c:crosses val="autoZero"/>
        <c:crossBetween val="midCat"/>
      </c:valAx>
      <c:valAx>
        <c:axId val="-20531532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200"/>
                </a:pPr>
                <a:r>
                  <a:rPr lang="en-US" sz="2200"/>
                  <a:t>Optimism change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53570032"/>
        <c:crosses val="autoZero"/>
        <c:crossBetween val="midCat"/>
      </c:valAx>
    </c:plotArea>
    <c:plotVisOnly val="1"/>
    <c:dispBlanksAs val="gap"/>
    <c:showDLblsOverMax val="0"/>
  </c:chart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/>
            </a:pPr>
            <a:r>
              <a:rPr lang="en-GB" sz="2500"/>
              <a:t>Ego-dissolution (ASL 1 &amp; 3)</a:t>
            </a:r>
            <a:r>
              <a:rPr lang="en-GB" sz="2500" baseline="0"/>
              <a:t> v psychosis-like symptoms</a:t>
            </a:r>
            <a:endParaRPr lang="en-GB" sz="25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899713157863343"/>
          <c:y val="0.092183490079818"/>
          <c:w val="0.875809574824699"/>
          <c:h val="0.7843862035004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508196050028261"/>
                  <c:y val="-0.19349033163060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en-US"/>
                </a:p>
              </c:txPr>
            </c:trendlineLbl>
          </c:trendline>
          <c:xVal>
            <c:numRef>
              <c:f>MASTER_DATA!$S$3:$S$22</c:f>
              <c:numCache>
                <c:formatCode>General</c:formatCode>
                <c:ptCount val="20"/>
                <c:pt idx="0">
                  <c:v>8.0</c:v>
                </c:pt>
                <c:pt idx="1">
                  <c:v>8.0</c:v>
                </c:pt>
                <c:pt idx="2">
                  <c:v>12.0</c:v>
                </c:pt>
                <c:pt idx="3">
                  <c:v>12.0</c:v>
                </c:pt>
                <c:pt idx="4">
                  <c:v>18.0</c:v>
                </c:pt>
                <c:pt idx="5">
                  <c:v>12.0</c:v>
                </c:pt>
                <c:pt idx="6">
                  <c:v>10.0</c:v>
                </c:pt>
                <c:pt idx="7">
                  <c:v>17.0</c:v>
                </c:pt>
                <c:pt idx="8">
                  <c:v>8.0</c:v>
                </c:pt>
                <c:pt idx="9">
                  <c:v>14.0</c:v>
                </c:pt>
                <c:pt idx="10">
                  <c:v>9.0</c:v>
                </c:pt>
                <c:pt idx="11">
                  <c:v>12.0</c:v>
                </c:pt>
                <c:pt idx="12">
                  <c:v>17.0</c:v>
                </c:pt>
                <c:pt idx="13">
                  <c:v>8.0</c:v>
                </c:pt>
                <c:pt idx="14">
                  <c:v>17.0</c:v>
                </c:pt>
                <c:pt idx="15">
                  <c:v>9.0</c:v>
                </c:pt>
                <c:pt idx="16">
                  <c:v>5.0</c:v>
                </c:pt>
                <c:pt idx="17">
                  <c:v>13.0</c:v>
                </c:pt>
                <c:pt idx="18">
                  <c:v>9.0</c:v>
                </c:pt>
                <c:pt idx="19">
                  <c:v>13.0</c:v>
                </c:pt>
              </c:numCache>
            </c:numRef>
          </c:xVal>
          <c:yVal>
            <c:numRef>
              <c:f>MASTER_DATA!$O$3:$O$22</c:f>
              <c:numCache>
                <c:formatCode>General</c:formatCode>
                <c:ptCount val="20"/>
                <c:pt idx="0">
                  <c:v>0.0</c:v>
                </c:pt>
                <c:pt idx="1">
                  <c:v>9.5</c:v>
                </c:pt>
                <c:pt idx="2">
                  <c:v>0.0</c:v>
                </c:pt>
                <c:pt idx="3">
                  <c:v>1.0</c:v>
                </c:pt>
                <c:pt idx="4">
                  <c:v>2.5</c:v>
                </c:pt>
                <c:pt idx="5">
                  <c:v>0.0</c:v>
                </c:pt>
                <c:pt idx="6">
                  <c:v>8.5</c:v>
                </c:pt>
                <c:pt idx="7">
                  <c:v>14.0</c:v>
                </c:pt>
                <c:pt idx="8">
                  <c:v>7.0</c:v>
                </c:pt>
                <c:pt idx="9">
                  <c:v>2.5</c:v>
                </c:pt>
                <c:pt idx="10">
                  <c:v>0.5</c:v>
                </c:pt>
                <c:pt idx="11">
                  <c:v>0.0</c:v>
                </c:pt>
                <c:pt idx="12">
                  <c:v>0.0</c:v>
                </c:pt>
                <c:pt idx="13">
                  <c:v>16.5</c:v>
                </c:pt>
                <c:pt idx="14">
                  <c:v>3.5</c:v>
                </c:pt>
                <c:pt idx="15">
                  <c:v>10.0</c:v>
                </c:pt>
                <c:pt idx="16">
                  <c:v>20.0</c:v>
                </c:pt>
                <c:pt idx="17">
                  <c:v>6.0</c:v>
                </c:pt>
                <c:pt idx="18">
                  <c:v>13.0</c:v>
                </c:pt>
                <c:pt idx="19">
                  <c:v>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7847888"/>
        <c:axId val="-2047861344"/>
      </c:scatterChart>
      <c:valAx>
        <c:axId val="-204784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Psychosis-like symptoms (PSI)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7861344"/>
        <c:crosses val="autoZero"/>
        <c:crossBetween val="midCat"/>
      </c:valAx>
      <c:valAx>
        <c:axId val="-20478613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Ego-dissolution (ASL 1 &amp; 3)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7847888"/>
        <c:crosses val="autoZero"/>
        <c:crossBetween val="midCat"/>
      </c:valAx>
    </c:plotArea>
    <c:plotVisOnly val="1"/>
    <c:dispBlanksAs val="gap"/>
    <c:showDLblsOverMax val="0"/>
  </c:chart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0"/>
            </a:pPr>
            <a:r>
              <a:rPr lang="en-GB" sz="3000"/>
              <a:t>5D-ASC: top 10 rated items on LSD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0785043581008914"/>
          <c:y val="0.113312058455725"/>
          <c:w val="0.898021676702576"/>
          <c:h val="0.688365535621787"/>
        </c:manualLayout>
      </c:layout>
      <c:barChart>
        <c:barDir val="col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ASC_11!$E$25:$N$25</c:f>
                <c:numCache>
                  <c:formatCode>General</c:formatCode>
                  <c:ptCount val="10"/>
                  <c:pt idx="0">
                    <c:v>0.059455755418118</c:v>
                  </c:pt>
                  <c:pt idx="1">
                    <c:v>0.0679639027736675</c:v>
                  </c:pt>
                  <c:pt idx="2">
                    <c:v>0.0665657576725036</c:v>
                  </c:pt>
                  <c:pt idx="3">
                    <c:v>0.0893025612263696</c:v>
                  </c:pt>
                  <c:pt idx="4">
                    <c:v>0.0738237587129155</c:v>
                  </c:pt>
                  <c:pt idx="5">
                    <c:v>0.0943788563254666</c:v>
                  </c:pt>
                  <c:pt idx="6">
                    <c:v>0.0883694398749675</c:v>
                  </c:pt>
                  <c:pt idx="7">
                    <c:v>0.0869430395485172</c:v>
                  </c:pt>
                  <c:pt idx="8">
                    <c:v>0.0865760238104725</c:v>
                  </c:pt>
                  <c:pt idx="9">
                    <c:v>0.0714478095071291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ASC_11!$E$2:$N$2</c:f>
              <c:strCache>
                <c:ptCount val="10"/>
                <c:pt idx="0">
                  <c:v>I saw colors in complete darkness or with closed eyes.</c:v>
                </c:pt>
                <c:pt idx="1">
                  <c:v>I saw regular patterns in complete darkness or with closed eyes. </c:v>
                </c:pt>
                <c:pt idx="2">
                  <c:v>My sense of time and space was altered as if I was dreaming.</c:v>
                </c:pt>
                <c:pt idx="3">
                  <c:v>I saw brightness or flashes in complete darkness or with closed eyes.</c:v>
                </c:pt>
                <c:pt idx="4">
                  <c:v>My imagination was extremely vivid. </c:v>
                </c:pt>
                <c:pt idx="5">
                  <c:v>Sounds seemed to influence what I saw.</c:v>
                </c:pt>
                <c:pt idx="6">
                  <c:v>Shapes seemed to be changed by sounds or noises.</c:v>
                </c:pt>
                <c:pt idx="7">
                  <c:v>I saw things I knew were not real.</c:v>
                </c:pt>
                <c:pt idx="8">
                  <c:v>Colors seemed to be altered by sounds or noises.</c:v>
                </c:pt>
                <c:pt idx="9">
                  <c:v>I felt like I was in a wonderful other world.</c:v>
                </c:pt>
              </c:strCache>
            </c:strRef>
          </c:cat>
          <c:val>
            <c:numRef>
              <c:f>ASC_11!$E$23:$N$23</c:f>
              <c:numCache>
                <c:formatCode>General</c:formatCode>
                <c:ptCount val="10"/>
                <c:pt idx="0">
                  <c:v>0.8145000006924</c:v>
                </c:pt>
                <c:pt idx="1">
                  <c:v>0.7685000026613</c:v>
                </c:pt>
                <c:pt idx="2">
                  <c:v>0.72900000009605</c:v>
                </c:pt>
                <c:pt idx="3">
                  <c:v>0.6740000009891</c:v>
                </c:pt>
                <c:pt idx="4">
                  <c:v>0.63100000368615</c:v>
                </c:pt>
                <c:pt idx="5">
                  <c:v>0.62000000145365</c:v>
                </c:pt>
                <c:pt idx="6">
                  <c:v>0.616000001309315</c:v>
                </c:pt>
                <c:pt idx="7">
                  <c:v>0.56650000150935</c:v>
                </c:pt>
                <c:pt idx="8">
                  <c:v>0.5534999974291</c:v>
                </c:pt>
                <c:pt idx="9">
                  <c:v>0.55300000386895</c:v>
                </c:pt>
              </c:numCache>
            </c:numRef>
          </c:val>
        </c:ser>
        <c:ser>
          <c:idx val="1"/>
          <c:order val="1"/>
          <c:tx>
            <c:v>Placebo</c:v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ASC_11!$E$51:$N$51</c:f>
                <c:numCache>
                  <c:formatCode>General</c:formatCode>
                  <c:ptCount val="10"/>
                  <c:pt idx="0">
                    <c:v>0.052275082111902</c:v>
                  </c:pt>
                  <c:pt idx="1">
                    <c:v>0.0600888598530007</c:v>
                  </c:pt>
                  <c:pt idx="2">
                    <c:v>0.0158363346044394</c:v>
                  </c:pt>
                  <c:pt idx="3">
                    <c:v>0.0239107444163146</c:v>
                  </c:pt>
                  <c:pt idx="4">
                    <c:v>0.0143136851124776</c:v>
                  </c:pt>
                  <c:pt idx="5">
                    <c:v>0.0516287353037403</c:v>
                  </c:pt>
                  <c:pt idx="6">
                    <c:v>0.0386713548996854</c:v>
                  </c:pt>
                  <c:pt idx="7">
                    <c:v>0.0573153786673669</c:v>
                  </c:pt>
                  <c:pt idx="8">
                    <c:v>0.040580491842367</c:v>
                  </c:pt>
                  <c:pt idx="9">
                    <c:v>0.00646753036616733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ASC_11!$E$2:$N$2</c:f>
              <c:strCache>
                <c:ptCount val="10"/>
                <c:pt idx="0">
                  <c:v>I saw colors in complete darkness or with closed eyes.</c:v>
                </c:pt>
                <c:pt idx="1">
                  <c:v>I saw regular patterns in complete darkness or with closed eyes. </c:v>
                </c:pt>
                <c:pt idx="2">
                  <c:v>My sense of time and space was altered as if I was dreaming.</c:v>
                </c:pt>
                <c:pt idx="3">
                  <c:v>I saw brightness or flashes in complete darkness or with closed eyes.</c:v>
                </c:pt>
                <c:pt idx="4">
                  <c:v>My imagination was extremely vivid. </c:v>
                </c:pt>
                <c:pt idx="5">
                  <c:v>Sounds seemed to influence what I saw.</c:v>
                </c:pt>
                <c:pt idx="6">
                  <c:v>Shapes seemed to be changed by sounds or noises.</c:v>
                </c:pt>
                <c:pt idx="7">
                  <c:v>I saw things I knew were not real.</c:v>
                </c:pt>
                <c:pt idx="8">
                  <c:v>Colors seemed to be altered by sounds or noises.</c:v>
                </c:pt>
                <c:pt idx="9">
                  <c:v>I felt like I was in a wonderful other world.</c:v>
                </c:pt>
              </c:strCache>
            </c:strRef>
          </c:cat>
          <c:val>
            <c:numRef>
              <c:f>ASC_11!$E$49:$N$49</c:f>
              <c:numCache>
                <c:formatCode>General</c:formatCode>
                <c:ptCount val="10"/>
                <c:pt idx="0">
                  <c:v>0.096999999860024</c:v>
                </c:pt>
                <c:pt idx="1">
                  <c:v>0.1015000005288</c:v>
                </c:pt>
                <c:pt idx="2">
                  <c:v>0.02500000090765</c:v>
                </c:pt>
                <c:pt idx="3">
                  <c:v>0.041500000788824</c:v>
                </c:pt>
                <c:pt idx="4">
                  <c:v>0.026500000005294</c:v>
                </c:pt>
                <c:pt idx="5">
                  <c:v>0.07499999992</c:v>
                </c:pt>
                <c:pt idx="6">
                  <c:v>0.064000000163324</c:v>
                </c:pt>
                <c:pt idx="7">
                  <c:v>0.08799999996647</c:v>
                </c:pt>
                <c:pt idx="8">
                  <c:v>0.052500000138824</c:v>
                </c:pt>
                <c:pt idx="9">
                  <c:v>0.014500000181374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3186512"/>
        <c:axId val="-2053185104"/>
      </c:barChart>
      <c:catAx>
        <c:axId val="-205318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/>
        </c:spPr>
        <c:crossAx val="-2053185104"/>
        <c:crosses val="autoZero"/>
        <c:auto val="1"/>
        <c:lblAlgn val="ctr"/>
        <c:lblOffset val="100"/>
        <c:noMultiLvlLbl val="0"/>
      </c:catAx>
      <c:valAx>
        <c:axId val="-2053185104"/>
        <c:scaling>
          <c:orientation val="minMax"/>
          <c:max val="1.0"/>
        </c:scaling>
        <c:delete val="0"/>
        <c:axPos val="l"/>
        <c:numFmt formatCode="General" sourceLinked="1"/>
        <c:majorTickMark val="out"/>
        <c:minorTickMark val="none"/>
        <c:tickLblPos val="nextTo"/>
        <c:crossAx val="-205318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5103995549082"/>
          <c:y val="0.154251053340618"/>
          <c:w val="0.0962895205954502"/>
          <c:h val="0.101062320131442"/>
        </c:manualLayout>
      </c:layout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</c:chart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0"/>
            </a:pPr>
            <a:r>
              <a:rPr lang="en-US" sz="3000"/>
              <a:t>5D-ASC scores</a:t>
            </a:r>
            <a:r>
              <a:rPr lang="en-US" sz="3000" baseline="0"/>
              <a:t> by factors</a:t>
            </a:r>
            <a:endParaRPr lang="en-US" sz="3000"/>
          </a:p>
        </c:rich>
      </c:tx>
      <c:layout>
        <c:manualLayout>
          <c:xMode val="edge"/>
          <c:yMode val="edge"/>
          <c:x val="0.287691256830601"/>
          <c:y val="0.027196652719665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68795447700185"/>
          <c:y val="0.125737488880836"/>
          <c:w val="0.875402306269093"/>
          <c:h val="0.788380390735677"/>
        </c:manualLayout>
      </c:layout>
      <c:barChart>
        <c:barDir val="col"/>
        <c:grouping val="clustered"/>
        <c:varyColors val="0"/>
        <c:ser>
          <c:idx val="0"/>
          <c:order val="0"/>
          <c:tx>
            <c:v>LSD</c:v>
          </c:tx>
          <c:invertIfNegative val="0"/>
          <c:errBars>
            <c:errBarType val="plus"/>
            <c:errValType val="cust"/>
            <c:noEndCap val="0"/>
            <c:plus>
              <c:numRef>
                <c:f>'5DASC_5F'!$B$47:$G$47</c:f>
                <c:numCache>
                  <c:formatCode>General</c:formatCode>
                  <c:ptCount val="6"/>
                  <c:pt idx="0">
                    <c:v>5.448595166267644</c:v>
                  </c:pt>
                  <c:pt idx="1">
                    <c:v>3.706687494201641</c:v>
                  </c:pt>
                  <c:pt idx="2">
                    <c:v>4.799909807334655</c:v>
                  </c:pt>
                  <c:pt idx="3">
                    <c:v>4.549203556013282</c:v>
                  </c:pt>
                  <c:pt idx="4">
                    <c:v>3.760023021987094</c:v>
                  </c:pt>
                  <c:pt idx="5">
                    <c:v>4.017653500948057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'5DASC_5F'!$B$1:$G$1</c:f>
              <c:strCache>
                <c:ptCount val="6"/>
                <c:pt idx="0">
                  <c:v>Oceanic </c:v>
                </c:pt>
                <c:pt idx="1">
                  <c:v>Anxiety</c:v>
                </c:pt>
                <c:pt idx="2">
                  <c:v>Visual</c:v>
                </c:pt>
                <c:pt idx="3">
                  <c:v>Auditory</c:v>
                </c:pt>
                <c:pt idx="4">
                  <c:v>Reduced vigilance</c:v>
                </c:pt>
                <c:pt idx="5">
                  <c:v>Global</c:v>
                </c:pt>
              </c:strCache>
            </c:strRef>
          </c:cat>
          <c:val>
            <c:numRef>
              <c:f>'5DASC_5F'!$B$24:$G$24</c:f>
              <c:numCache>
                <c:formatCode>0</c:formatCode>
                <c:ptCount val="6"/>
                <c:pt idx="0">
                  <c:v>41.04444439248819</c:v>
                </c:pt>
                <c:pt idx="1">
                  <c:v>19.12380954097686</c:v>
                </c:pt>
                <c:pt idx="2">
                  <c:v>50.18333340973638</c:v>
                </c:pt>
                <c:pt idx="3">
                  <c:v>23.83125005425672</c:v>
                </c:pt>
                <c:pt idx="4">
                  <c:v>23.95416666594801</c:v>
                </c:pt>
                <c:pt idx="5">
                  <c:v>36.56212121716591</c:v>
                </c:pt>
              </c:numCache>
            </c:numRef>
          </c:val>
        </c:ser>
        <c:ser>
          <c:idx val="1"/>
          <c:order val="1"/>
          <c:tx>
            <c:strRef>
              <c:f>'5DASC_5F'!$H$1</c:f>
              <c:strCache>
                <c:ptCount val="1"/>
                <c:pt idx="0">
                  <c:v>PLACEBO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'5DASC_5F'!$I$47:$N$47</c:f>
                <c:numCache>
                  <c:formatCode>General</c:formatCode>
                  <c:ptCount val="6"/>
                  <c:pt idx="0">
                    <c:v>1.104642885580341</c:v>
                  </c:pt>
                  <c:pt idx="1">
                    <c:v>0.920015691360659</c:v>
                  </c:pt>
                  <c:pt idx="2">
                    <c:v>2.104529216558787</c:v>
                  </c:pt>
                  <c:pt idx="3">
                    <c:v>0.449972589483865</c:v>
                  </c:pt>
                  <c:pt idx="4">
                    <c:v>1.995271254813029</c:v>
                  </c:pt>
                  <c:pt idx="5">
                    <c:v>1.232281803121332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1.0</c:v>
                </c:pt>
              </c:numLit>
            </c:minus>
          </c:errBars>
          <c:cat>
            <c:strRef>
              <c:f>'5DASC_5F'!$B$1:$G$1</c:f>
              <c:strCache>
                <c:ptCount val="6"/>
                <c:pt idx="0">
                  <c:v>Oceanic </c:v>
                </c:pt>
                <c:pt idx="1">
                  <c:v>Anxiety</c:v>
                </c:pt>
                <c:pt idx="2">
                  <c:v>Visual</c:v>
                </c:pt>
                <c:pt idx="3">
                  <c:v>Auditory</c:v>
                </c:pt>
                <c:pt idx="4">
                  <c:v>Reduced vigilance</c:v>
                </c:pt>
                <c:pt idx="5">
                  <c:v>Global</c:v>
                </c:pt>
              </c:strCache>
            </c:strRef>
          </c:cat>
          <c:val>
            <c:numRef>
              <c:f>'5DASC_5F'!$I$24:$N$24</c:f>
              <c:numCache>
                <c:formatCode>0</c:formatCode>
                <c:ptCount val="6"/>
                <c:pt idx="0">
                  <c:v>1.824074072611637</c:v>
                </c:pt>
                <c:pt idx="1">
                  <c:v>2.897619045668377</c:v>
                </c:pt>
                <c:pt idx="2">
                  <c:v>4.005555563206644</c:v>
                </c:pt>
                <c:pt idx="3">
                  <c:v>1.275000003905819</c:v>
                </c:pt>
                <c:pt idx="4">
                  <c:v>7.774999956468376</c:v>
                </c:pt>
                <c:pt idx="5">
                  <c:v>2.760606061473783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3260752"/>
        <c:axId val="-2053259344"/>
      </c:barChart>
      <c:catAx>
        <c:axId val="-205326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-2053259344"/>
        <c:crosses val="autoZero"/>
        <c:auto val="1"/>
        <c:lblAlgn val="ctr"/>
        <c:lblOffset val="100"/>
        <c:noMultiLvlLbl val="0"/>
      </c:catAx>
      <c:valAx>
        <c:axId val="-2053259344"/>
        <c:scaling>
          <c:orientation val="minMax"/>
          <c:max val="100.0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-205326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6941934512284"/>
          <c:y val="0.291636246828979"/>
          <c:w val="0.107416741964631"/>
          <c:h val="0.1009491648272"/>
        </c:manualLayout>
      </c:layout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</c:chart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/>
            </a:pPr>
            <a:r>
              <a:rPr lang="en-GB" sz="2800"/>
              <a:t>Ego dissolution v mystical/spiritual experience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8099518810149"/>
          <c:y val="0.105745984946873"/>
          <c:w val="0.847067147856518"/>
          <c:h val="0.75715489289159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697692475940507"/>
                  <c:y val="-0.16030256634587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2000"/>
                  </a:pPr>
                  <a:endParaRPr lang="en-US"/>
                </a:p>
              </c:txPr>
            </c:trendlineLbl>
          </c:trendline>
          <c:xVal>
            <c:numRef>
              <c:f>'5DASC_5F'!$B$2:$B$21</c:f>
              <c:numCache>
                <c:formatCode>0</c:formatCode>
                <c:ptCount val="20"/>
                <c:pt idx="0">
                  <c:v>331.000000424766</c:v>
                </c:pt>
                <c:pt idx="1">
                  <c:v>1269.0</c:v>
                </c:pt>
                <c:pt idx="2">
                  <c:v>279.0</c:v>
                </c:pt>
                <c:pt idx="3">
                  <c:v>1940.9999996422</c:v>
                </c:pt>
                <c:pt idx="4">
                  <c:v>1436.99999954543</c:v>
                </c:pt>
                <c:pt idx="5">
                  <c:v>106.0</c:v>
                </c:pt>
                <c:pt idx="6">
                  <c:v>2010.0</c:v>
                </c:pt>
                <c:pt idx="7">
                  <c:v>1766.0</c:v>
                </c:pt>
                <c:pt idx="8">
                  <c:v>1375.9999942</c:v>
                </c:pt>
                <c:pt idx="9">
                  <c:v>682.0</c:v>
                </c:pt>
                <c:pt idx="10">
                  <c:v>380.9999967000001</c:v>
                </c:pt>
                <c:pt idx="11">
                  <c:v>148.0</c:v>
                </c:pt>
                <c:pt idx="12">
                  <c:v>653.9999874310781</c:v>
                </c:pt>
                <c:pt idx="13">
                  <c:v>2068.999987654448</c:v>
                </c:pt>
                <c:pt idx="14">
                  <c:v>751.0000018999999</c:v>
                </c:pt>
                <c:pt idx="15">
                  <c:v>1239.0000061</c:v>
                </c:pt>
                <c:pt idx="16">
                  <c:v>1923.9999925</c:v>
                </c:pt>
                <c:pt idx="17">
                  <c:v>970.0000037</c:v>
                </c:pt>
                <c:pt idx="18">
                  <c:v>1452.0</c:v>
                </c:pt>
                <c:pt idx="19">
                  <c:v>1379.0000021457</c:v>
                </c:pt>
              </c:numCache>
            </c:numRef>
          </c:xVal>
          <c:yVal>
            <c:numRef>
              <c:f>MASTER_DATA!$O$3:$O$22</c:f>
              <c:numCache>
                <c:formatCode>General</c:formatCode>
                <c:ptCount val="20"/>
                <c:pt idx="0">
                  <c:v>0.0</c:v>
                </c:pt>
                <c:pt idx="1">
                  <c:v>9.5</c:v>
                </c:pt>
                <c:pt idx="2">
                  <c:v>0.0</c:v>
                </c:pt>
                <c:pt idx="3">
                  <c:v>1.0</c:v>
                </c:pt>
                <c:pt idx="4">
                  <c:v>2.5</c:v>
                </c:pt>
                <c:pt idx="5">
                  <c:v>0.0</c:v>
                </c:pt>
                <c:pt idx="6">
                  <c:v>8.5</c:v>
                </c:pt>
                <c:pt idx="7">
                  <c:v>14.0</c:v>
                </c:pt>
                <c:pt idx="8">
                  <c:v>7.0</c:v>
                </c:pt>
                <c:pt idx="9">
                  <c:v>2.5</c:v>
                </c:pt>
                <c:pt idx="10">
                  <c:v>0.5</c:v>
                </c:pt>
                <c:pt idx="11">
                  <c:v>0.0</c:v>
                </c:pt>
                <c:pt idx="12">
                  <c:v>0.0</c:v>
                </c:pt>
                <c:pt idx="13">
                  <c:v>16.5</c:v>
                </c:pt>
                <c:pt idx="14">
                  <c:v>3.5</c:v>
                </c:pt>
                <c:pt idx="15">
                  <c:v>10.0</c:v>
                </c:pt>
                <c:pt idx="16">
                  <c:v>20.0</c:v>
                </c:pt>
                <c:pt idx="17">
                  <c:v>6.0</c:v>
                </c:pt>
                <c:pt idx="18">
                  <c:v>13.0</c:v>
                </c:pt>
                <c:pt idx="19">
                  <c:v>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249504"/>
        <c:axId val="-2053277056"/>
      </c:scatterChart>
      <c:valAx>
        <c:axId val="-205324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Oceanic boundlessness (5D-ASC)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-2053277056"/>
        <c:crosses val="autoZero"/>
        <c:crossBetween val="midCat"/>
      </c:valAx>
      <c:valAx>
        <c:axId val="-2053277056"/>
        <c:scaling>
          <c:orientation val="minMax"/>
          <c:min val="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Ego-dissolution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53249504"/>
        <c:crosses val="autoZero"/>
        <c:crossBetween val="midCat"/>
      </c:valAx>
    </c:plotArea>
    <c:plotVisOnly val="1"/>
    <c:dispBlanksAs val="gap"/>
    <c:showDLblsOverMax val="0"/>
  </c:chart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88888888888889"/>
          <c:y val="0.0816349388307368"/>
          <c:w val="0.906472222222222"/>
          <c:h val="0.80331723451036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-0.0491957567804024"/>
                  <c:y val="-0.042276538349373"/>
                </c:manualLayout>
              </c:layout>
              <c:numFmt formatCode="General" sourceLinked="0"/>
            </c:trendlineLbl>
          </c:trendline>
          <c:xVal>
            <c:numRef>
              <c:f>'MASTER_5_n=19'!$C$3:$C$21</c:f>
              <c:numCache>
                <c:formatCode>General</c:formatCode>
                <c:ptCount val="19"/>
                <c:pt idx="0">
                  <c:v>0.0</c:v>
                </c:pt>
                <c:pt idx="1">
                  <c:v>2.0</c:v>
                </c:pt>
                <c:pt idx="2">
                  <c:v>5.0</c:v>
                </c:pt>
                <c:pt idx="3">
                  <c:v>-4.0</c:v>
                </c:pt>
                <c:pt idx="4">
                  <c:v>-1.0</c:v>
                </c:pt>
                <c:pt idx="5">
                  <c:v>-1.0</c:v>
                </c:pt>
                <c:pt idx="6">
                  <c:v>3.0</c:v>
                </c:pt>
                <c:pt idx="7">
                  <c:v>0.0</c:v>
                </c:pt>
                <c:pt idx="8">
                  <c:v>2.0</c:v>
                </c:pt>
                <c:pt idx="9">
                  <c:v>2.0</c:v>
                </c:pt>
                <c:pt idx="10">
                  <c:v>0.0</c:v>
                </c:pt>
                <c:pt idx="11">
                  <c:v>2.0</c:v>
                </c:pt>
                <c:pt idx="12">
                  <c:v>1.0</c:v>
                </c:pt>
                <c:pt idx="13">
                  <c:v>4.0</c:v>
                </c:pt>
                <c:pt idx="14">
                  <c:v>0.0</c:v>
                </c:pt>
                <c:pt idx="15">
                  <c:v>4.0</c:v>
                </c:pt>
                <c:pt idx="16">
                  <c:v>7.0</c:v>
                </c:pt>
                <c:pt idx="17">
                  <c:v>3.0</c:v>
                </c:pt>
                <c:pt idx="18">
                  <c:v>3.0</c:v>
                </c:pt>
              </c:numCache>
            </c:numRef>
          </c:xVal>
          <c:yVal>
            <c:numRef>
              <c:f>'MASTER_5_n=19'!$K$3:$K$21</c:f>
              <c:numCache>
                <c:formatCode>General</c:formatCode>
                <c:ptCount val="19"/>
                <c:pt idx="1">
                  <c:v>5.0</c:v>
                </c:pt>
                <c:pt idx="2">
                  <c:v>2.0</c:v>
                </c:pt>
                <c:pt idx="3">
                  <c:v>2.5</c:v>
                </c:pt>
                <c:pt idx="4">
                  <c:v>1.5</c:v>
                </c:pt>
                <c:pt idx="5">
                  <c:v>2.0</c:v>
                </c:pt>
                <c:pt idx="6">
                  <c:v>2.0</c:v>
                </c:pt>
                <c:pt idx="7">
                  <c:v>3.0</c:v>
                </c:pt>
                <c:pt idx="8">
                  <c:v>2.5</c:v>
                </c:pt>
                <c:pt idx="9">
                  <c:v>5.0</c:v>
                </c:pt>
                <c:pt idx="10">
                  <c:v>2.0</c:v>
                </c:pt>
                <c:pt idx="12">
                  <c:v>3.0</c:v>
                </c:pt>
                <c:pt idx="13">
                  <c:v>2.5</c:v>
                </c:pt>
                <c:pt idx="14">
                  <c:v>3.0</c:v>
                </c:pt>
                <c:pt idx="15">
                  <c:v>6.0</c:v>
                </c:pt>
                <c:pt idx="16">
                  <c:v>2.0</c:v>
                </c:pt>
                <c:pt idx="17">
                  <c:v>4.0</c:v>
                </c:pt>
                <c:pt idx="18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53304544"/>
        <c:axId val="-2053345504"/>
      </c:scatterChart>
      <c:valAx>
        <c:axId val="-205330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53345504"/>
        <c:crosses val="autoZero"/>
        <c:crossBetween val="midCat"/>
      </c:valAx>
      <c:valAx>
        <c:axId val="-205334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53304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2"/>
  <sheetViews>
    <sheetView zoomScale="7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4"/>
  <sheetViews>
    <sheetView zoomScale="12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5"/>
  <sheetViews>
    <sheetView zoomScale="7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Chart8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60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31"/>
  <sheetViews>
    <sheetView zoomScale="7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Chart32"/>
  <sheetViews>
    <sheetView zoomScale="7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Chart33"/>
  <sheetViews>
    <sheetView zoomScale="7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Chart34"/>
  <sheetViews>
    <sheetView zoomScale="70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Chart35"/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Chart36"/>
  <sheetViews>
    <sheetView zoomScale="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29.xml"/><Relationship Id="rId12" Type="http://schemas.openxmlformats.org/officeDocument/2006/relationships/chart" Target="../charts/chart30.xml"/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7" Type="http://schemas.openxmlformats.org/officeDocument/2006/relationships/chart" Target="../charts/chart25.xml"/><Relationship Id="rId8" Type="http://schemas.openxmlformats.org/officeDocument/2006/relationships/chart" Target="../charts/chart26.xml"/><Relationship Id="rId9" Type="http://schemas.openxmlformats.org/officeDocument/2006/relationships/chart" Target="../charts/chart27.xml"/><Relationship Id="rId10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41.xml"/><Relationship Id="rId12" Type="http://schemas.openxmlformats.org/officeDocument/2006/relationships/chart" Target="../charts/chart42.xml"/><Relationship Id="rId13" Type="http://schemas.openxmlformats.org/officeDocument/2006/relationships/chart" Target="../charts/chart43.xml"/><Relationship Id="rId14" Type="http://schemas.openxmlformats.org/officeDocument/2006/relationships/chart" Target="../charts/chart44.xml"/><Relationship Id="rId15" Type="http://schemas.openxmlformats.org/officeDocument/2006/relationships/chart" Target="../charts/chart45.xml"/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Relationship Id="rId8" Type="http://schemas.openxmlformats.org/officeDocument/2006/relationships/chart" Target="../charts/chart38.xml"/><Relationship Id="rId9" Type="http://schemas.openxmlformats.org/officeDocument/2006/relationships/chart" Target="../charts/chart39.xml"/><Relationship Id="rId10" Type="http://schemas.openxmlformats.org/officeDocument/2006/relationships/chart" Target="../charts/chart40.xml"/></Relationships>
</file>

<file path=xl/drawings/_rels/drawing14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56.xml"/><Relationship Id="rId12" Type="http://schemas.openxmlformats.org/officeDocument/2006/relationships/chart" Target="../charts/chart57.xml"/><Relationship Id="rId13" Type="http://schemas.openxmlformats.org/officeDocument/2006/relationships/chart" Target="../charts/chart58.xml"/><Relationship Id="rId14" Type="http://schemas.openxmlformats.org/officeDocument/2006/relationships/chart" Target="../charts/chart59.xml"/><Relationship Id="rId15" Type="http://schemas.openxmlformats.org/officeDocument/2006/relationships/chart" Target="../charts/chart60.xml"/><Relationship Id="rId16" Type="http://schemas.openxmlformats.org/officeDocument/2006/relationships/chart" Target="../charts/chart61.xml"/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Relationship Id="rId4" Type="http://schemas.openxmlformats.org/officeDocument/2006/relationships/chart" Target="../charts/chart49.xml"/><Relationship Id="rId5" Type="http://schemas.openxmlformats.org/officeDocument/2006/relationships/chart" Target="../charts/chart50.xml"/><Relationship Id="rId6" Type="http://schemas.openxmlformats.org/officeDocument/2006/relationships/chart" Target="../charts/chart51.xml"/><Relationship Id="rId7" Type="http://schemas.openxmlformats.org/officeDocument/2006/relationships/chart" Target="../charts/chart52.xml"/><Relationship Id="rId8" Type="http://schemas.openxmlformats.org/officeDocument/2006/relationships/chart" Target="../charts/chart53.xml"/><Relationship Id="rId9" Type="http://schemas.openxmlformats.org/officeDocument/2006/relationships/chart" Target="../charts/chart54.xml"/><Relationship Id="rId10" Type="http://schemas.openxmlformats.org/officeDocument/2006/relationships/chart" Target="../charts/chart5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4" Type="http://schemas.openxmlformats.org/officeDocument/2006/relationships/chart" Target="../charts/chart65.xml"/><Relationship Id="rId5" Type="http://schemas.openxmlformats.org/officeDocument/2006/relationships/chart" Target="../charts/chart66.xml"/><Relationship Id="rId6" Type="http://schemas.openxmlformats.org/officeDocument/2006/relationships/chart" Target="../charts/chart67.xml"/><Relationship Id="rId1" Type="http://schemas.openxmlformats.org/officeDocument/2006/relationships/chart" Target="../charts/chart62.xml"/><Relationship Id="rId2" Type="http://schemas.openxmlformats.org/officeDocument/2006/relationships/chart" Target="../charts/chart6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35.xml.rels><?xml version="1.0" encoding="UTF-8" standalone="yes"?>
<Relationships xmlns="http://schemas.openxmlformats.org/package/2006/relationships"><Relationship Id="rId9" Type="http://schemas.openxmlformats.org/officeDocument/2006/relationships/chart" Target="../charts/chart86.xml"/><Relationship Id="rId20" Type="http://schemas.openxmlformats.org/officeDocument/2006/relationships/chart" Target="../charts/chart97.xml"/><Relationship Id="rId21" Type="http://schemas.openxmlformats.org/officeDocument/2006/relationships/chart" Target="../charts/chart98.xml"/><Relationship Id="rId22" Type="http://schemas.openxmlformats.org/officeDocument/2006/relationships/chart" Target="../charts/chart99.xml"/><Relationship Id="rId10" Type="http://schemas.openxmlformats.org/officeDocument/2006/relationships/chart" Target="../charts/chart87.xml"/><Relationship Id="rId11" Type="http://schemas.openxmlformats.org/officeDocument/2006/relationships/chart" Target="../charts/chart88.xml"/><Relationship Id="rId12" Type="http://schemas.openxmlformats.org/officeDocument/2006/relationships/chart" Target="../charts/chart89.xml"/><Relationship Id="rId13" Type="http://schemas.openxmlformats.org/officeDocument/2006/relationships/chart" Target="../charts/chart90.xml"/><Relationship Id="rId14" Type="http://schemas.openxmlformats.org/officeDocument/2006/relationships/chart" Target="../charts/chart91.xml"/><Relationship Id="rId15" Type="http://schemas.openxmlformats.org/officeDocument/2006/relationships/chart" Target="../charts/chart92.xml"/><Relationship Id="rId16" Type="http://schemas.openxmlformats.org/officeDocument/2006/relationships/chart" Target="../charts/chart93.xml"/><Relationship Id="rId17" Type="http://schemas.openxmlformats.org/officeDocument/2006/relationships/chart" Target="../charts/chart94.xml"/><Relationship Id="rId18" Type="http://schemas.openxmlformats.org/officeDocument/2006/relationships/chart" Target="../charts/chart95.xml"/><Relationship Id="rId19" Type="http://schemas.openxmlformats.org/officeDocument/2006/relationships/chart" Target="../charts/chart96.xml"/><Relationship Id="rId1" Type="http://schemas.openxmlformats.org/officeDocument/2006/relationships/chart" Target="../charts/chart78.xml"/><Relationship Id="rId2" Type="http://schemas.openxmlformats.org/officeDocument/2006/relationships/chart" Target="../charts/chart79.xml"/><Relationship Id="rId3" Type="http://schemas.openxmlformats.org/officeDocument/2006/relationships/chart" Target="../charts/chart80.xml"/><Relationship Id="rId4" Type="http://schemas.openxmlformats.org/officeDocument/2006/relationships/chart" Target="../charts/chart81.xml"/><Relationship Id="rId5" Type="http://schemas.openxmlformats.org/officeDocument/2006/relationships/chart" Target="../charts/chart82.xml"/><Relationship Id="rId6" Type="http://schemas.openxmlformats.org/officeDocument/2006/relationships/chart" Target="../charts/chart83.xml"/><Relationship Id="rId7" Type="http://schemas.openxmlformats.org/officeDocument/2006/relationships/chart" Target="../charts/chart84.xml"/><Relationship Id="rId8" Type="http://schemas.openxmlformats.org/officeDocument/2006/relationships/chart" Target="../charts/chart8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385536</xdr:colOff>
      <xdr:row>4</xdr:row>
      <xdr:rowOff>147865</xdr:rowOff>
    </xdr:from>
    <xdr:to>
      <xdr:col>66</xdr:col>
      <xdr:colOff>95251</xdr:colOff>
      <xdr:row>19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0.79785</cdr:x>
      <cdr:y>0.78742</cdr:y>
    </cdr:from>
    <cdr:to>
      <cdr:x>0.91602</cdr:x>
      <cdr:y>0.90719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11357" y="4771570"/>
          <a:ext cx="1097643" cy="725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GB" sz="1300"/>
            <a:t>Mean</a:t>
          </a:r>
          <a:r>
            <a:rPr lang="en-GB" sz="1300" baseline="0"/>
            <a:t> values + SEM</a:t>
          </a:r>
        </a:p>
        <a:p xmlns:a="http://schemas.openxmlformats.org/drawingml/2006/main">
          <a:pPr algn="l"/>
          <a:r>
            <a:rPr lang="en-GB" sz="1300" baseline="0"/>
            <a:t>n = 20</a:t>
          </a:r>
          <a:endParaRPr lang="en-GB" sz="1300"/>
        </a:p>
      </cdr:txBody>
    </cdr:sp>
  </cdr:relSizeAnchor>
  <cdr:relSizeAnchor xmlns:cdr="http://schemas.openxmlformats.org/drawingml/2006/chartDrawing">
    <cdr:from>
      <cdr:x>0.92676</cdr:x>
      <cdr:y>0.9506</cdr:y>
    </cdr:from>
    <cdr:to>
      <cdr:x>0.99902</cdr:x>
      <cdr:y>0.98802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608787" y="5760358"/>
          <a:ext cx="671285" cy="226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200"/>
            <a:t>Max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0.9264</cdr:x>
      <cdr:y>0.95904</cdr:y>
    </cdr:from>
    <cdr:to>
      <cdr:x>0.99866</cdr:x>
      <cdr:y>0.99646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609693" y="5820229"/>
          <a:ext cx="671561" cy="227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200"/>
            <a:t>Max</a:t>
          </a:r>
        </a:p>
      </cdr:txBody>
    </cdr:sp>
  </cdr:relSizeAnchor>
  <cdr:relSizeAnchor xmlns:cdr="http://schemas.openxmlformats.org/drawingml/2006/chartDrawing">
    <cdr:from>
      <cdr:x>0.80488</cdr:x>
      <cdr:y>0.7281</cdr:y>
    </cdr:from>
    <cdr:to>
      <cdr:x>0.92305</cdr:x>
      <cdr:y>0.84787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480300" y="4418693"/>
          <a:ext cx="1098234" cy="7268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300"/>
            <a:t>Mean</a:t>
          </a:r>
          <a:r>
            <a:rPr lang="en-GB" sz="1300" baseline="0"/>
            <a:t> values + SEM</a:t>
          </a:r>
        </a:p>
        <a:p xmlns:a="http://schemas.openxmlformats.org/drawingml/2006/main">
          <a:pPr algn="l"/>
          <a:r>
            <a:rPr lang="en-GB" sz="1300" baseline="0"/>
            <a:t>n = 19</a:t>
          </a:r>
          <a:endParaRPr lang="en-GB" sz="13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906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906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116</xdr:col>
      <xdr:colOff>58964</xdr:colOff>
      <xdr:row>28</xdr:row>
      <xdr:rowOff>149679</xdr:rowOff>
    </xdr:from>
    <xdr:to>
      <xdr:col>123</xdr:col>
      <xdr:colOff>312964</xdr:colOff>
      <xdr:row>44</xdr:row>
      <xdr:rowOff>26308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125</xdr:col>
      <xdr:colOff>167821</xdr:colOff>
      <xdr:row>29</xdr:row>
      <xdr:rowOff>147863</xdr:rowOff>
    </xdr:from>
    <xdr:to>
      <xdr:col>132</xdr:col>
      <xdr:colOff>421821</xdr:colOff>
      <xdr:row>45</xdr:row>
      <xdr:rowOff>10884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789780</xdr:colOff>
      <xdr:row>55</xdr:row>
      <xdr:rowOff>59531</xdr:rowOff>
    </xdr:from>
    <xdr:to>
      <xdr:col>39</xdr:col>
      <xdr:colOff>833437</xdr:colOff>
      <xdr:row>93</xdr:row>
      <xdr:rowOff>91678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502046</xdr:colOff>
      <xdr:row>54</xdr:row>
      <xdr:rowOff>176212</xdr:rowOff>
    </xdr:from>
    <xdr:to>
      <xdr:col>50</xdr:col>
      <xdr:colOff>277812</xdr:colOff>
      <xdr:row>93</xdr:row>
      <xdr:rowOff>39688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283765</xdr:colOff>
      <xdr:row>54</xdr:row>
      <xdr:rowOff>156368</xdr:rowOff>
    </xdr:from>
    <xdr:to>
      <xdr:col>60</xdr:col>
      <xdr:colOff>119062</xdr:colOff>
      <xdr:row>93</xdr:row>
      <xdr:rowOff>19844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601265</xdr:colOff>
      <xdr:row>54</xdr:row>
      <xdr:rowOff>156368</xdr:rowOff>
    </xdr:from>
    <xdr:to>
      <xdr:col>70</xdr:col>
      <xdr:colOff>39687</xdr:colOff>
      <xdr:row>93</xdr:row>
      <xdr:rowOff>19844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581420</xdr:colOff>
      <xdr:row>55</xdr:row>
      <xdr:rowOff>17462</xdr:rowOff>
    </xdr:from>
    <xdr:to>
      <xdr:col>79</xdr:col>
      <xdr:colOff>813592</xdr:colOff>
      <xdr:row>93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80</xdr:col>
      <xdr:colOff>254000</xdr:colOff>
      <xdr:row>55</xdr:row>
      <xdr:rowOff>49213</xdr:rowOff>
    </xdr:from>
    <xdr:to>
      <xdr:col>89</xdr:col>
      <xdr:colOff>174625</xdr:colOff>
      <xdr:row>92</xdr:row>
      <xdr:rowOff>127000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63</xdr:col>
      <xdr:colOff>206375</xdr:colOff>
      <xdr:row>30</xdr:row>
      <xdr:rowOff>65088</xdr:rowOff>
    </xdr:from>
    <xdr:to>
      <xdr:col>68</xdr:col>
      <xdr:colOff>412750</xdr:colOff>
      <xdr:row>46</xdr:row>
      <xdr:rowOff>14288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73</xdr:col>
      <xdr:colOff>206375</xdr:colOff>
      <xdr:row>30</xdr:row>
      <xdr:rowOff>65088</xdr:rowOff>
    </xdr:from>
    <xdr:to>
      <xdr:col>78</xdr:col>
      <xdr:colOff>412750</xdr:colOff>
      <xdr:row>46</xdr:row>
      <xdr:rowOff>14288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527050</xdr:colOff>
      <xdr:row>30</xdr:row>
      <xdr:rowOff>165100</xdr:rowOff>
    </xdr:from>
    <xdr:to>
      <xdr:col>21</xdr:col>
      <xdr:colOff>222250</xdr:colOff>
      <xdr:row>45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292100</xdr:colOff>
      <xdr:row>31</xdr:row>
      <xdr:rowOff>12700</xdr:rowOff>
    </xdr:from>
    <xdr:to>
      <xdr:col>11</xdr:col>
      <xdr:colOff>800100</xdr:colOff>
      <xdr:row>45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438150</xdr:colOff>
      <xdr:row>27</xdr:row>
      <xdr:rowOff>0</xdr:rowOff>
    </xdr:from>
    <xdr:to>
      <xdr:col>34</xdr:col>
      <xdr:colOff>76200</xdr:colOff>
      <xdr:row>46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273050</xdr:colOff>
      <xdr:row>28</xdr:row>
      <xdr:rowOff>76200</xdr:rowOff>
    </xdr:from>
    <xdr:to>
      <xdr:col>16</xdr:col>
      <xdr:colOff>349250</xdr:colOff>
      <xdr:row>42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27</xdr:row>
      <xdr:rowOff>152400</xdr:rowOff>
    </xdr:from>
    <xdr:to>
      <xdr:col>24</xdr:col>
      <xdr:colOff>152400</xdr:colOff>
      <xdr:row>42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61383</xdr:colOff>
      <xdr:row>25</xdr:row>
      <xdr:rowOff>48682</xdr:rowOff>
    </xdr:from>
    <xdr:to>
      <xdr:col>44</xdr:col>
      <xdr:colOff>366183</xdr:colOff>
      <xdr:row>40</xdr:row>
      <xdr:rowOff>44449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493183</xdr:colOff>
      <xdr:row>27</xdr:row>
      <xdr:rowOff>40217</xdr:rowOff>
    </xdr:from>
    <xdr:to>
      <xdr:col>8</xdr:col>
      <xdr:colOff>61383</xdr:colOff>
      <xdr:row>42</xdr:row>
      <xdr:rowOff>35983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133349</xdr:colOff>
      <xdr:row>28</xdr:row>
      <xdr:rowOff>95249</xdr:rowOff>
    </xdr:from>
    <xdr:to>
      <xdr:col>48</xdr:col>
      <xdr:colOff>438149</xdr:colOff>
      <xdr:row>42</xdr:row>
      <xdr:rowOff>196849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73</xdr:col>
      <xdr:colOff>321734</xdr:colOff>
      <xdr:row>23</xdr:row>
      <xdr:rowOff>186266</xdr:rowOff>
    </xdr:from>
    <xdr:to>
      <xdr:col>80</xdr:col>
      <xdr:colOff>228600</xdr:colOff>
      <xdr:row>38</xdr:row>
      <xdr:rowOff>67733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81</xdr:col>
      <xdr:colOff>133349</xdr:colOff>
      <xdr:row>23</xdr:row>
      <xdr:rowOff>133349</xdr:rowOff>
    </xdr:from>
    <xdr:to>
      <xdr:col>87</xdr:col>
      <xdr:colOff>438149</xdr:colOff>
      <xdr:row>38</xdr:row>
      <xdr:rowOff>107949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87</xdr:col>
      <xdr:colOff>641349</xdr:colOff>
      <xdr:row>24</xdr:row>
      <xdr:rowOff>133349</xdr:rowOff>
    </xdr:from>
    <xdr:to>
      <xdr:col>94</xdr:col>
      <xdr:colOff>234949</xdr:colOff>
      <xdr:row>39</xdr:row>
      <xdr:rowOff>6349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159</xdr:col>
      <xdr:colOff>704849</xdr:colOff>
      <xdr:row>27</xdr:row>
      <xdr:rowOff>184149</xdr:rowOff>
    </xdr:from>
    <xdr:to>
      <xdr:col>166</xdr:col>
      <xdr:colOff>298449</xdr:colOff>
      <xdr:row>43</xdr:row>
      <xdr:rowOff>19049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175</xdr:col>
      <xdr:colOff>349249</xdr:colOff>
      <xdr:row>24</xdr:row>
      <xdr:rowOff>69849</xdr:rowOff>
    </xdr:from>
    <xdr:to>
      <xdr:col>181</xdr:col>
      <xdr:colOff>654049</xdr:colOff>
      <xdr:row>39</xdr:row>
      <xdr:rowOff>57149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182</xdr:col>
      <xdr:colOff>57149</xdr:colOff>
      <xdr:row>24</xdr:row>
      <xdr:rowOff>146049</xdr:rowOff>
    </xdr:from>
    <xdr:to>
      <xdr:col>188</xdr:col>
      <xdr:colOff>361949</xdr:colOff>
      <xdr:row>39</xdr:row>
      <xdr:rowOff>146049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203200</xdr:colOff>
      <xdr:row>26</xdr:row>
      <xdr:rowOff>196849</xdr:rowOff>
    </xdr:from>
    <xdr:to>
      <xdr:col>165</xdr:col>
      <xdr:colOff>508000</xdr:colOff>
      <xdr:row>41</xdr:row>
      <xdr:rowOff>82549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151</xdr:col>
      <xdr:colOff>406400</xdr:colOff>
      <xdr:row>26</xdr:row>
      <xdr:rowOff>19049</xdr:rowOff>
    </xdr:from>
    <xdr:to>
      <xdr:col>159</xdr:col>
      <xdr:colOff>101600</xdr:colOff>
      <xdr:row>40</xdr:row>
      <xdr:rowOff>95249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156</xdr:col>
      <xdr:colOff>63500</xdr:colOff>
      <xdr:row>44</xdr:row>
      <xdr:rowOff>107949</xdr:rowOff>
    </xdr:from>
    <xdr:to>
      <xdr:col>163</xdr:col>
      <xdr:colOff>368300</xdr:colOff>
      <xdr:row>58</xdr:row>
      <xdr:rowOff>146049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207</xdr:col>
      <xdr:colOff>605135</xdr:colOff>
      <xdr:row>30</xdr:row>
      <xdr:rowOff>43356</xdr:rowOff>
    </xdr:from>
    <xdr:to>
      <xdr:col>215</xdr:col>
      <xdr:colOff>297193</xdr:colOff>
      <xdr:row>45</xdr:row>
      <xdr:rowOff>2164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147</xdr:col>
      <xdr:colOff>603250</xdr:colOff>
      <xdr:row>41</xdr:row>
      <xdr:rowOff>116416</xdr:rowOff>
    </xdr:from>
    <xdr:to>
      <xdr:col>155</xdr:col>
      <xdr:colOff>298450</xdr:colOff>
      <xdr:row>55</xdr:row>
      <xdr:rowOff>139700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143</xdr:col>
      <xdr:colOff>495299</xdr:colOff>
      <xdr:row>26</xdr:row>
      <xdr:rowOff>44449</xdr:rowOff>
    </xdr:from>
    <xdr:to>
      <xdr:col>151</xdr:col>
      <xdr:colOff>190499</xdr:colOff>
      <xdr:row>40</xdr:row>
      <xdr:rowOff>114299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167</xdr:col>
      <xdr:colOff>19049</xdr:colOff>
      <xdr:row>30</xdr:row>
      <xdr:rowOff>158749</xdr:rowOff>
    </xdr:from>
    <xdr:to>
      <xdr:col>174</xdr:col>
      <xdr:colOff>323849</xdr:colOff>
      <xdr:row>45</xdr:row>
      <xdr:rowOff>57149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158</xdr:col>
      <xdr:colOff>209549</xdr:colOff>
      <xdr:row>12</xdr:row>
      <xdr:rowOff>139699</xdr:rowOff>
    </xdr:from>
    <xdr:to>
      <xdr:col>165</xdr:col>
      <xdr:colOff>514349</xdr:colOff>
      <xdr:row>26</xdr:row>
      <xdr:rowOff>152399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166</xdr:col>
      <xdr:colOff>552449</xdr:colOff>
      <xdr:row>14</xdr:row>
      <xdr:rowOff>196849</xdr:rowOff>
    </xdr:from>
    <xdr:to>
      <xdr:col>174</xdr:col>
      <xdr:colOff>247649</xdr:colOff>
      <xdr:row>29</xdr:row>
      <xdr:rowOff>44449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179</xdr:col>
      <xdr:colOff>133349</xdr:colOff>
      <xdr:row>48</xdr:row>
      <xdr:rowOff>101599</xdr:rowOff>
    </xdr:from>
    <xdr:to>
      <xdr:col>186</xdr:col>
      <xdr:colOff>438149</xdr:colOff>
      <xdr:row>63</xdr:row>
      <xdr:rowOff>57149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170</xdr:col>
      <xdr:colOff>400049</xdr:colOff>
      <xdr:row>48</xdr:row>
      <xdr:rowOff>12699</xdr:rowOff>
    </xdr:from>
    <xdr:to>
      <xdr:col>178</xdr:col>
      <xdr:colOff>95249</xdr:colOff>
      <xdr:row>62</xdr:row>
      <xdr:rowOff>107949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173</xdr:col>
      <xdr:colOff>394607</xdr:colOff>
      <xdr:row>25</xdr:row>
      <xdr:rowOff>91168</xdr:rowOff>
    </xdr:from>
    <xdr:to>
      <xdr:col>181</xdr:col>
      <xdr:colOff>68035</xdr:colOff>
      <xdr:row>39</xdr:row>
      <xdr:rowOff>126547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265</xdr:col>
      <xdr:colOff>29308</xdr:colOff>
      <xdr:row>22</xdr:row>
      <xdr:rowOff>64476</xdr:rowOff>
    </xdr:from>
    <xdr:to>
      <xdr:col>272</xdr:col>
      <xdr:colOff>361461</xdr:colOff>
      <xdr:row>36</xdr:row>
      <xdr:rowOff>72291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80</xdr:col>
      <xdr:colOff>136769</xdr:colOff>
      <xdr:row>25</xdr:row>
      <xdr:rowOff>152399</xdr:rowOff>
    </xdr:from>
    <xdr:to>
      <xdr:col>87</xdr:col>
      <xdr:colOff>478692</xdr:colOff>
      <xdr:row>40</xdr:row>
      <xdr:rowOff>91831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90</xdr:col>
      <xdr:colOff>547077</xdr:colOff>
      <xdr:row>26</xdr:row>
      <xdr:rowOff>20515</xdr:rowOff>
    </xdr:from>
    <xdr:to>
      <xdr:col>98</xdr:col>
      <xdr:colOff>273537</xdr:colOff>
      <xdr:row>40</xdr:row>
      <xdr:rowOff>165100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203200</xdr:colOff>
      <xdr:row>26</xdr:row>
      <xdr:rowOff>196849</xdr:rowOff>
    </xdr:from>
    <xdr:to>
      <xdr:col>165</xdr:col>
      <xdr:colOff>508000</xdr:colOff>
      <xdr:row>41</xdr:row>
      <xdr:rowOff>82549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151</xdr:col>
      <xdr:colOff>406400</xdr:colOff>
      <xdr:row>26</xdr:row>
      <xdr:rowOff>19049</xdr:rowOff>
    </xdr:from>
    <xdr:to>
      <xdr:col>159</xdr:col>
      <xdr:colOff>101600</xdr:colOff>
      <xdr:row>40</xdr:row>
      <xdr:rowOff>95249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156</xdr:col>
      <xdr:colOff>63500</xdr:colOff>
      <xdr:row>44</xdr:row>
      <xdr:rowOff>107949</xdr:rowOff>
    </xdr:from>
    <xdr:to>
      <xdr:col>163</xdr:col>
      <xdr:colOff>368300</xdr:colOff>
      <xdr:row>58</xdr:row>
      <xdr:rowOff>146049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207</xdr:col>
      <xdr:colOff>605135</xdr:colOff>
      <xdr:row>30</xdr:row>
      <xdr:rowOff>43356</xdr:rowOff>
    </xdr:from>
    <xdr:to>
      <xdr:col>215</xdr:col>
      <xdr:colOff>297193</xdr:colOff>
      <xdr:row>45</xdr:row>
      <xdr:rowOff>2164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147</xdr:col>
      <xdr:colOff>603250</xdr:colOff>
      <xdr:row>41</xdr:row>
      <xdr:rowOff>116416</xdr:rowOff>
    </xdr:from>
    <xdr:to>
      <xdr:col>155</xdr:col>
      <xdr:colOff>298450</xdr:colOff>
      <xdr:row>55</xdr:row>
      <xdr:rowOff>139700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143</xdr:col>
      <xdr:colOff>495299</xdr:colOff>
      <xdr:row>26</xdr:row>
      <xdr:rowOff>44449</xdr:rowOff>
    </xdr:from>
    <xdr:to>
      <xdr:col>151</xdr:col>
      <xdr:colOff>190499</xdr:colOff>
      <xdr:row>40</xdr:row>
      <xdr:rowOff>114299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167</xdr:col>
      <xdr:colOff>19049</xdr:colOff>
      <xdr:row>30</xdr:row>
      <xdr:rowOff>158749</xdr:rowOff>
    </xdr:from>
    <xdr:to>
      <xdr:col>174</xdr:col>
      <xdr:colOff>323849</xdr:colOff>
      <xdr:row>45</xdr:row>
      <xdr:rowOff>57149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158</xdr:col>
      <xdr:colOff>209549</xdr:colOff>
      <xdr:row>12</xdr:row>
      <xdr:rowOff>139699</xdr:rowOff>
    </xdr:from>
    <xdr:to>
      <xdr:col>165</xdr:col>
      <xdr:colOff>514349</xdr:colOff>
      <xdr:row>26</xdr:row>
      <xdr:rowOff>152399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166</xdr:col>
      <xdr:colOff>552449</xdr:colOff>
      <xdr:row>14</xdr:row>
      <xdr:rowOff>196849</xdr:rowOff>
    </xdr:from>
    <xdr:to>
      <xdr:col>174</xdr:col>
      <xdr:colOff>247649</xdr:colOff>
      <xdr:row>29</xdr:row>
      <xdr:rowOff>44449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179</xdr:col>
      <xdr:colOff>133349</xdr:colOff>
      <xdr:row>48</xdr:row>
      <xdr:rowOff>101599</xdr:rowOff>
    </xdr:from>
    <xdr:to>
      <xdr:col>186</xdr:col>
      <xdr:colOff>438149</xdr:colOff>
      <xdr:row>63</xdr:row>
      <xdr:rowOff>57149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170</xdr:col>
      <xdr:colOff>400049</xdr:colOff>
      <xdr:row>48</xdr:row>
      <xdr:rowOff>12699</xdr:rowOff>
    </xdr:from>
    <xdr:to>
      <xdr:col>178</xdr:col>
      <xdr:colOff>95249</xdr:colOff>
      <xdr:row>62</xdr:row>
      <xdr:rowOff>107949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173</xdr:col>
      <xdr:colOff>394607</xdr:colOff>
      <xdr:row>25</xdr:row>
      <xdr:rowOff>91168</xdr:rowOff>
    </xdr:from>
    <xdr:to>
      <xdr:col>181</xdr:col>
      <xdr:colOff>68035</xdr:colOff>
      <xdr:row>39</xdr:row>
      <xdr:rowOff>126547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265</xdr:col>
      <xdr:colOff>29308</xdr:colOff>
      <xdr:row>22</xdr:row>
      <xdr:rowOff>64476</xdr:rowOff>
    </xdr:from>
    <xdr:to>
      <xdr:col>272</xdr:col>
      <xdr:colOff>361461</xdr:colOff>
      <xdr:row>36</xdr:row>
      <xdr:rowOff>72291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80</xdr:col>
      <xdr:colOff>136769</xdr:colOff>
      <xdr:row>25</xdr:row>
      <xdr:rowOff>152399</xdr:rowOff>
    </xdr:from>
    <xdr:to>
      <xdr:col>87</xdr:col>
      <xdr:colOff>478692</xdr:colOff>
      <xdr:row>40</xdr:row>
      <xdr:rowOff>91831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90</xdr:col>
      <xdr:colOff>547077</xdr:colOff>
      <xdr:row>26</xdr:row>
      <xdr:rowOff>20515</xdr:rowOff>
    </xdr:from>
    <xdr:to>
      <xdr:col>98</xdr:col>
      <xdr:colOff>273537</xdr:colOff>
      <xdr:row>40</xdr:row>
      <xdr:rowOff>165100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313</xdr:col>
      <xdr:colOff>459154</xdr:colOff>
      <xdr:row>10</xdr:row>
      <xdr:rowOff>181707</xdr:rowOff>
    </xdr:from>
    <xdr:to>
      <xdr:col>321</xdr:col>
      <xdr:colOff>185615</xdr:colOff>
      <xdr:row>24</xdr:row>
      <xdr:rowOff>179754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302</xdr:col>
      <xdr:colOff>355600</xdr:colOff>
      <xdr:row>23</xdr:row>
      <xdr:rowOff>76200</xdr:rowOff>
    </xdr:from>
    <xdr:to>
      <xdr:col>310</xdr:col>
      <xdr:colOff>50800</xdr:colOff>
      <xdr:row>37</xdr:row>
      <xdr:rowOff>152400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289</xdr:col>
      <xdr:colOff>222249</xdr:colOff>
      <xdr:row>22</xdr:row>
      <xdr:rowOff>107949</xdr:rowOff>
    </xdr:from>
    <xdr:to>
      <xdr:col>297</xdr:col>
      <xdr:colOff>120649</xdr:colOff>
      <xdr:row>37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310</xdr:col>
      <xdr:colOff>463549</xdr:colOff>
      <xdr:row>23</xdr:row>
      <xdr:rowOff>184149</xdr:rowOff>
    </xdr:from>
    <xdr:to>
      <xdr:col>318</xdr:col>
      <xdr:colOff>361949</xdr:colOff>
      <xdr:row>39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295</xdr:col>
      <xdr:colOff>400049</xdr:colOff>
      <xdr:row>22</xdr:row>
      <xdr:rowOff>158749</xdr:rowOff>
    </xdr:from>
    <xdr:to>
      <xdr:col>303</xdr:col>
      <xdr:colOff>298449</xdr:colOff>
      <xdr:row>38</xdr:row>
      <xdr:rowOff>19049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286</xdr:col>
      <xdr:colOff>184149</xdr:colOff>
      <xdr:row>27</xdr:row>
      <xdr:rowOff>6349</xdr:rowOff>
    </xdr:from>
    <xdr:to>
      <xdr:col>294</xdr:col>
      <xdr:colOff>82549</xdr:colOff>
      <xdr:row>42</xdr:row>
      <xdr:rowOff>82549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285</xdr:col>
      <xdr:colOff>184149</xdr:colOff>
      <xdr:row>21</xdr:row>
      <xdr:rowOff>69849</xdr:rowOff>
    </xdr:from>
    <xdr:to>
      <xdr:col>293</xdr:col>
      <xdr:colOff>82549</xdr:colOff>
      <xdr:row>35</xdr:row>
      <xdr:rowOff>133349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0.75898</cdr:x>
      <cdr:y>0.52226</cdr:y>
    </cdr:from>
    <cdr:to>
      <cdr:x>0.94641</cdr:x>
      <cdr:y>0.70058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060645" y="3175417"/>
          <a:ext cx="1743615" cy="1084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-0.59</a:t>
          </a:r>
        </a:p>
        <a:p xmlns:a="http://schemas.openxmlformats.org/drawingml/2006/main">
          <a:pPr algn="ctr"/>
          <a:r>
            <a:rPr lang="en-GB" sz="3000"/>
            <a:t>p = 0.029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0.41667</cdr:x>
      <cdr:y>0.77285</cdr:y>
    </cdr:from>
    <cdr:to>
      <cdr:x>0.6223</cdr:x>
      <cdr:y>0.95117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76148" y="4699016"/>
          <a:ext cx="1912925" cy="1084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-0.81</a:t>
          </a:r>
        </a:p>
        <a:p xmlns:a="http://schemas.openxmlformats.org/drawingml/2006/main">
          <a:pPr algn="ctr"/>
          <a:r>
            <a:rPr lang="en-GB" sz="3000"/>
            <a:t>p = 0.0015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0.32469</cdr:x>
      <cdr:y>0.46243</cdr:y>
    </cdr:from>
    <cdr:to>
      <cdr:x>0.59022</cdr:x>
      <cdr:y>0.64075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17034" y="2804291"/>
          <a:ext cx="2467349" cy="1081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0.89</a:t>
          </a:r>
        </a:p>
        <a:p xmlns:a="http://schemas.openxmlformats.org/drawingml/2006/main">
          <a:pPr algn="ctr"/>
          <a:r>
            <a:rPr lang="en-GB" sz="3000"/>
            <a:t>p = 4 x 10^-6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0.71302</cdr:x>
      <cdr:y>0.75738</cdr:y>
    </cdr:from>
    <cdr:to>
      <cdr:x>0.97855</cdr:x>
      <cdr:y>0.9357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625540" y="4592969"/>
          <a:ext cx="2467349" cy="1081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0.79</a:t>
          </a:r>
        </a:p>
        <a:p xmlns:a="http://schemas.openxmlformats.org/drawingml/2006/main">
          <a:pPr algn="ctr"/>
          <a:r>
            <a:rPr lang="en-GB" sz="3000"/>
            <a:t>p = 0.001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0.50456</cdr:x>
      <cdr:y>0.7888</cdr:y>
    </cdr:from>
    <cdr:to>
      <cdr:x>0.70521</cdr:x>
      <cdr:y>0.96712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88431" y="4783494"/>
          <a:ext cx="1864473" cy="1081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-0.53</a:t>
          </a:r>
        </a:p>
        <a:p xmlns:a="http://schemas.openxmlformats.org/drawingml/2006/main">
          <a:pPr algn="ctr"/>
          <a:r>
            <a:rPr lang="en-GB" sz="3000"/>
            <a:t>p = 0.02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0.45103</cdr:x>
      <cdr:y>0.76088</cdr:y>
    </cdr:from>
    <cdr:to>
      <cdr:x>0.65168</cdr:x>
      <cdr:y>0.9392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191015" y="4614161"/>
          <a:ext cx="1864473" cy="1081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3000"/>
            <a:t>r = -0.67</a:t>
          </a:r>
        </a:p>
        <a:p xmlns:a="http://schemas.openxmlformats.org/drawingml/2006/main">
          <a:pPr algn="ctr"/>
          <a:r>
            <a:rPr lang="en-GB" sz="3000"/>
            <a:t>p = 0.017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0.01594</cdr:x>
      <cdr:y>0.12901</cdr:y>
    </cdr:from>
    <cdr:to>
      <cdr:x>0.11157</cdr:x>
      <cdr:y>0.19351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8167" y="783167"/>
          <a:ext cx="889000" cy="391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800"/>
            <a:t>Max</a:t>
          </a:r>
        </a:p>
      </cdr:txBody>
    </cdr:sp>
  </cdr:relSizeAnchor>
  <cdr:relSizeAnchor xmlns:cdr="http://schemas.openxmlformats.org/drawingml/2006/chartDrawing">
    <cdr:from>
      <cdr:x>0.71835</cdr:x>
      <cdr:y>0.23013</cdr:y>
    </cdr:from>
    <cdr:to>
      <cdr:x>0.92099</cdr:x>
      <cdr:y>0.43759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678083" y="1397000"/>
          <a:ext cx="1883833" cy="12594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3000"/>
            <a:t>r = 0.49</a:t>
          </a:r>
        </a:p>
        <a:p xmlns:a="http://schemas.openxmlformats.org/drawingml/2006/main">
          <a:r>
            <a:rPr lang="en-GB" sz="3000"/>
            <a:t>p = 0.03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0.71835</cdr:x>
      <cdr:y>0.23013</cdr:y>
    </cdr:from>
    <cdr:to>
      <cdr:x>0.92099</cdr:x>
      <cdr:y>0.43759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678083" y="1397000"/>
          <a:ext cx="1883833" cy="12594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3000"/>
            <a:t>r = 0.49</a:t>
          </a:r>
        </a:p>
        <a:p xmlns:a="http://schemas.openxmlformats.org/drawingml/2006/main">
          <a:r>
            <a:rPr lang="en-GB" sz="3000"/>
            <a:t>p = 0.03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0.01594</cdr:x>
      <cdr:y>0.12901</cdr:y>
    </cdr:from>
    <cdr:to>
      <cdr:x>0.11157</cdr:x>
      <cdr:y>0.19351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8167" y="783167"/>
          <a:ext cx="889000" cy="391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800"/>
            <a:t>Max</a:t>
          </a:r>
        </a:p>
      </cdr:txBody>
    </cdr:sp>
  </cdr:relSizeAnchor>
  <cdr:relSizeAnchor xmlns:cdr="http://schemas.openxmlformats.org/drawingml/2006/chartDrawing">
    <cdr:from>
      <cdr:x>0.7138</cdr:x>
      <cdr:y>0.52127</cdr:y>
    </cdr:from>
    <cdr:to>
      <cdr:x>0.91644</cdr:x>
      <cdr:y>0.72873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635735" y="3164443"/>
          <a:ext cx="1883822" cy="1259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3000"/>
            <a:t>r = 0.79</a:t>
          </a:r>
        </a:p>
        <a:p xmlns:a="http://schemas.openxmlformats.org/drawingml/2006/main">
          <a:r>
            <a:rPr lang="en-GB" sz="3000"/>
            <a:t>p = 0.0005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71967</xdr:colOff>
      <xdr:row>23</xdr:row>
      <xdr:rowOff>67734</xdr:rowOff>
    </xdr:from>
    <xdr:to>
      <xdr:col>20</xdr:col>
      <xdr:colOff>376767</xdr:colOff>
      <xdr:row>38</xdr:row>
      <xdr:rowOff>16934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38100</xdr:colOff>
      <xdr:row>23</xdr:row>
      <xdr:rowOff>152400</xdr:rowOff>
    </xdr:from>
    <xdr:to>
      <xdr:col>29</xdr:col>
      <xdr:colOff>317500</xdr:colOff>
      <xdr:row>37</xdr:row>
      <xdr:rowOff>177800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501649</xdr:colOff>
      <xdr:row>38</xdr:row>
      <xdr:rowOff>133349</xdr:rowOff>
    </xdr:from>
    <xdr:to>
      <xdr:col>20</xdr:col>
      <xdr:colOff>400049</xdr:colOff>
      <xdr:row>53</xdr:row>
      <xdr:rowOff>19049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436032</xdr:colOff>
      <xdr:row>21</xdr:row>
      <xdr:rowOff>59267</xdr:rowOff>
    </xdr:from>
    <xdr:to>
      <xdr:col>61</xdr:col>
      <xdr:colOff>533399</xdr:colOff>
      <xdr:row>36</xdr:row>
      <xdr:rowOff>127001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72</xdr:col>
      <xdr:colOff>385234</xdr:colOff>
      <xdr:row>20</xdr:row>
      <xdr:rowOff>177800</xdr:rowOff>
    </xdr:from>
    <xdr:to>
      <xdr:col>80</xdr:col>
      <xdr:colOff>80434</xdr:colOff>
      <xdr:row>35</xdr:row>
      <xdr:rowOff>118533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21167</xdr:colOff>
      <xdr:row>22</xdr:row>
      <xdr:rowOff>16933</xdr:rowOff>
    </xdr:from>
    <xdr:to>
      <xdr:col>53</xdr:col>
      <xdr:colOff>325967</xdr:colOff>
      <xdr:row>36</xdr:row>
      <xdr:rowOff>143933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234949</xdr:colOff>
      <xdr:row>24</xdr:row>
      <xdr:rowOff>19049</xdr:rowOff>
    </xdr:from>
    <xdr:to>
      <xdr:col>38</xdr:col>
      <xdr:colOff>133349</xdr:colOff>
      <xdr:row>38</xdr:row>
      <xdr:rowOff>82549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501649</xdr:colOff>
      <xdr:row>31</xdr:row>
      <xdr:rowOff>57149</xdr:rowOff>
    </xdr:from>
    <xdr:to>
      <xdr:col>49</xdr:col>
      <xdr:colOff>400049</xdr:colOff>
      <xdr:row>45</xdr:row>
      <xdr:rowOff>107949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75</xdr:col>
      <xdr:colOff>450849</xdr:colOff>
      <xdr:row>36</xdr:row>
      <xdr:rowOff>44449</xdr:rowOff>
    </xdr:from>
    <xdr:to>
      <xdr:col>83</xdr:col>
      <xdr:colOff>184149</xdr:colOff>
      <xdr:row>50</xdr:row>
      <xdr:rowOff>120649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120649</xdr:colOff>
      <xdr:row>22</xdr:row>
      <xdr:rowOff>95249</xdr:rowOff>
    </xdr:from>
    <xdr:to>
      <xdr:col>70</xdr:col>
      <xdr:colOff>19049</xdr:colOff>
      <xdr:row>36</xdr:row>
      <xdr:rowOff>158749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361949</xdr:colOff>
      <xdr:row>26</xdr:row>
      <xdr:rowOff>82549</xdr:rowOff>
    </xdr:from>
    <xdr:to>
      <xdr:col>57</xdr:col>
      <xdr:colOff>260349</xdr:colOff>
      <xdr:row>40</xdr:row>
      <xdr:rowOff>146049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374649</xdr:colOff>
      <xdr:row>23</xdr:row>
      <xdr:rowOff>19049</xdr:rowOff>
    </xdr:from>
    <xdr:to>
      <xdr:col>61</xdr:col>
      <xdr:colOff>273049</xdr:colOff>
      <xdr:row>37</xdr:row>
      <xdr:rowOff>82549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493182</xdr:colOff>
      <xdr:row>23</xdr:row>
      <xdr:rowOff>146049</xdr:rowOff>
    </xdr:from>
    <xdr:to>
      <xdr:col>54</xdr:col>
      <xdr:colOff>366182</xdr:colOff>
      <xdr:row>38</xdr:row>
      <xdr:rowOff>40216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184149</xdr:colOff>
      <xdr:row>21</xdr:row>
      <xdr:rowOff>82549</xdr:rowOff>
    </xdr:from>
    <xdr:to>
      <xdr:col>69</xdr:col>
      <xdr:colOff>82549</xdr:colOff>
      <xdr:row>35</xdr:row>
      <xdr:rowOff>146049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31749</xdr:colOff>
      <xdr:row>23</xdr:row>
      <xdr:rowOff>184149</xdr:rowOff>
    </xdr:from>
    <xdr:to>
      <xdr:col>38</xdr:col>
      <xdr:colOff>514349</xdr:colOff>
      <xdr:row>38</xdr:row>
      <xdr:rowOff>44449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286809</xdr:colOff>
      <xdr:row>20</xdr:row>
      <xdr:rowOff>67734</xdr:rowOff>
    </xdr:from>
    <xdr:to>
      <xdr:col>22</xdr:col>
      <xdr:colOff>575734</xdr:colOff>
      <xdr:row>34</xdr:row>
      <xdr:rowOff>97367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40</xdr:col>
      <xdr:colOff>82549</xdr:colOff>
      <xdr:row>22</xdr:row>
      <xdr:rowOff>31749</xdr:rowOff>
    </xdr:from>
    <xdr:to>
      <xdr:col>47</xdr:col>
      <xdr:colOff>565149</xdr:colOff>
      <xdr:row>36</xdr:row>
      <xdr:rowOff>95249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412749</xdr:colOff>
      <xdr:row>21</xdr:row>
      <xdr:rowOff>146049</xdr:rowOff>
    </xdr:from>
    <xdr:to>
      <xdr:col>39</xdr:col>
      <xdr:colOff>311149</xdr:colOff>
      <xdr:row>36</xdr:row>
      <xdr:rowOff>19049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103</xdr:col>
      <xdr:colOff>501649</xdr:colOff>
      <xdr:row>21</xdr:row>
      <xdr:rowOff>146049</xdr:rowOff>
    </xdr:from>
    <xdr:to>
      <xdr:col>111</xdr:col>
      <xdr:colOff>400049</xdr:colOff>
      <xdr:row>36</xdr:row>
      <xdr:rowOff>19049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480482</xdr:colOff>
      <xdr:row>21</xdr:row>
      <xdr:rowOff>78317</xdr:rowOff>
    </xdr:from>
    <xdr:to>
      <xdr:col>12</xdr:col>
      <xdr:colOff>378882</xdr:colOff>
      <xdr:row>35</xdr:row>
      <xdr:rowOff>167217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50</xdr:col>
      <xdr:colOff>222249</xdr:colOff>
      <xdr:row>21</xdr:row>
      <xdr:rowOff>107949</xdr:rowOff>
    </xdr:from>
    <xdr:to>
      <xdr:col>58</xdr:col>
      <xdr:colOff>120649</xdr:colOff>
      <xdr:row>36</xdr:row>
      <xdr:rowOff>57149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128</xdr:col>
      <xdr:colOff>158749</xdr:colOff>
      <xdr:row>20</xdr:row>
      <xdr:rowOff>31749</xdr:rowOff>
    </xdr:from>
    <xdr:to>
      <xdr:col>136</xdr:col>
      <xdr:colOff>57149</xdr:colOff>
      <xdr:row>34</xdr:row>
      <xdr:rowOff>95249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0.01776</cdr:x>
      <cdr:y>0.09205</cdr:y>
    </cdr:from>
    <cdr:to>
      <cdr:x>0.11202</cdr:x>
      <cdr:y>0.16527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100" y="558800"/>
          <a:ext cx="8763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GB" sz="2000"/>
            <a:t>Max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</xdr:colOff>
      <xdr:row>4</xdr:row>
      <xdr:rowOff>52387</xdr:rowOff>
    </xdr:from>
    <xdr:to>
      <xdr:col>34</xdr:col>
      <xdr:colOff>323850</xdr:colOff>
      <xdr:row>18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BO746"/>
  <sheetViews>
    <sheetView zoomScale="70" zoomScaleNormal="70" zoomScalePageLayoutView="70" workbookViewId="0">
      <selection activeCell="AY3" sqref="AY3"/>
    </sheetView>
  </sheetViews>
  <sheetFormatPr baseColWidth="10" defaultColWidth="8.83203125" defaultRowHeight="15" x14ac:dyDescent="0.2"/>
  <cols>
    <col min="1" max="3" width="8.83203125" style="3"/>
    <col min="4" max="4" width="8.83203125" style="68"/>
    <col min="5" max="5" width="14.83203125" style="3" bestFit="1" customWidth="1"/>
    <col min="6" max="6" width="14.83203125" bestFit="1" customWidth="1"/>
    <col min="34" max="35" width="8.83203125" style="3"/>
  </cols>
  <sheetData>
    <row r="1" spans="1:57" ht="16" thickBot="1" x14ac:dyDescent="0.25">
      <c r="A1" s="1"/>
      <c r="B1" s="1" t="s">
        <v>55</v>
      </c>
      <c r="C1" s="1"/>
      <c r="D1" s="66"/>
      <c r="E1" s="1">
        <v>1</v>
      </c>
      <c r="F1" s="154">
        <v>5</v>
      </c>
      <c r="G1" s="5">
        <v>4</v>
      </c>
      <c r="H1" s="18">
        <v>22</v>
      </c>
      <c r="I1" s="18">
        <v>20</v>
      </c>
      <c r="J1" s="2">
        <v>15</v>
      </c>
      <c r="K1" s="2">
        <v>6</v>
      </c>
      <c r="L1" s="2">
        <v>3</v>
      </c>
      <c r="M1" s="2">
        <v>24</v>
      </c>
      <c r="N1" s="2">
        <v>7</v>
      </c>
      <c r="O1" s="2">
        <v>23</v>
      </c>
      <c r="P1" s="2">
        <v>12</v>
      </c>
      <c r="Q1" s="2">
        <v>27</v>
      </c>
      <c r="R1" s="2">
        <v>2</v>
      </c>
      <c r="S1" s="2">
        <v>9</v>
      </c>
      <c r="T1" s="2">
        <v>10</v>
      </c>
      <c r="U1" s="2">
        <v>21</v>
      </c>
      <c r="V1" s="2">
        <v>25</v>
      </c>
      <c r="W1" s="144">
        <v>8</v>
      </c>
      <c r="X1" s="2">
        <v>14</v>
      </c>
      <c r="Y1" s="2">
        <v>28</v>
      </c>
      <c r="Z1" s="2">
        <v>26</v>
      </c>
      <c r="AA1" s="2">
        <v>17</v>
      </c>
      <c r="AB1" s="2">
        <v>29</v>
      </c>
      <c r="AC1" s="2">
        <v>18</v>
      </c>
      <c r="AD1" s="2">
        <v>16</v>
      </c>
      <c r="AE1" s="18">
        <v>13</v>
      </c>
      <c r="AF1" s="18">
        <v>19</v>
      </c>
      <c r="AG1" s="18">
        <v>11</v>
      </c>
      <c r="AH1" s="1"/>
      <c r="AI1" s="1"/>
      <c r="AK1" t="s">
        <v>260</v>
      </c>
      <c r="AL1" t="s">
        <v>261</v>
      </c>
    </row>
    <row r="2" spans="1:57" s="6" customFormat="1" ht="16" thickBot="1" x14ac:dyDescent="0.25">
      <c r="A2" s="4"/>
      <c r="B2" s="4" t="s">
        <v>20</v>
      </c>
      <c r="C2" s="4" t="s">
        <v>21</v>
      </c>
      <c r="D2" s="67" t="s">
        <v>51</v>
      </c>
      <c r="E2" s="4" t="s">
        <v>22</v>
      </c>
      <c r="F2" s="136" t="s">
        <v>26</v>
      </c>
      <c r="G2" s="65" t="s">
        <v>25</v>
      </c>
      <c r="H2" s="6" t="s">
        <v>43</v>
      </c>
      <c r="I2" s="6" t="s">
        <v>41</v>
      </c>
      <c r="J2" s="6" t="s">
        <v>36</v>
      </c>
      <c r="K2" s="6" t="s">
        <v>27</v>
      </c>
      <c r="L2" s="6" t="s">
        <v>24</v>
      </c>
      <c r="M2" s="6" t="s">
        <v>45</v>
      </c>
      <c r="N2" s="6" t="s">
        <v>28</v>
      </c>
      <c r="O2" s="6" t="s">
        <v>44</v>
      </c>
      <c r="P2" s="6" t="s">
        <v>33</v>
      </c>
      <c r="Q2" s="6" t="s">
        <v>48</v>
      </c>
      <c r="R2" s="6" t="s">
        <v>23</v>
      </c>
      <c r="S2" s="65" t="s">
        <v>30</v>
      </c>
      <c r="T2" s="6" t="s">
        <v>31</v>
      </c>
      <c r="U2" s="6" t="s">
        <v>42</v>
      </c>
      <c r="V2" s="6" t="s">
        <v>46</v>
      </c>
      <c r="W2" s="150" t="s">
        <v>29</v>
      </c>
      <c r="X2" s="6" t="s">
        <v>35</v>
      </c>
      <c r="Y2" s="6" t="s">
        <v>49</v>
      </c>
      <c r="Z2" s="6" t="s">
        <v>47</v>
      </c>
      <c r="AA2" s="6" t="s">
        <v>38</v>
      </c>
      <c r="AB2" s="6" t="s">
        <v>50</v>
      </c>
      <c r="AC2" s="6" t="s">
        <v>39</v>
      </c>
      <c r="AD2" s="6" t="s">
        <v>37</v>
      </c>
      <c r="AE2" s="6" t="s">
        <v>34</v>
      </c>
      <c r="AF2" s="6" t="s">
        <v>40</v>
      </c>
      <c r="AG2" s="6" t="s">
        <v>32</v>
      </c>
      <c r="AH2" s="4" t="s">
        <v>52</v>
      </c>
      <c r="AI2" s="4" t="s">
        <v>53</v>
      </c>
      <c r="AJ2" s="65" t="s">
        <v>253</v>
      </c>
      <c r="AK2" s="6" t="s">
        <v>249</v>
      </c>
      <c r="AL2" s="6" t="s">
        <v>247</v>
      </c>
      <c r="AM2" s="6" t="s">
        <v>248</v>
      </c>
      <c r="AN2" s="6" t="s">
        <v>250</v>
      </c>
      <c r="AO2" s="6" t="s">
        <v>251</v>
      </c>
      <c r="AP2" s="6" t="s">
        <v>252</v>
      </c>
      <c r="AQ2" s="6" t="s">
        <v>253</v>
      </c>
      <c r="AR2" s="6" t="s">
        <v>256</v>
      </c>
      <c r="AS2" s="6" t="s">
        <v>255</v>
      </c>
      <c r="AT2" s="6" t="s">
        <v>259</v>
      </c>
      <c r="AU2" s="6" t="s">
        <v>258</v>
      </c>
      <c r="AV2" s="6" t="s">
        <v>257</v>
      </c>
      <c r="AW2" s="6" t="s">
        <v>262</v>
      </c>
      <c r="AX2" s="6" t="s">
        <v>296</v>
      </c>
      <c r="AZ2" s="6" t="s">
        <v>297</v>
      </c>
      <c r="BA2" s="6" t="s">
        <v>298</v>
      </c>
      <c r="BB2" s="6" t="s">
        <v>299</v>
      </c>
      <c r="BC2" s="6" t="s">
        <v>300</v>
      </c>
      <c r="BD2" s="6" t="s">
        <v>301</v>
      </c>
      <c r="BE2" s="6" t="s">
        <v>302</v>
      </c>
    </row>
    <row r="3" spans="1:57" x14ac:dyDescent="0.2">
      <c r="B3" s="3" t="s">
        <v>0</v>
      </c>
      <c r="C3" s="3">
        <v>1</v>
      </c>
      <c r="D3" s="68">
        <v>1</v>
      </c>
      <c r="E3" s="3">
        <v>0.88999998569500005</v>
      </c>
      <c r="F3" s="154">
        <v>0.33000001311299998</v>
      </c>
      <c r="G3" s="5">
        <v>0.68999999761599995</v>
      </c>
      <c r="H3" s="18">
        <v>0.60000002384200002</v>
      </c>
      <c r="I3" s="18">
        <v>3.9999999105899998E-2</v>
      </c>
      <c r="J3" s="2">
        <v>0.74000000953699996</v>
      </c>
      <c r="K3" s="2">
        <v>0.97000002861000001</v>
      </c>
      <c r="L3" s="2">
        <v>1</v>
      </c>
      <c r="M3" s="2">
        <v>1</v>
      </c>
      <c r="N3" s="2">
        <v>1</v>
      </c>
      <c r="O3" s="2">
        <v>1</v>
      </c>
      <c r="P3" s="2">
        <v>0.109999999404</v>
      </c>
      <c r="Q3" s="2">
        <v>0.52999997138999999</v>
      </c>
      <c r="R3" s="2">
        <v>0.28000000119200003</v>
      </c>
      <c r="S3" s="2">
        <v>0</v>
      </c>
      <c r="T3" s="2">
        <v>0</v>
      </c>
      <c r="U3" s="2">
        <v>0.60000002384200002</v>
      </c>
      <c r="V3" s="2">
        <v>0.239999994636</v>
      </c>
      <c r="W3" s="144">
        <v>0</v>
      </c>
      <c r="X3" s="2">
        <v>0.14000000059600001</v>
      </c>
      <c r="Y3" s="2">
        <v>0.28000000119200003</v>
      </c>
      <c r="Z3" s="2">
        <v>0.18000000715299999</v>
      </c>
      <c r="AA3" s="2">
        <v>0.239999994636</v>
      </c>
      <c r="AB3" s="2">
        <v>0.28000000119200003</v>
      </c>
      <c r="AC3" s="2">
        <v>0</v>
      </c>
      <c r="AD3" s="2">
        <v>0.55000001192100001</v>
      </c>
      <c r="AE3" s="18">
        <v>0</v>
      </c>
      <c r="AF3" s="18">
        <v>0.579999983311</v>
      </c>
      <c r="AG3" s="18">
        <v>0</v>
      </c>
      <c r="AJ3">
        <v>0</v>
      </c>
      <c r="AK3">
        <v>8</v>
      </c>
      <c r="AL3">
        <v>20</v>
      </c>
      <c r="AM3">
        <v>58</v>
      </c>
      <c r="AN3">
        <v>56</v>
      </c>
      <c r="AO3">
        <v>24</v>
      </c>
      <c r="AP3">
        <v>207</v>
      </c>
      <c r="AQ3">
        <v>23</v>
      </c>
      <c r="AR3">
        <v>131</v>
      </c>
      <c r="AS3">
        <v>80</v>
      </c>
      <c r="AT3">
        <v>159</v>
      </c>
      <c r="AU3">
        <v>50</v>
      </c>
      <c r="AV3">
        <v>161</v>
      </c>
      <c r="AW3">
        <v>0</v>
      </c>
      <c r="AX3" s="18">
        <v>2.7467214999999996</v>
      </c>
      <c r="AY3">
        <v>2.7467214999999996</v>
      </c>
      <c r="AZ3">
        <v>11</v>
      </c>
      <c r="BA3">
        <v>0</v>
      </c>
      <c r="BB3">
        <v>11</v>
      </c>
      <c r="BC3">
        <v>0</v>
      </c>
      <c r="BD3" s="21">
        <f>AVERAGE(AZ3,BB3)</f>
        <v>11</v>
      </c>
      <c r="BE3">
        <f>AVERAGE(BA3,BC3)</f>
        <v>0</v>
      </c>
    </row>
    <row r="4" spans="1:57" x14ac:dyDescent="0.2">
      <c r="B4" s="3" t="s">
        <v>1</v>
      </c>
      <c r="C4" s="3">
        <v>2</v>
      </c>
      <c r="D4" s="68">
        <v>2</v>
      </c>
      <c r="E4" s="3">
        <v>0.97</v>
      </c>
      <c r="F4" s="154">
        <v>0.9</v>
      </c>
      <c r="G4" s="5">
        <v>0.71</v>
      </c>
      <c r="H4" s="18">
        <v>0.17</v>
      </c>
      <c r="I4" s="18">
        <v>0.96</v>
      </c>
      <c r="J4" s="2">
        <v>0.2</v>
      </c>
      <c r="K4" s="2">
        <v>1</v>
      </c>
      <c r="L4" s="2">
        <v>0.86</v>
      </c>
      <c r="M4" s="2">
        <v>0.91</v>
      </c>
      <c r="N4" s="2">
        <v>0.92</v>
      </c>
      <c r="O4" s="2">
        <v>0.84</v>
      </c>
      <c r="P4" s="2">
        <v>0.75</v>
      </c>
      <c r="Q4" s="2">
        <v>0.8</v>
      </c>
      <c r="R4" s="2">
        <v>0.03</v>
      </c>
      <c r="S4" s="2">
        <v>0.95</v>
      </c>
      <c r="T4" s="2">
        <v>0.94</v>
      </c>
      <c r="U4" s="2">
        <v>0.93</v>
      </c>
      <c r="V4" s="2">
        <v>0.93</v>
      </c>
      <c r="W4" s="144">
        <v>0.93</v>
      </c>
      <c r="X4" s="2">
        <v>0.91</v>
      </c>
      <c r="Y4" s="2">
        <v>0.51</v>
      </c>
      <c r="Z4" s="2">
        <v>0.52</v>
      </c>
      <c r="AA4" s="2">
        <v>0.5</v>
      </c>
      <c r="AB4" s="2">
        <v>0</v>
      </c>
      <c r="AC4" s="2">
        <v>0.51</v>
      </c>
      <c r="AD4" s="2">
        <v>0.06</v>
      </c>
      <c r="AE4" s="18">
        <v>0.13</v>
      </c>
      <c r="AF4" s="18">
        <v>0.06</v>
      </c>
      <c r="AG4" s="18">
        <v>0.16</v>
      </c>
      <c r="AJ4">
        <v>2</v>
      </c>
      <c r="AK4">
        <v>8</v>
      </c>
      <c r="AL4">
        <v>33</v>
      </c>
      <c r="AM4">
        <v>42</v>
      </c>
      <c r="AN4">
        <v>56</v>
      </c>
      <c r="AO4">
        <v>30</v>
      </c>
      <c r="AP4">
        <v>184</v>
      </c>
      <c r="AQ4">
        <v>16</v>
      </c>
      <c r="AR4">
        <v>130</v>
      </c>
      <c r="AS4">
        <v>124</v>
      </c>
      <c r="AT4">
        <v>125</v>
      </c>
      <c r="AU4">
        <v>86</v>
      </c>
      <c r="AV4">
        <v>123</v>
      </c>
      <c r="AW4">
        <v>9.5</v>
      </c>
      <c r="AX4" s="18">
        <v>6.9953005000000026</v>
      </c>
      <c r="AY4">
        <v>6.9953005000000026</v>
      </c>
      <c r="AZ4">
        <v>12</v>
      </c>
      <c r="BA4">
        <v>0</v>
      </c>
      <c r="BB4">
        <v>11</v>
      </c>
      <c r="BC4">
        <v>0</v>
      </c>
      <c r="BD4" s="21">
        <f t="shared" ref="BD4:BD22" si="0">AVERAGE(AZ4,BB4)</f>
        <v>11.5</v>
      </c>
      <c r="BE4" s="18">
        <f t="shared" ref="BE4:BE22" si="1">AVERAGE(BA4,BC4)</f>
        <v>0</v>
      </c>
    </row>
    <row r="5" spans="1:57" x14ac:dyDescent="0.2">
      <c r="B5" s="3" t="s">
        <v>2</v>
      </c>
      <c r="C5" s="3">
        <v>1</v>
      </c>
      <c r="D5" s="68">
        <v>1</v>
      </c>
      <c r="E5" s="3">
        <v>0.51</v>
      </c>
      <c r="F5" s="154">
        <v>0.28999999999999998</v>
      </c>
      <c r="G5" s="5">
        <v>0.42</v>
      </c>
      <c r="H5" s="18">
        <v>0.6</v>
      </c>
      <c r="I5" s="18">
        <v>0.09</v>
      </c>
      <c r="J5" s="2">
        <v>0.17</v>
      </c>
      <c r="K5" s="2">
        <v>0.28999999999999998</v>
      </c>
      <c r="L5" s="2">
        <v>0.31</v>
      </c>
      <c r="M5" s="2">
        <v>7.0000000000000007E-2</v>
      </c>
      <c r="N5" s="2">
        <v>0.26</v>
      </c>
      <c r="O5" s="2">
        <v>0.05</v>
      </c>
      <c r="P5" s="2">
        <v>0.67</v>
      </c>
      <c r="Q5" s="2">
        <v>0.1</v>
      </c>
      <c r="R5" s="2">
        <v>0.34</v>
      </c>
      <c r="S5" s="2">
        <v>0.67</v>
      </c>
      <c r="T5" s="2">
        <v>0.19</v>
      </c>
      <c r="U5" s="2">
        <v>0.18</v>
      </c>
      <c r="V5" s="2">
        <v>0.13</v>
      </c>
      <c r="W5" s="144">
        <v>0.05</v>
      </c>
      <c r="X5" s="2">
        <v>0.14000000000000001</v>
      </c>
      <c r="Y5" s="2">
        <v>0.41</v>
      </c>
      <c r="Z5" s="2">
        <v>0.16</v>
      </c>
      <c r="AA5" s="2">
        <v>0.17</v>
      </c>
      <c r="AB5" s="2">
        <v>7.0000000000000007E-2</v>
      </c>
      <c r="AC5" s="2">
        <v>0.36</v>
      </c>
      <c r="AD5" s="2">
        <v>0.17</v>
      </c>
      <c r="AE5" s="18">
        <v>0.13</v>
      </c>
      <c r="AF5" s="18">
        <v>7.0000000000000007E-2</v>
      </c>
      <c r="AG5" s="18">
        <v>0.28000000000000003</v>
      </c>
      <c r="AJ5">
        <v>5</v>
      </c>
      <c r="AK5">
        <v>12</v>
      </c>
      <c r="AL5">
        <v>35</v>
      </c>
      <c r="AM5">
        <v>71</v>
      </c>
      <c r="AN5">
        <v>52</v>
      </c>
      <c r="AO5">
        <v>28</v>
      </c>
      <c r="AP5">
        <v>170</v>
      </c>
      <c r="AQ5">
        <v>18</v>
      </c>
      <c r="AR5">
        <v>114</v>
      </c>
      <c r="AS5">
        <v>117</v>
      </c>
      <c r="AT5">
        <v>123</v>
      </c>
      <c r="AU5">
        <v>88</v>
      </c>
      <c r="AV5">
        <v>136</v>
      </c>
      <c r="AW5">
        <v>0</v>
      </c>
      <c r="AX5" s="18">
        <v>2.2974400000000017</v>
      </c>
      <c r="AY5">
        <v>2.2974400000000017</v>
      </c>
      <c r="AZ5">
        <v>11</v>
      </c>
      <c r="BA5">
        <v>0</v>
      </c>
      <c r="BB5">
        <v>10</v>
      </c>
      <c r="BC5">
        <v>0</v>
      </c>
      <c r="BD5" s="21">
        <f t="shared" si="0"/>
        <v>10.5</v>
      </c>
      <c r="BE5" s="18">
        <f t="shared" si="1"/>
        <v>0</v>
      </c>
    </row>
    <row r="6" spans="1:57" x14ac:dyDescent="0.2">
      <c r="B6" s="3" t="s">
        <v>3</v>
      </c>
      <c r="C6" s="3">
        <v>2</v>
      </c>
      <c r="D6" s="68">
        <v>2</v>
      </c>
      <c r="E6" s="3">
        <v>0.73000001907300005</v>
      </c>
      <c r="F6" s="154">
        <v>1</v>
      </c>
      <c r="G6" s="5">
        <v>0.76999998092699995</v>
      </c>
      <c r="H6" s="18">
        <v>0.68999999761599995</v>
      </c>
      <c r="I6" s="18">
        <v>0</v>
      </c>
      <c r="J6" s="2">
        <v>1</v>
      </c>
      <c r="K6" s="2">
        <v>1</v>
      </c>
      <c r="L6" s="2">
        <v>0.77999997138999999</v>
      </c>
      <c r="M6" s="2">
        <v>0.98000001907300005</v>
      </c>
      <c r="N6" s="2">
        <v>1</v>
      </c>
      <c r="O6" s="2">
        <v>0.73000001907300005</v>
      </c>
      <c r="P6" s="2">
        <v>1</v>
      </c>
      <c r="Q6" s="2">
        <v>1</v>
      </c>
      <c r="R6" s="2">
        <v>0.77999997138999999</v>
      </c>
      <c r="S6" s="2">
        <v>0.75999999046300004</v>
      </c>
      <c r="T6" s="2">
        <v>1</v>
      </c>
      <c r="U6" s="2">
        <v>0.75</v>
      </c>
      <c r="V6" s="2">
        <v>1</v>
      </c>
      <c r="W6" s="144">
        <v>7.0000000298000006E-2</v>
      </c>
      <c r="X6" s="2">
        <v>0.50999999046300004</v>
      </c>
      <c r="Y6" s="2">
        <v>0</v>
      </c>
      <c r="Z6" s="2">
        <v>0.60000002384200002</v>
      </c>
      <c r="AA6" s="2">
        <v>0.5</v>
      </c>
      <c r="AB6" s="2">
        <v>0</v>
      </c>
      <c r="AC6" s="2">
        <v>0</v>
      </c>
      <c r="AD6" s="2">
        <v>0</v>
      </c>
      <c r="AE6" s="18">
        <v>1</v>
      </c>
      <c r="AF6" s="18">
        <v>0</v>
      </c>
      <c r="AG6" s="18">
        <v>9.9999997764800008E-3</v>
      </c>
      <c r="AJ6">
        <v>-4</v>
      </c>
      <c r="AK6">
        <v>12</v>
      </c>
      <c r="AL6">
        <v>35</v>
      </c>
      <c r="AM6">
        <v>79</v>
      </c>
      <c r="AN6">
        <v>56</v>
      </c>
      <c r="AO6">
        <v>39</v>
      </c>
      <c r="AP6">
        <v>164</v>
      </c>
      <c r="AQ6">
        <v>23</v>
      </c>
      <c r="AR6">
        <v>144</v>
      </c>
      <c r="AS6">
        <v>81</v>
      </c>
      <c r="AT6">
        <v>148</v>
      </c>
      <c r="AU6">
        <v>84</v>
      </c>
      <c r="AV6">
        <v>147</v>
      </c>
      <c r="AW6">
        <v>1</v>
      </c>
      <c r="AX6" s="18">
        <v>8.7480905</v>
      </c>
      <c r="AY6">
        <v>8.7480905</v>
      </c>
      <c r="AZ6">
        <v>12</v>
      </c>
      <c r="BA6">
        <v>0</v>
      </c>
      <c r="BB6">
        <v>14</v>
      </c>
      <c r="BC6">
        <v>0</v>
      </c>
      <c r="BD6" s="21">
        <f t="shared" si="0"/>
        <v>13</v>
      </c>
      <c r="BE6" s="18">
        <f t="shared" si="1"/>
        <v>0</v>
      </c>
    </row>
    <row r="7" spans="1:57" x14ac:dyDescent="0.2">
      <c r="B7" s="3" t="s">
        <v>4</v>
      </c>
      <c r="C7" s="3">
        <v>1</v>
      </c>
      <c r="D7" s="68">
        <v>1</v>
      </c>
      <c r="E7" s="3">
        <v>0.670000016689</v>
      </c>
      <c r="F7" s="154">
        <v>0.87999999523200001</v>
      </c>
      <c r="G7" s="5">
        <v>1</v>
      </c>
      <c r="H7" s="18">
        <v>1</v>
      </c>
      <c r="I7" s="18">
        <v>0.74000000953699996</v>
      </c>
      <c r="J7" s="2">
        <v>0.81000000238400005</v>
      </c>
      <c r="K7" s="2">
        <v>3.9999999105899998E-2</v>
      </c>
      <c r="L7" s="2">
        <v>0.80000001192100001</v>
      </c>
      <c r="M7" s="2">
        <v>0.76999998092699995</v>
      </c>
      <c r="N7" s="2">
        <v>0.97000002861000001</v>
      </c>
      <c r="O7" s="2">
        <v>1</v>
      </c>
      <c r="P7" s="2">
        <v>0.75999999046300004</v>
      </c>
      <c r="Q7" s="2">
        <v>0.62999999523200001</v>
      </c>
      <c r="R7" s="2">
        <v>0.79000002145799997</v>
      </c>
      <c r="S7" s="2">
        <v>0.829999983311</v>
      </c>
      <c r="T7" s="2">
        <v>0.829999983311</v>
      </c>
      <c r="U7" s="2">
        <v>0.75</v>
      </c>
      <c r="V7" s="2">
        <v>0.56999999284699998</v>
      </c>
      <c r="W7" s="144">
        <v>0.23000000417200001</v>
      </c>
      <c r="X7" s="2">
        <v>0.579999983311</v>
      </c>
      <c r="Y7" s="2">
        <v>1</v>
      </c>
      <c r="Z7" s="2">
        <v>0.70999997854200003</v>
      </c>
      <c r="AA7" s="2">
        <v>0.75999999046300004</v>
      </c>
      <c r="AB7" s="2">
        <v>0.15999999642400001</v>
      </c>
      <c r="AC7" s="2">
        <v>0.15000000595999999</v>
      </c>
      <c r="AD7" s="2">
        <v>5.0000000745099998E-2</v>
      </c>
      <c r="AE7" s="18">
        <v>0.219999998808</v>
      </c>
      <c r="AF7" s="18">
        <v>0.17000000178800001</v>
      </c>
      <c r="AG7" s="18">
        <v>0.20000000298000001</v>
      </c>
      <c r="AJ7">
        <v>-1</v>
      </c>
      <c r="AK7">
        <v>18</v>
      </c>
      <c r="AL7">
        <v>27</v>
      </c>
      <c r="AM7">
        <v>33</v>
      </c>
      <c r="AN7">
        <v>47</v>
      </c>
      <c r="AO7">
        <v>53</v>
      </c>
      <c r="AP7">
        <v>176</v>
      </c>
      <c r="AQ7">
        <v>19</v>
      </c>
      <c r="AR7">
        <v>136</v>
      </c>
      <c r="AS7">
        <v>137</v>
      </c>
      <c r="AT7">
        <v>110</v>
      </c>
      <c r="AU7">
        <v>52</v>
      </c>
      <c r="AV7">
        <v>131</v>
      </c>
      <c r="AW7">
        <v>2.5</v>
      </c>
      <c r="AX7" s="18">
        <v>3.5454244999999993</v>
      </c>
      <c r="AY7">
        <v>3.5454244999999993</v>
      </c>
      <c r="AZ7">
        <v>14</v>
      </c>
      <c r="BA7">
        <v>0</v>
      </c>
      <c r="BB7">
        <v>13</v>
      </c>
      <c r="BC7">
        <v>0</v>
      </c>
      <c r="BD7" s="21">
        <f t="shared" si="0"/>
        <v>13.5</v>
      </c>
      <c r="BE7" s="18">
        <f t="shared" si="1"/>
        <v>0</v>
      </c>
    </row>
    <row r="8" spans="1:57" x14ac:dyDescent="0.2">
      <c r="B8" s="3" t="s">
        <v>5</v>
      </c>
      <c r="C8" s="3">
        <v>2</v>
      </c>
      <c r="D8" s="68">
        <v>2</v>
      </c>
      <c r="E8" s="3">
        <v>0.47</v>
      </c>
      <c r="F8" s="154">
        <v>0.28000000000000003</v>
      </c>
      <c r="G8" s="5">
        <v>0.28000000000000003</v>
      </c>
      <c r="H8" s="18">
        <v>0.01</v>
      </c>
      <c r="I8" s="18">
        <v>0.82</v>
      </c>
      <c r="J8" s="2">
        <v>0.04</v>
      </c>
      <c r="K8" s="2">
        <v>0.27</v>
      </c>
      <c r="L8" s="2">
        <v>0.09</v>
      </c>
      <c r="M8" s="2">
        <v>0.45</v>
      </c>
      <c r="N8" s="2">
        <v>0.27</v>
      </c>
      <c r="O8" s="2">
        <v>0.4</v>
      </c>
      <c r="P8" s="2">
        <v>0.04</v>
      </c>
      <c r="Q8" s="2">
        <v>0.06</v>
      </c>
      <c r="R8" s="2">
        <v>0.09</v>
      </c>
      <c r="S8" s="2">
        <v>0.08</v>
      </c>
      <c r="T8" s="2">
        <v>0.04</v>
      </c>
      <c r="U8" s="2">
        <v>0.39</v>
      </c>
      <c r="V8" s="2">
        <v>0.06</v>
      </c>
      <c r="W8" s="144">
        <v>0.08</v>
      </c>
      <c r="X8" s="2">
        <v>0.04</v>
      </c>
      <c r="Y8" s="2">
        <v>0.06</v>
      </c>
      <c r="Z8" s="2">
        <v>0.06</v>
      </c>
      <c r="AA8" s="2">
        <v>0</v>
      </c>
      <c r="AB8" s="2">
        <v>0.04</v>
      </c>
      <c r="AC8" s="2">
        <v>0</v>
      </c>
      <c r="AD8" s="2">
        <v>0.22</v>
      </c>
      <c r="AE8" s="18">
        <v>0.04</v>
      </c>
      <c r="AF8" s="18">
        <v>0.23</v>
      </c>
      <c r="AG8" s="18">
        <v>0.04</v>
      </c>
      <c r="AJ8">
        <v>-1</v>
      </c>
      <c r="AK8">
        <v>12</v>
      </c>
      <c r="AM8">
        <v>81</v>
      </c>
      <c r="AN8">
        <v>54</v>
      </c>
      <c r="AO8">
        <v>37</v>
      </c>
      <c r="AP8">
        <v>181</v>
      </c>
      <c r="AQ8">
        <v>15</v>
      </c>
      <c r="AR8">
        <v>134</v>
      </c>
      <c r="AS8">
        <v>106</v>
      </c>
      <c r="AT8">
        <v>126</v>
      </c>
      <c r="AU8">
        <v>91</v>
      </c>
      <c r="AV8">
        <v>162</v>
      </c>
      <c r="AW8">
        <v>0</v>
      </c>
      <c r="AX8" s="18">
        <v>4.3344745000000007</v>
      </c>
      <c r="AY8">
        <v>4.3344745000000007</v>
      </c>
      <c r="AZ8">
        <v>11</v>
      </c>
      <c r="BA8">
        <v>3</v>
      </c>
      <c r="BB8">
        <v>11</v>
      </c>
      <c r="BC8">
        <v>2</v>
      </c>
      <c r="BD8" s="21">
        <f t="shared" si="0"/>
        <v>11</v>
      </c>
      <c r="BE8" s="18">
        <f t="shared" si="1"/>
        <v>2.5</v>
      </c>
    </row>
    <row r="9" spans="1:57" x14ac:dyDescent="0.2">
      <c r="B9" s="3" t="s">
        <v>6</v>
      </c>
      <c r="C9" s="3">
        <v>1</v>
      </c>
      <c r="D9" s="68">
        <v>1</v>
      </c>
      <c r="E9" s="3">
        <v>0.5</v>
      </c>
      <c r="F9" s="154">
        <v>0.75</v>
      </c>
      <c r="G9" s="5">
        <v>0.71</v>
      </c>
      <c r="H9" s="18">
        <v>0.54</v>
      </c>
      <c r="I9" s="18">
        <v>0.45</v>
      </c>
      <c r="J9" s="2">
        <v>0.9</v>
      </c>
      <c r="K9" s="2">
        <v>0.49</v>
      </c>
      <c r="L9" s="2">
        <v>0.15</v>
      </c>
      <c r="M9" s="2">
        <v>0.85</v>
      </c>
      <c r="N9" s="2">
        <v>0.48</v>
      </c>
      <c r="O9" s="2">
        <v>0.71</v>
      </c>
      <c r="P9" s="2">
        <v>0.55000000000000004</v>
      </c>
      <c r="Q9" s="2">
        <v>0.77</v>
      </c>
      <c r="R9" s="2">
        <v>0.35</v>
      </c>
      <c r="S9" s="2">
        <v>0.78</v>
      </c>
      <c r="T9" s="2">
        <v>0.8</v>
      </c>
      <c r="U9" s="2">
        <v>0.45</v>
      </c>
      <c r="V9" s="2">
        <v>0.35</v>
      </c>
      <c r="W9" s="144">
        <v>0.8</v>
      </c>
      <c r="X9" s="2">
        <v>0.63</v>
      </c>
      <c r="Y9" s="2">
        <v>0.98</v>
      </c>
      <c r="Z9" s="2">
        <v>0.56000000000000005</v>
      </c>
      <c r="AA9" s="2">
        <v>0.34</v>
      </c>
      <c r="AB9" s="2">
        <v>0.17</v>
      </c>
      <c r="AC9" s="2">
        <v>0.01</v>
      </c>
      <c r="AD9" s="2">
        <v>0.06</v>
      </c>
      <c r="AE9" s="18">
        <v>0</v>
      </c>
      <c r="AF9" s="18">
        <v>0.28999999999999998</v>
      </c>
      <c r="AG9" s="18">
        <v>0</v>
      </c>
      <c r="AJ9">
        <v>3</v>
      </c>
      <c r="AK9">
        <v>10</v>
      </c>
      <c r="AL9">
        <v>33</v>
      </c>
      <c r="AM9">
        <v>77</v>
      </c>
      <c r="AN9">
        <v>53</v>
      </c>
      <c r="AO9">
        <v>38</v>
      </c>
      <c r="AP9">
        <v>217</v>
      </c>
      <c r="AQ9">
        <v>16</v>
      </c>
      <c r="AR9">
        <v>112</v>
      </c>
      <c r="AS9">
        <v>79</v>
      </c>
      <c r="AT9">
        <v>119</v>
      </c>
      <c r="AU9">
        <v>70</v>
      </c>
      <c r="AV9">
        <v>135</v>
      </c>
      <c r="AW9">
        <v>8.5</v>
      </c>
      <c r="AX9" s="21">
        <v>-6.7611639999999973</v>
      </c>
      <c r="AZ9">
        <v>11</v>
      </c>
      <c r="BA9">
        <v>0</v>
      </c>
      <c r="BB9">
        <v>12</v>
      </c>
      <c r="BC9">
        <v>0</v>
      </c>
      <c r="BD9" s="21">
        <f t="shared" si="0"/>
        <v>11.5</v>
      </c>
      <c r="BE9" s="18">
        <f t="shared" si="1"/>
        <v>0</v>
      </c>
    </row>
    <row r="10" spans="1:57" x14ac:dyDescent="0.2">
      <c r="B10" s="3" t="s">
        <v>7</v>
      </c>
      <c r="C10" s="3">
        <v>2</v>
      </c>
      <c r="D10" s="68">
        <v>2</v>
      </c>
      <c r="E10" s="3">
        <v>1</v>
      </c>
      <c r="F10" s="154">
        <v>1</v>
      </c>
      <c r="G10" s="5">
        <v>1</v>
      </c>
      <c r="H10" s="18">
        <v>1</v>
      </c>
      <c r="I10" s="18">
        <v>0.75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0.5</v>
      </c>
      <c r="R10">
        <v>1</v>
      </c>
      <c r="S10">
        <v>0.5</v>
      </c>
      <c r="T10">
        <v>1</v>
      </c>
      <c r="U10">
        <v>1</v>
      </c>
      <c r="V10">
        <v>0.75</v>
      </c>
      <c r="W10" s="144">
        <v>1</v>
      </c>
      <c r="X10">
        <v>1</v>
      </c>
      <c r="Y10">
        <v>0.5</v>
      </c>
      <c r="Z10">
        <v>0.5</v>
      </c>
      <c r="AA10">
        <v>0.5</v>
      </c>
      <c r="AB10">
        <v>1</v>
      </c>
      <c r="AC10">
        <v>1</v>
      </c>
      <c r="AD10">
        <v>1</v>
      </c>
      <c r="AE10" s="18">
        <v>1</v>
      </c>
      <c r="AF10" s="18">
        <v>0</v>
      </c>
      <c r="AG10" s="18">
        <v>1</v>
      </c>
      <c r="AK10">
        <v>17</v>
      </c>
      <c r="AL10">
        <v>33</v>
      </c>
      <c r="AM10">
        <v>57</v>
      </c>
      <c r="AN10">
        <v>52</v>
      </c>
      <c r="AO10">
        <v>36</v>
      </c>
      <c r="AP10">
        <v>205</v>
      </c>
      <c r="AQ10">
        <v>15</v>
      </c>
      <c r="AR10">
        <v>128</v>
      </c>
      <c r="AS10">
        <v>125</v>
      </c>
      <c r="AT10">
        <v>108</v>
      </c>
      <c r="AU10">
        <v>66</v>
      </c>
      <c r="AV10">
        <v>132</v>
      </c>
      <c r="AW10">
        <v>14</v>
      </c>
      <c r="AX10" s="18"/>
      <c r="AZ10" t="s">
        <v>202</v>
      </c>
      <c r="BA10">
        <v>0</v>
      </c>
      <c r="BB10" t="s">
        <v>202</v>
      </c>
      <c r="BC10" t="s">
        <v>202</v>
      </c>
      <c r="BD10" s="21"/>
      <c r="BE10" s="18">
        <f t="shared" si="1"/>
        <v>0</v>
      </c>
    </row>
    <row r="11" spans="1:57" x14ac:dyDescent="0.2">
      <c r="B11" s="3" t="s">
        <v>8</v>
      </c>
      <c r="C11" s="3">
        <v>1</v>
      </c>
      <c r="D11" s="68">
        <v>1</v>
      </c>
      <c r="E11" s="3">
        <v>0.66000002622599996</v>
      </c>
      <c r="F11" s="154">
        <v>1</v>
      </c>
      <c r="G11" s="5">
        <v>1</v>
      </c>
      <c r="H11" s="18">
        <v>1</v>
      </c>
      <c r="I11" s="18">
        <v>1</v>
      </c>
      <c r="J11" s="2">
        <v>1</v>
      </c>
      <c r="K11" s="2">
        <v>1</v>
      </c>
      <c r="L11" s="2">
        <v>0.31999999284699998</v>
      </c>
      <c r="M11" s="2">
        <v>0.93000000715300002</v>
      </c>
      <c r="N11" s="2">
        <v>1</v>
      </c>
      <c r="O11" s="2">
        <v>0.54000002145799997</v>
      </c>
      <c r="P11" s="2">
        <v>0.93000000715300002</v>
      </c>
      <c r="Q11" s="2">
        <v>0.51999998092699995</v>
      </c>
      <c r="R11" s="2">
        <v>1</v>
      </c>
      <c r="S11" s="2">
        <v>0.72000002861000001</v>
      </c>
      <c r="T11" s="2">
        <v>0.30000001192100001</v>
      </c>
      <c r="U11" s="2">
        <v>1</v>
      </c>
      <c r="V11" s="2">
        <v>0.55000001192100001</v>
      </c>
      <c r="W11" s="144">
        <v>0.25</v>
      </c>
      <c r="X11" s="2">
        <v>0.20000000298000001</v>
      </c>
      <c r="Y11" s="2">
        <v>0.219999998808</v>
      </c>
      <c r="Z11" s="2">
        <v>0.20999999344299999</v>
      </c>
      <c r="AA11" s="2">
        <v>0.81000000238400005</v>
      </c>
      <c r="AB11" s="2">
        <v>0.119999997318</v>
      </c>
      <c r="AC11" s="2">
        <v>9.9999997764800008E-3</v>
      </c>
      <c r="AD11" s="2">
        <v>0.12999999523200001</v>
      </c>
      <c r="AE11" s="18">
        <v>0</v>
      </c>
      <c r="AF11" s="18">
        <v>0</v>
      </c>
      <c r="AG11" s="18">
        <v>0</v>
      </c>
      <c r="AJ11">
        <v>0</v>
      </c>
      <c r="AK11">
        <v>8</v>
      </c>
      <c r="AL11">
        <v>26</v>
      </c>
      <c r="AM11">
        <v>59</v>
      </c>
      <c r="AN11">
        <v>54</v>
      </c>
      <c r="AO11">
        <v>25</v>
      </c>
      <c r="AQ11">
        <v>18</v>
      </c>
      <c r="AR11">
        <v>160</v>
      </c>
      <c r="AS11">
        <v>72</v>
      </c>
      <c r="AT11">
        <v>92</v>
      </c>
      <c r="AU11">
        <v>61</v>
      </c>
      <c r="AV11">
        <v>166</v>
      </c>
      <c r="AW11">
        <v>7</v>
      </c>
      <c r="AX11" s="18">
        <v>2.7543985000000006</v>
      </c>
      <c r="AY11">
        <v>2.7543985000000006</v>
      </c>
      <c r="AZ11">
        <v>15</v>
      </c>
      <c r="BA11">
        <v>0</v>
      </c>
      <c r="BB11">
        <v>14</v>
      </c>
      <c r="BC11">
        <v>0</v>
      </c>
      <c r="BD11" s="21">
        <f t="shared" si="0"/>
        <v>14.5</v>
      </c>
      <c r="BE11" s="18">
        <f t="shared" si="1"/>
        <v>0</v>
      </c>
    </row>
    <row r="12" spans="1:57" x14ac:dyDescent="0.2">
      <c r="B12" s="3" t="s">
        <v>9</v>
      </c>
      <c r="C12" s="3">
        <v>2</v>
      </c>
      <c r="D12" s="68">
        <v>2</v>
      </c>
      <c r="E12" s="3">
        <v>0.82</v>
      </c>
      <c r="F12" s="154">
        <v>0.97</v>
      </c>
      <c r="G12" s="5">
        <v>0.56999999999999995</v>
      </c>
      <c r="H12" s="18">
        <v>0.04</v>
      </c>
      <c r="I12" s="18">
        <v>0.73</v>
      </c>
      <c r="J12" s="2">
        <v>1</v>
      </c>
      <c r="K12" s="2">
        <v>0.97</v>
      </c>
      <c r="L12" s="2">
        <v>0.18</v>
      </c>
      <c r="M12" s="2">
        <v>0.22</v>
      </c>
      <c r="N12" s="2">
        <v>1</v>
      </c>
      <c r="O12" s="2">
        <v>0.12</v>
      </c>
      <c r="P12" s="2">
        <v>0.08</v>
      </c>
      <c r="Q12" s="2">
        <v>0</v>
      </c>
      <c r="R12" s="2">
        <v>0.17</v>
      </c>
      <c r="S12" s="2">
        <v>1</v>
      </c>
      <c r="T12" s="2">
        <v>0</v>
      </c>
      <c r="U12" s="2">
        <v>0.01</v>
      </c>
      <c r="V12" s="2">
        <v>0</v>
      </c>
      <c r="W12" s="144">
        <v>0</v>
      </c>
      <c r="X12" s="2">
        <v>0.09</v>
      </c>
      <c r="Y12" s="2">
        <v>0</v>
      </c>
      <c r="Z12" s="2">
        <v>0</v>
      </c>
      <c r="AA12" s="2">
        <v>0</v>
      </c>
      <c r="AB12" s="2">
        <v>0</v>
      </c>
      <c r="AC12" s="2">
        <v>0.4</v>
      </c>
      <c r="AD12" s="2">
        <v>0.76</v>
      </c>
      <c r="AE12" s="18">
        <v>0.19</v>
      </c>
      <c r="AF12" s="18">
        <v>0</v>
      </c>
      <c r="AG12" s="18">
        <v>0</v>
      </c>
      <c r="AJ12">
        <v>2</v>
      </c>
      <c r="AK12">
        <v>14</v>
      </c>
      <c r="AL12">
        <v>29</v>
      </c>
      <c r="AM12">
        <v>19</v>
      </c>
      <c r="AN12">
        <v>44</v>
      </c>
      <c r="AO12">
        <v>40</v>
      </c>
      <c r="AP12">
        <v>174</v>
      </c>
      <c r="AQ12">
        <v>15</v>
      </c>
      <c r="AR12">
        <v>106</v>
      </c>
      <c r="AS12">
        <v>118</v>
      </c>
      <c r="AT12">
        <v>101</v>
      </c>
      <c r="AU12">
        <v>78</v>
      </c>
      <c r="AV12">
        <v>109</v>
      </c>
      <c r="AW12">
        <v>2.5</v>
      </c>
      <c r="AX12" s="18">
        <v>6.8225880000000014</v>
      </c>
      <c r="AY12">
        <v>6.8225880000000014</v>
      </c>
      <c r="AZ12">
        <v>11</v>
      </c>
      <c r="BA12">
        <v>0</v>
      </c>
      <c r="BB12">
        <v>11</v>
      </c>
      <c r="BC12">
        <v>0</v>
      </c>
      <c r="BD12" s="21">
        <f t="shared" si="0"/>
        <v>11</v>
      </c>
      <c r="BE12" s="18">
        <f t="shared" si="1"/>
        <v>0</v>
      </c>
    </row>
    <row r="13" spans="1:57" x14ac:dyDescent="0.2">
      <c r="B13" s="3" t="s">
        <v>10</v>
      </c>
      <c r="C13" s="3">
        <v>1</v>
      </c>
      <c r="D13" s="68">
        <v>1</v>
      </c>
      <c r="E13" s="3">
        <v>0.17000000178800001</v>
      </c>
      <c r="F13" s="154">
        <v>0.28999999165500001</v>
      </c>
      <c r="G13" s="5">
        <v>0.30000001192100001</v>
      </c>
      <c r="H13" s="18">
        <v>0</v>
      </c>
      <c r="I13" s="18">
        <v>0.27000001072899998</v>
      </c>
      <c r="J13" s="2">
        <v>0.47999998927100002</v>
      </c>
      <c r="K13" s="2">
        <v>0</v>
      </c>
      <c r="L13" s="2">
        <v>7.0000000298000006E-2</v>
      </c>
      <c r="M13" s="2">
        <v>0.119999997318</v>
      </c>
      <c r="N13" s="2">
        <v>0</v>
      </c>
      <c r="O13" s="2">
        <v>0.18000000715299999</v>
      </c>
      <c r="P13" s="2">
        <v>0</v>
      </c>
      <c r="Q13" s="2">
        <v>2.99999993294E-2</v>
      </c>
      <c r="R13" s="2">
        <v>9.9999997764800008E-3</v>
      </c>
      <c r="S13" s="2">
        <v>1.9999999553000001E-2</v>
      </c>
      <c r="T13" s="2">
        <v>0</v>
      </c>
      <c r="U13" s="2">
        <v>0.30000001192100001</v>
      </c>
      <c r="V13" s="2">
        <v>0.20999999344299999</v>
      </c>
      <c r="W13" s="144">
        <v>0.10000000149</v>
      </c>
      <c r="X13" s="2">
        <v>0</v>
      </c>
      <c r="Y13" s="2">
        <v>0</v>
      </c>
      <c r="Z13" s="2">
        <v>0.189999997616</v>
      </c>
      <c r="AA13" s="2">
        <v>0.219999998808</v>
      </c>
      <c r="AB13" s="2">
        <v>0</v>
      </c>
      <c r="AC13" s="2">
        <v>0</v>
      </c>
      <c r="AD13" s="2">
        <v>0</v>
      </c>
      <c r="AE13" s="18">
        <v>0.189999997616</v>
      </c>
      <c r="AF13" s="18">
        <v>0.109999999404</v>
      </c>
      <c r="AG13" s="18">
        <v>0</v>
      </c>
      <c r="AJ13">
        <v>2</v>
      </c>
      <c r="AK13">
        <v>9</v>
      </c>
      <c r="AL13">
        <v>28</v>
      </c>
      <c r="AM13">
        <v>75</v>
      </c>
      <c r="AN13">
        <v>49</v>
      </c>
      <c r="AO13">
        <v>52</v>
      </c>
      <c r="AP13">
        <v>171</v>
      </c>
      <c r="AQ13">
        <v>18</v>
      </c>
      <c r="AR13">
        <v>124</v>
      </c>
      <c r="AS13">
        <v>123</v>
      </c>
      <c r="AT13">
        <v>108</v>
      </c>
      <c r="AU13">
        <v>82</v>
      </c>
      <c r="AV13">
        <v>135</v>
      </c>
      <c r="AW13">
        <v>0.5</v>
      </c>
      <c r="AX13" s="18">
        <v>7.9297109999999993</v>
      </c>
      <c r="AY13">
        <v>7.9297109999999993</v>
      </c>
      <c r="AZ13">
        <v>9</v>
      </c>
      <c r="BA13">
        <v>0</v>
      </c>
      <c r="BB13">
        <v>8</v>
      </c>
      <c r="BC13">
        <v>0</v>
      </c>
      <c r="BD13" s="21">
        <f t="shared" si="0"/>
        <v>8.5</v>
      </c>
      <c r="BE13" s="18">
        <f t="shared" si="1"/>
        <v>0</v>
      </c>
    </row>
    <row r="14" spans="1:57" x14ac:dyDescent="0.2">
      <c r="B14" s="3" t="s">
        <v>11</v>
      </c>
      <c r="C14" s="3">
        <v>2</v>
      </c>
      <c r="D14" s="68">
        <v>2</v>
      </c>
      <c r="E14" s="3">
        <v>0.51</v>
      </c>
      <c r="F14" s="154">
        <v>0.68</v>
      </c>
      <c r="G14" s="5">
        <v>0.41</v>
      </c>
      <c r="H14" s="18">
        <v>1</v>
      </c>
      <c r="I14" s="18">
        <v>0.48</v>
      </c>
      <c r="J14" s="2">
        <v>0.28000000000000003</v>
      </c>
      <c r="K14" s="2">
        <v>0.27</v>
      </c>
      <c r="L14" s="2">
        <v>0.9</v>
      </c>
      <c r="M14" s="2">
        <v>0</v>
      </c>
      <c r="N14" s="2">
        <v>0.03</v>
      </c>
      <c r="O14" s="2">
        <v>0</v>
      </c>
      <c r="P14" s="2">
        <v>0.08</v>
      </c>
      <c r="Q14" s="2">
        <v>0.15</v>
      </c>
      <c r="R14" s="2">
        <v>0.28999999999999998</v>
      </c>
      <c r="S14" s="2">
        <v>0.18</v>
      </c>
      <c r="T14" s="2">
        <v>0</v>
      </c>
      <c r="U14" s="2">
        <v>0</v>
      </c>
      <c r="V14" s="2">
        <v>0.41</v>
      </c>
      <c r="W14" s="144">
        <v>0.11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0.23</v>
      </c>
      <c r="AD14" s="2">
        <v>0</v>
      </c>
      <c r="AE14" s="18">
        <v>0</v>
      </c>
      <c r="AF14" s="18">
        <v>0.22</v>
      </c>
      <c r="AG14" s="18">
        <v>0</v>
      </c>
      <c r="AJ14">
        <v>0</v>
      </c>
      <c r="AK14">
        <v>12</v>
      </c>
      <c r="AL14">
        <v>23</v>
      </c>
      <c r="AM14">
        <v>49</v>
      </c>
      <c r="AN14">
        <v>56</v>
      </c>
      <c r="AO14">
        <v>30</v>
      </c>
      <c r="AP14">
        <v>177</v>
      </c>
      <c r="AQ14">
        <v>21</v>
      </c>
      <c r="AR14">
        <v>126</v>
      </c>
      <c r="AS14">
        <v>121</v>
      </c>
      <c r="AT14">
        <v>142</v>
      </c>
      <c r="AU14">
        <v>79</v>
      </c>
      <c r="AV14">
        <v>148</v>
      </c>
      <c r="AW14">
        <v>0</v>
      </c>
      <c r="AX14" s="18">
        <v>9.9090329999999973</v>
      </c>
      <c r="AY14">
        <v>9.9090329999999973</v>
      </c>
      <c r="AZ14">
        <v>4</v>
      </c>
      <c r="BA14">
        <v>0</v>
      </c>
      <c r="BB14">
        <v>4</v>
      </c>
      <c r="BC14">
        <v>0</v>
      </c>
      <c r="BD14" s="21">
        <f t="shared" si="0"/>
        <v>4</v>
      </c>
      <c r="BE14" s="18">
        <f t="shared" si="1"/>
        <v>0</v>
      </c>
    </row>
    <row r="15" spans="1:57" x14ac:dyDescent="0.2">
      <c r="B15" s="3" t="s">
        <v>12</v>
      </c>
      <c r="C15" s="3">
        <v>1</v>
      </c>
      <c r="D15" s="68">
        <v>1</v>
      </c>
      <c r="E15" s="3">
        <v>0.58999997377400004</v>
      </c>
      <c r="F15" s="154">
        <v>0.17000000178800001</v>
      </c>
      <c r="G15" s="5">
        <v>0</v>
      </c>
      <c r="H15" s="18">
        <v>0.95999997854200003</v>
      </c>
      <c r="I15" s="18">
        <v>0.239999994636</v>
      </c>
      <c r="J15" s="2">
        <v>0</v>
      </c>
      <c r="K15" s="2">
        <v>3.9999999105899998E-2</v>
      </c>
      <c r="L15" s="2">
        <v>0.63999998569500005</v>
      </c>
      <c r="M15" s="2">
        <v>0</v>
      </c>
      <c r="N15" s="2">
        <v>0.55000001192100001</v>
      </c>
      <c r="O15" s="2">
        <v>7.0000000298000006E-2</v>
      </c>
      <c r="P15" s="2">
        <v>9.9999997764800008E-3</v>
      </c>
      <c r="Q15" s="2">
        <v>0</v>
      </c>
      <c r="R15" s="2">
        <v>0.58999997377400004</v>
      </c>
      <c r="S15" s="2">
        <v>0.69999998807899999</v>
      </c>
      <c r="T15" s="2">
        <v>0.86000001430499995</v>
      </c>
      <c r="U15" s="2">
        <v>0</v>
      </c>
      <c r="V15" s="2">
        <v>0.47999998927100002</v>
      </c>
      <c r="W15" s="144">
        <v>0</v>
      </c>
      <c r="X15" s="2">
        <v>0</v>
      </c>
      <c r="Y15" s="2">
        <v>0</v>
      </c>
      <c r="Z15" s="2">
        <v>0</v>
      </c>
      <c r="AA15" s="2">
        <v>5.0000000745099998E-2</v>
      </c>
      <c r="AB15" s="2">
        <v>0</v>
      </c>
      <c r="AC15" s="2">
        <v>0.69999998807899999</v>
      </c>
      <c r="AD15" s="2">
        <v>0.15000000595999999</v>
      </c>
      <c r="AE15" s="18">
        <v>9.9999997764800008E-3</v>
      </c>
      <c r="AF15" s="18">
        <v>0.20999999344299999</v>
      </c>
      <c r="AG15" s="18">
        <v>9.9999997764800008E-3</v>
      </c>
      <c r="AJ15">
        <v>2</v>
      </c>
      <c r="AK15">
        <v>17</v>
      </c>
      <c r="AL15">
        <v>29</v>
      </c>
      <c r="AM15">
        <v>56</v>
      </c>
      <c r="AN15">
        <v>48</v>
      </c>
      <c r="AO15">
        <v>32</v>
      </c>
      <c r="AP15">
        <v>181</v>
      </c>
      <c r="AQ15">
        <v>12</v>
      </c>
      <c r="AR15">
        <v>110</v>
      </c>
      <c r="AS15">
        <v>106</v>
      </c>
      <c r="AT15">
        <v>110</v>
      </c>
      <c r="AU15">
        <v>94</v>
      </c>
      <c r="AV15">
        <v>130</v>
      </c>
      <c r="AW15">
        <v>0</v>
      </c>
      <c r="AX15" s="21">
        <v>-2.0593820000000012</v>
      </c>
      <c r="AZ15">
        <v>14</v>
      </c>
      <c r="BA15">
        <v>0</v>
      </c>
      <c r="BB15">
        <v>12</v>
      </c>
      <c r="BC15">
        <v>0</v>
      </c>
      <c r="BD15" s="21">
        <f t="shared" si="0"/>
        <v>13</v>
      </c>
      <c r="BE15" s="18">
        <f t="shared" si="1"/>
        <v>0</v>
      </c>
    </row>
    <row r="16" spans="1:57" x14ac:dyDescent="0.2">
      <c r="B16" s="3" t="s">
        <v>13</v>
      </c>
      <c r="C16" s="3">
        <v>2</v>
      </c>
      <c r="D16" s="68">
        <v>2</v>
      </c>
      <c r="E16" s="3">
        <v>0.97000002861000001</v>
      </c>
      <c r="F16" s="154">
        <v>0.95999997854200003</v>
      </c>
      <c r="G16" s="5">
        <v>0.95999997854200003</v>
      </c>
      <c r="H16" s="18">
        <v>0.89999997615799998</v>
      </c>
      <c r="I16" s="18">
        <v>1</v>
      </c>
      <c r="J16" s="18">
        <v>0.97000002861000001</v>
      </c>
      <c r="K16" s="18">
        <v>0.87999999523200001</v>
      </c>
      <c r="L16" s="18">
        <v>0.98000001907300005</v>
      </c>
      <c r="M16" s="18">
        <v>1</v>
      </c>
      <c r="N16" s="18">
        <v>0.62999999523200001</v>
      </c>
      <c r="O16" s="18">
        <v>1</v>
      </c>
      <c r="P16" s="18">
        <v>0.93000000715300002</v>
      </c>
      <c r="Q16" s="18">
        <v>0.94999998807899999</v>
      </c>
      <c r="R16" s="18">
        <v>0.83999997377400004</v>
      </c>
      <c r="S16" s="18">
        <v>0.46999999880799997</v>
      </c>
      <c r="T16" s="18">
        <v>0.87000000476799999</v>
      </c>
      <c r="U16" s="18">
        <v>0.439999997616</v>
      </c>
      <c r="V16" s="18">
        <v>0.28000000119200003</v>
      </c>
      <c r="W16" s="144">
        <v>1</v>
      </c>
      <c r="X16" s="18">
        <v>0.98000001907300005</v>
      </c>
      <c r="Y16" s="18">
        <v>2.99999993294E-2</v>
      </c>
      <c r="Z16" s="18">
        <v>0</v>
      </c>
      <c r="AA16" s="18">
        <v>0</v>
      </c>
      <c r="AB16" s="18">
        <v>3.9999999105899998E-2</v>
      </c>
      <c r="AC16" s="18">
        <v>0.18000000715299999</v>
      </c>
      <c r="AD16" s="18">
        <v>0</v>
      </c>
      <c r="AE16" s="18">
        <v>0</v>
      </c>
      <c r="AF16" s="18">
        <v>0</v>
      </c>
      <c r="AG16" s="18">
        <v>0.14000000059600001</v>
      </c>
      <c r="AJ16">
        <v>1</v>
      </c>
      <c r="AK16">
        <v>8</v>
      </c>
      <c r="AL16">
        <v>26</v>
      </c>
      <c r="AM16">
        <v>44</v>
      </c>
      <c r="AN16">
        <v>43</v>
      </c>
      <c r="AO16">
        <v>34</v>
      </c>
      <c r="AP16">
        <v>197</v>
      </c>
      <c r="AQ16">
        <v>19</v>
      </c>
      <c r="AR16">
        <v>121</v>
      </c>
      <c r="AS16">
        <v>109</v>
      </c>
      <c r="AT16">
        <v>111</v>
      </c>
      <c r="AU16">
        <v>49</v>
      </c>
      <c r="AV16">
        <v>156</v>
      </c>
      <c r="AW16">
        <v>16.5</v>
      </c>
      <c r="AX16" s="21">
        <v>-4.1468199999999982</v>
      </c>
      <c r="AZ16">
        <v>16</v>
      </c>
      <c r="BA16">
        <v>0</v>
      </c>
      <c r="BB16">
        <v>13</v>
      </c>
      <c r="BC16">
        <v>0</v>
      </c>
      <c r="BD16" s="21">
        <f t="shared" si="0"/>
        <v>14.5</v>
      </c>
      <c r="BE16" s="18">
        <f t="shared" si="1"/>
        <v>0</v>
      </c>
    </row>
    <row r="17" spans="1:67" x14ac:dyDescent="0.2">
      <c r="B17" s="3" t="s">
        <v>14</v>
      </c>
      <c r="C17" s="3">
        <v>1</v>
      </c>
      <c r="D17" s="68">
        <v>1</v>
      </c>
      <c r="E17" s="3">
        <v>0.54000002145799997</v>
      </c>
      <c r="F17" s="154">
        <v>0.69999998807899999</v>
      </c>
      <c r="G17" s="5">
        <v>0.68999999761599995</v>
      </c>
      <c r="H17" s="18">
        <v>0.27000001072899998</v>
      </c>
      <c r="I17" s="18">
        <v>0.40999999642399998</v>
      </c>
      <c r="J17" s="2">
        <v>0.76999998092699995</v>
      </c>
      <c r="K17" s="2">
        <v>0.75</v>
      </c>
      <c r="L17" s="2">
        <v>0.15000000595999999</v>
      </c>
      <c r="M17" s="2">
        <v>0.33000001311299998</v>
      </c>
      <c r="N17" s="2">
        <v>9.9999997764800008E-3</v>
      </c>
      <c r="O17" s="2">
        <v>0.44999998807899999</v>
      </c>
      <c r="P17" s="2">
        <v>0.43000000715300002</v>
      </c>
      <c r="Q17" s="2">
        <v>0.54000002145799997</v>
      </c>
      <c r="R17" s="2">
        <v>0.12999999523200001</v>
      </c>
      <c r="S17" s="2">
        <v>0.93000000715300002</v>
      </c>
      <c r="T17" s="2">
        <v>1.9999999553000001E-2</v>
      </c>
      <c r="U17" s="2">
        <v>9.0000003576300003E-2</v>
      </c>
      <c r="V17" s="2">
        <v>0.56000000238400005</v>
      </c>
      <c r="W17" s="144">
        <v>0.119999997318</v>
      </c>
      <c r="X17" s="2">
        <v>1.9999999553000001E-2</v>
      </c>
      <c r="Y17" s="2">
        <v>9.9999997764800008E-3</v>
      </c>
      <c r="Z17" s="2">
        <v>3.9999999105899998E-2</v>
      </c>
      <c r="AA17" s="2">
        <v>9.9999997764800008E-3</v>
      </c>
      <c r="AB17" s="2">
        <v>9.9999997764800008E-3</v>
      </c>
      <c r="AC17" s="2">
        <v>0.10000000149</v>
      </c>
      <c r="AD17" s="2">
        <v>1.9999999553000001E-2</v>
      </c>
      <c r="AE17" s="18">
        <v>1.9999999553000001E-2</v>
      </c>
      <c r="AF17" s="18">
        <v>0</v>
      </c>
      <c r="AG17" s="18">
        <v>0.239999994636</v>
      </c>
      <c r="AJ17">
        <v>4</v>
      </c>
      <c r="AK17">
        <v>17</v>
      </c>
      <c r="AL17">
        <v>38</v>
      </c>
      <c r="AM17">
        <v>63</v>
      </c>
      <c r="AN17">
        <v>44</v>
      </c>
      <c r="AO17">
        <v>35</v>
      </c>
      <c r="AP17">
        <v>168</v>
      </c>
      <c r="AQ17">
        <v>11</v>
      </c>
      <c r="AR17">
        <v>127</v>
      </c>
      <c r="AS17">
        <v>128</v>
      </c>
      <c r="AT17">
        <v>115</v>
      </c>
      <c r="AU17">
        <v>93</v>
      </c>
      <c r="AV17">
        <v>130</v>
      </c>
      <c r="AW17">
        <v>3.5</v>
      </c>
      <c r="AX17" s="18">
        <v>4.1603934999999979</v>
      </c>
      <c r="AY17">
        <v>4.1603934999999979</v>
      </c>
      <c r="AZ17">
        <v>11</v>
      </c>
      <c r="BA17">
        <v>0</v>
      </c>
      <c r="BB17">
        <v>10</v>
      </c>
      <c r="BC17">
        <v>0</v>
      </c>
      <c r="BD17" s="21">
        <f t="shared" si="0"/>
        <v>10.5</v>
      </c>
      <c r="BE17" s="18">
        <f t="shared" si="1"/>
        <v>0</v>
      </c>
    </row>
    <row r="18" spans="1:67" x14ac:dyDescent="0.2">
      <c r="B18" s="3" t="s">
        <v>15</v>
      </c>
      <c r="C18" s="3">
        <v>2</v>
      </c>
      <c r="D18" s="68">
        <v>2</v>
      </c>
      <c r="E18" s="3">
        <v>0.61000001430499995</v>
      </c>
      <c r="F18" s="154">
        <v>0.85000002384200002</v>
      </c>
      <c r="G18" s="5">
        <v>0.99000000953699996</v>
      </c>
      <c r="H18" s="18">
        <v>0.829999983311</v>
      </c>
      <c r="I18" s="18">
        <v>1</v>
      </c>
      <c r="J18" s="2">
        <v>0.670000016689</v>
      </c>
      <c r="K18" s="2">
        <v>0.83999997377400004</v>
      </c>
      <c r="L18" s="2">
        <v>0.99000000953699996</v>
      </c>
      <c r="M18" s="2">
        <v>0.81999999284699998</v>
      </c>
      <c r="N18" s="2">
        <v>0.83999997377400004</v>
      </c>
      <c r="O18" s="2">
        <v>0.81999999284699998</v>
      </c>
      <c r="P18" s="2">
        <v>0.56000000238400005</v>
      </c>
      <c r="Q18" s="2">
        <v>0.81000000238400005</v>
      </c>
      <c r="R18" s="2">
        <v>1</v>
      </c>
      <c r="S18" s="2">
        <v>0.60000002384200002</v>
      </c>
      <c r="T18" s="2">
        <v>0.34000000357600002</v>
      </c>
      <c r="U18" s="2">
        <v>0.98000001907300005</v>
      </c>
      <c r="V18" s="2">
        <v>0.81999999284699998</v>
      </c>
      <c r="W18" s="144">
        <v>0.83999997377400004</v>
      </c>
      <c r="X18" s="2">
        <v>0.47999998927100002</v>
      </c>
      <c r="Y18" s="2">
        <v>0.58999997377400004</v>
      </c>
      <c r="Z18" s="2">
        <v>0.81000000238400005</v>
      </c>
      <c r="AA18" s="2">
        <v>0.49000000953700001</v>
      </c>
      <c r="AB18" s="2">
        <v>0.58999997377400004</v>
      </c>
      <c r="AC18" s="2">
        <v>5.9999998658900003E-2</v>
      </c>
      <c r="AD18" s="2">
        <v>0.37000000476799999</v>
      </c>
      <c r="AE18" s="18">
        <v>0.47999998927100002</v>
      </c>
      <c r="AF18" s="18">
        <v>0</v>
      </c>
      <c r="AG18" s="18">
        <v>0</v>
      </c>
      <c r="AJ18">
        <v>0</v>
      </c>
      <c r="AK18">
        <v>9</v>
      </c>
      <c r="AL18">
        <v>24</v>
      </c>
      <c r="AM18">
        <v>55</v>
      </c>
      <c r="AN18">
        <v>42</v>
      </c>
      <c r="AO18">
        <v>27</v>
      </c>
      <c r="AP18">
        <v>215</v>
      </c>
      <c r="AQ18">
        <v>18</v>
      </c>
      <c r="AR18">
        <v>103</v>
      </c>
      <c r="AS18">
        <v>90</v>
      </c>
      <c r="AT18">
        <v>127</v>
      </c>
      <c r="AU18">
        <v>52</v>
      </c>
      <c r="AV18">
        <v>128</v>
      </c>
      <c r="AW18">
        <v>10</v>
      </c>
      <c r="AX18" s="18">
        <v>4.1674860000000002</v>
      </c>
      <c r="AY18">
        <v>4.1674860000000002</v>
      </c>
      <c r="AZ18">
        <v>10</v>
      </c>
      <c r="BA18">
        <v>0</v>
      </c>
      <c r="BB18">
        <v>10</v>
      </c>
      <c r="BC18">
        <v>0</v>
      </c>
      <c r="BD18" s="21">
        <f t="shared" si="0"/>
        <v>10</v>
      </c>
      <c r="BE18" s="18">
        <f t="shared" si="1"/>
        <v>0</v>
      </c>
    </row>
    <row r="19" spans="1:67" x14ac:dyDescent="0.2">
      <c r="B19" s="3" t="s">
        <v>16</v>
      </c>
      <c r="C19" s="3">
        <v>1</v>
      </c>
      <c r="D19" s="68">
        <v>1</v>
      </c>
      <c r="E19" s="3">
        <v>0.920000016689</v>
      </c>
      <c r="F19" s="154">
        <v>1</v>
      </c>
      <c r="G19" s="5">
        <v>1</v>
      </c>
      <c r="H19" s="18">
        <v>1</v>
      </c>
      <c r="I19" s="18">
        <v>1</v>
      </c>
      <c r="J19" s="2">
        <v>0.49000000953700001</v>
      </c>
      <c r="K19" s="2">
        <v>0.10000000149</v>
      </c>
      <c r="L19" s="2">
        <v>1</v>
      </c>
      <c r="M19" s="2">
        <v>0.219999998808</v>
      </c>
      <c r="N19" s="2">
        <v>0</v>
      </c>
      <c r="O19" s="2">
        <v>0</v>
      </c>
      <c r="P19" s="2">
        <v>1</v>
      </c>
      <c r="Q19" s="2">
        <v>1</v>
      </c>
      <c r="R19" s="2">
        <v>0.88999998569500005</v>
      </c>
      <c r="S19" s="2">
        <v>0</v>
      </c>
      <c r="T19" s="2">
        <v>0.5</v>
      </c>
      <c r="U19" s="2">
        <v>0.10000000149</v>
      </c>
      <c r="V19" s="2">
        <v>1</v>
      </c>
      <c r="W19" s="144">
        <v>1</v>
      </c>
      <c r="X19" s="2">
        <v>0.81000000238400005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18">
        <v>0</v>
      </c>
      <c r="AF19" s="18">
        <v>0</v>
      </c>
      <c r="AG19" s="18">
        <v>2.99999993294E-2</v>
      </c>
      <c r="AJ19">
        <v>4</v>
      </c>
      <c r="AK19">
        <v>5</v>
      </c>
      <c r="AL19">
        <v>27</v>
      </c>
      <c r="AM19">
        <v>89</v>
      </c>
      <c r="AN19">
        <v>48</v>
      </c>
      <c r="AO19">
        <v>31</v>
      </c>
      <c r="AP19">
        <v>215</v>
      </c>
      <c r="AQ19">
        <v>19</v>
      </c>
      <c r="AR19">
        <v>120</v>
      </c>
      <c r="AS19">
        <v>121</v>
      </c>
      <c r="AT19">
        <v>125</v>
      </c>
      <c r="AU19">
        <v>58</v>
      </c>
      <c r="AV19">
        <v>152</v>
      </c>
      <c r="AW19">
        <v>20</v>
      </c>
      <c r="AX19" s="18">
        <v>5.3466725000000004</v>
      </c>
      <c r="AY19">
        <v>5.3466725000000004</v>
      </c>
      <c r="AZ19">
        <v>19</v>
      </c>
      <c r="BA19">
        <v>0</v>
      </c>
      <c r="BB19">
        <v>18</v>
      </c>
      <c r="BC19">
        <v>0</v>
      </c>
      <c r="BD19" s="21">
        <f t="shared" si="0"/>
        <v>18.5</v>
      </c>
      <c r="BE19" s="18">
        <f t="shared" si="1"/>
        <v>0</v>
      </c>
    </row>
    <row r="20" spans="1:67" x14ac:dyDescent="0.2">
      <c r="B20" s="3" t="s">
        <v>17</v>
      </c>
      <c r="C20" s="3">
        <v>2</v>
      </c>
      <c r="D20" s="68">
        <v>2</v>
      </c>
      <c r="E20" s="3">
        <v>0.75999999046300004</v>
      </c>
      <c r="F20" s="154">
        <v>0.76999998092699995</v>
      </c>
      <c r="G20" s="5">
        <v>0.75999999046300004</v>
      </c>
      <c r="H20" s="18">
        <v>0.920000016689</v>
      </c>
      <c r="I20" s="18">
        <v>0.88999998569500005</v>
      </c>
      <c r="J20" s="2">
        <v>0.5</v>
      </c>
      <c r="K20" s="2">
        <v>1</v>
      </c>
      <c r="L20" s="2">
        <v>0.77999997138999999</v>
      </c>
      <c r="M20" s="2">
        <v>1</v>
      </c>
      <c r="N20" s="2">
        <v>0.89999997615799998</v>
      </c>
      <c r="O20" s="2">
        <v>1</v>
      </c>
      <c r="P20" s="2">
        <v>0.88999998569500005</v>
      </c>
      <c r="Q20" s="2">
        <v>0.68999999761599995</v>
      </c>
      <c r="R20" s="2">
        <v>0.77999997138999999</v>
      </c>
      <c r="S20" s="2">
        <v>0.51999998092699995</v>
      </c>
      <c r="T20" s="2">
        <v>0.91000002622599996</v>
      </c>
      <c r="U20" s="2">
        <v>0.5</v>
      </c>
      <c r="V20" s="2">
        <v>0.87000000476799999</v>
      </c>
      <c r="W20" s="144">
        <v>0.83999997377400004</v>
      </c>
      <c r="X20" s="2">
        <v>0.20000000298000001</v>
      </c>
      <c r="Y20" s="2">
        <v>0.83999997377400004</v>
      </c>
      <c r="Z20" s="2">
        <v>0.88999998569500005</v>
      </c>
      <c r="AA20" s="2">
        <v>0.51999998092699995</v>
      </c>
      <c r="AB20" s="2">
        <v>0.28999999165500001</v>
      </c>
      <c r="AC20" s="2">
        <v>0</v>
      </c>
      <c r="AD20" s="2">
        <v>0</v>
      </c>
      <c r="AE20" s="18">
        <v>0</v>
      </c>
      <c r="AF20" s="18">
        <v>0.27000001072899998</v>
      </c>
      <c r="AG20" s="18">
        <v>0</v>
      </c>
      <c r="AJ20">
        <v>7</v>
      </c>
      <c r="AK20">
        <v>13</v>
      </c>
      <c r="AL20">
        <v>33</v>
      </c>
      <c r="AM20">
        <v>76</v>
      </c>
      <c r="AN20">
        <v>43</v>
      </c>
      <c r="AO20">
        <v>43</v>
      </c>
      <c r="AP20">
        <v>175</v>
      </c>
      <c r="AQ20">
        <v>15</v>
      </c>
      <c r="AR20">
        <v>113</v>
      </c>
      <c r="AS20">
        <v>106</v>
      </c>
      <c r="AT20">
        <v>122</v>
      </c>
      <c r="AU20">
        <v>86</v>
      </c>
      <c r="AV20">
        <v>128</v>
      </c>
      <c r="AW20">
        <v>6</v>
      </c>
      <c r="AX20" s="18">
        <v>8.3129474999999964</v>
      </c>
      <c r="AY20">
        <v>8.3129474999999964</v>
      </c>
      <c r="AZ20">
        <v>14</v>
      </c>
      <c r="BA20">
        <v>0</v>
      </c>
      <c r="BB20">
        <v>15</v>
      </c>
      <c r="BC20">
        <v>0</v>
      </c>
      <c r="BD20" s="21">
        <f t="shared" si="0"/>
        <v>14.5</v>
      </c>
      <c r="BE20" s="18">
        <f t="shared" si="1"/>
        <v>0</v>
      </c>
    </row>
    <row r="21" spans="1:67" x14ac:dyDescent="0.2">
      <c r="B21" s="3" t="s">
        <v>18</v>
      </c>
      <c r="C21" s="3">
        <v>1</v>
      </c>
      <c r="D21" s="68">
        <v>1</v>
      </c>
      <c r="E21" s="3">
        <v>1</v>
      </c>
      <c r="F21" s="154">
        <v>1</v>
      </c>
      <c r="G21" s="5">
        <v>1</v>
      </c>
      <c r="H21" s="18">
        <v>1</v>
      </c>
      <c r="I21" s="18">
        <v>0.95</v>
      </c>
      <c r="J21" s="2">
        <v>0.98</v>
      </c>
      <c r="K21" s="2">
        <v>1</v>
      </c>
      <c r="L21" s="2">
        <v>1</v>
      </c>
      <c r="M21" s="2">
        <v>0.87</v>
      </c>
      <c r="N21" s="2">
        <v>1</v>
      </c>
      <c r="O21" s="2">
        <v>1</v>
      </c>
      <c r="P21" s="2">
        <v>0.88</v>
      </c>
      <c r="Q21" s="2">
        <v>0.96</v>
      </c>
      <c r="R21" s="2">
        <v>1</v>
      </c>
      <c r="S21" s="2">
        <v>0.77</v>
      </c>
      <c r="T21" s="2">
        <v>0.87</v>
      </c>
      <c r="U21" s="2">
        <v>0.9</v>
      </c>
      <c r="V21" s="2">
        <v>0.45</v>
      </c>
      <c r="W21" s="144">
        <v>0.94</v>
      </c>
      <c r="X21" s="2">
        <v>0.63</v>
      </c>
      <c r="Y21" s="2">
        <v>0.84</v>
      </c>
      <c r="Z21" s="2">
        <v>0.62</v>
      </c>
      <c r="AA21" s="2">
        <v>0.08</v>
      </c>
      <c r="AB21" s="2">
        <v>0.93</v>
      </c>
      <c r="AC21" s="2">
        <v>0</v>
      </c>
      <c r="AD21" s="2">
        <v>0.05</v>
      </c>
      <c r="AE21" s="18">
        <v>0</v>
      </c>
      <c r="AF21" s="18">
        <v>0</v>
      </c>
      <c r="AG21" s="18">
        <v>0</v>
      </c>
      <c r="AJ21">
        <v>3</v>
      </c>
      <c r="AK21">
        <v>9</v>
      </c>
      <c r="AL21">
        <v>27</v>
      </c>
      <c r="AM21">
        <v>18</v>
      </c>
      <c r="AN21">
        <v>41</v>
      </c>
      <c r="AO21">
        <v>33</v>
      </c>
      <c r="AP21">
        <v>196</v>
      </c>
      <c r="AQ21">
        <v>15</v>
      </c>
      <c r="AR21">
        <v>104</v>
      </c>
      <c r="AS21">
        <v>127</v>
      </c>
      <c r="AT21">
        <v>106</v>
      </c>
      <c r="AU21">
        <v>58</v>
      </c>
      <c r="AV21">
        <v>89</v>
      </c>
      <c r="AW21">
        <v>13</v>
      </c>
      <c r="AX21" s="18">
        <v>1.4674665000000005</v>
      </c>
      <c r="AY21">
        <v>1.4674665000000005</v>
      </c>
      <c r="AZ21">
        <v>19</v>
      </c>
      <c r="BA21">
        <v>0</v>
      </c>
      <c r="BB21">
        <v>18</v>
      </c>
      <c r="BC21">
        <v>0</v>
      </c>
      <c r="BD21" s="21">
        <f t="shared" si="0"/>
        <v>18.5</v>
      </c>
      <c r="BE21" s="18">
        <f t="shared" si="1"/>
        <v>0</v>
      </c>
    </row>
    <row r="22" spans="1:67" ht="16" thickBot="1" x14ac:dyDescent="0.25">
      <c r="B22" s="3" t="s">
        <v>19</v>
      </c>
      <c r="C22" s="3">
        <v>2</v>
      </c>
      <c r="D22" s="68">
        <v>2</v>
      </c>
      <c r="E22" s="3">
        <v>0.61000001430499995</v>
      </c>
      <c r="F22" s="154">
        <v>0.88999998569500005</v>
      </c>
      <c r="G22" s="5">
        <v>0.56000000238400005</v>
      </c>
      <c r="H22" s="18">
        <v>0.99000000953699996</v>
      </c>
      <c r="I22" s="18">
        <v>0.81999999284699998</v>
      </c>
      <c r="J22" s="18">
        <v>0.56999999284699998</v>
      </c>
      <c r="K22" s="18">
        <v>0.63999998569500005</v>
      </c>
      <c r="L22" s="18">
        <v>0.439999997616</v>
      </c>
      <c r="M22" s="18">
        <v>0.87999999523200001</v>
      </c>
      <c r="N22" s="18">
        <v>0.46000000834499999</v>
      </c>
      <c r="O22" s="18">
        <v>0.73000001907300005</v>
      </c>
      <c r="P22" s="18">
        <v>0.37000000476799999</v>
      </c>
      <c r="Q22" s="18">
        <v>0.89999997615799998</v>
      </c>
      <c r="R22" s="18">
        <v>0.54000002145799997</v>
      </c>
      <c r="S22" s="18">
        <v>0.14000000059600001</v>
      </c>
      <c r="T22" s="18">
        <v>0.95999997854200003</v>
      </c>
      <c r="U22" s="18">
        <v>0.81999999284699998</v>
      </c>
      <c r="V22" s="18">
        <v>0.5</v>
      </c>
      <c r="W22" s="144">
        <v>0.58999997377400004</v>
      </c>
      <c r="X22" s="18">
        <v>0.99000000953699996</v>
      </c>
      <c r="Y22" s="18">
        <v>0.50999999046300004</v>
      </c>
      <c r="Z22" s="18">
        <v>0.49000000953700001</v>
      </c>
      <c r="AA22" s="18">
        <v>0.74000000953699996</v>
      </c>
      <c r="AB22" s="18">
        <v>0.76999998092699995</v>
      </c>
      <c r="AC22" s="18">
        <v>0.109999999404</v>
      </c>
      <c r="AD22" s="18">
        <v>9.0000003576300003E-2</v>
      </c>
      <c r="AE22" s="18">
        <v>3.9999999105899998E-2</v>
      </c>
      <c r="AF22" s="18">
        <v>0</v>
      </c>
      <c r="AG22" s="18">
        <v>5.0000000745099998E-2</v>
      </c>
      <c r="AJ22">
        <v>3</v>
      </c>
      <c r="AK22">
        <v>13</v>
      </c>
      <c r="AL22">
        <v>29</v>
      </c>
      <c r="AM22">
        <v>65</v>
      </c>
      <c r="AN22">
        <v>39</v>
      </c>
      <c r="AO22">
        <v>41</v>
      </c>
      <c r="AP22">
        <v>164</v>
      </c>
      <c r="AQ22">
        <v>17</v>
      </c>
      <c r="AR22">
        <v>115</v>
      </c>
      <c r="AS22">
        <v>148</v>
      </c>
      <c r="AT22">
        <v>126</v>
      </c>
      <c r="AU22">
        <v>53</v>
      </c>
      <c r="AV22">
        <v>132</v>
      </c>
      <c r="AW22">
        <v>3.5</v>
      </c>
      <c r="AX22" s="18">
        <v>0.28224700000000169</v>
      </c>
      <c r="AY22">
        <v>0.28224700000000169</v>
      </c>
      <c r="AZ22">
        <v>15</v>
      </c>
      <c r="BA22">
        <v>1</v>
      </c>
      <c r="BB22">
        <v>16</v>
      </c>
      <c r="BC22">
        <v>0</v>
      </c>
      <c r="BD22" s="21">
        <f t="shared" si="0"/>
        <v>15.5</v>
      </c>
      <c r="BE22" s="18">
        <f t="shared" si="1"/>
        <v>0.5</v>
      </c>
    </row>
    <row r="23" spans="1:67" s="6" customFormat="1" ht="16" thickBot="1" x14ac:dyDescent="0.25">
      <c r="A23" s="4"/>
      <c r="B23" s="4" t="s">
        <v>52</v>
      </c>
      <c r="C23" s="4"/>
      <c r="D23" s="67"/>
      <c r="E23" s="4">
        <f t="shared" ref="E23:AG23" si="2">AVERAGE(E3:E22)</f>
        <v>0.69500000545374996</v>
      </c>
      <c r="F23" s="6">
        <f t="shared" si="2"/>
        <v>0.73549999794365006</v>
      </c>
      <c r="G23" s="6">
        <f t="shared" si="2"/>
        <v>0.69099999845030002</v>
      </c>
      <c r="H23" s="6">
        <f t="shared" si="2"/>
        <v>0.67599999982119996</v>
      </c>
      <c r="I23" s="6">
        <f t="shared" si="2"/>
        <v>0.63199999944869512</v>
      </c>
      <c r="J23" s="6">
        <f t="shared" si="2"/>
        <v>0.6285000014901001</v>
      </c>
      <c r="K23" s="6">
        <f t="shared" si="2"/>
        <v>0.62749999915064003</v>
      </c>
      <c r="L23" s="6">
        <f t="shared" si="2"/>
        <v>0.62199999828635011</v>
      </c>
      <c r="M23" s="6">
        <f t="shared" si="2"/>
        <v>0.62100000022354984</v>
      </c>
      <c r="N23" s="6">
        <f t="shared" si="2"/>
        <v>0.61599999969082408</v>
      </c>
      <c r="O23" s="6">
        <f t="shared" si="2"/>
        <v>0.58200000239904992</v>
      </c>
      <c r="P23" s="6">
        <f t="shared" si="2"/>
        <v>0.55200000019747408</v>
      </c>
      <c r="Q23" s="6">
        <f t="shared" si="2"/>
        <v>0.54699999662867005</v>
      </c>
      <c r="R23" s="6">
        <f t="shared" si="2"/>
        <v>0.544999995756974</v>
      </c>
      <c r="S23" s="6">
        <f t="shared" si="2"/>
        <v>0.53100000006710002</v>
      </c>
      <c r="T23" s="6">
        <f t="shared" si="2"/>
        <v>0.52150000111009986</v>
      </c>
      <c r="U23" s="6">
        <f t="shared" si="2"/>
        <v>0.50950000251826499</v>
      </c>
      <c r="V23" s="6">
        <f t="shared" si="2"/>
        <v>0.50799999916545002</v>
      </c>
      <c r="W23" s="6">
        <f t="shared" si="2"/>
        <v>0.44749999623000003</v>
      </c>
      <c r="X23" s="6">
        <f t="shared" si="2"/>
        <v>0.41750000000740001</v>
      </c>
      <c r="Y23" s="6">
        <f t="shared" si="2"/>
        <v>0.38899999685584397</v>
      </c>
      <c r="Z23" s="6">
        <f t="shared" si="2"/>
        <v>0.376999999865895</v>
      </c>
      <c r="AA23" s="6">
        <f t="shared" si="2"/>
        <v>0.34649999934067899</v>
      </c>
      <c r="AB23" s="6">
        <f t="shared" si="2"/>
        <v>0.27349999700861893</v>
      </c>
      <c r="AC23" s="6">
        <f t="shared" si="2"/>
        <v>0.19100000002606901</v>
      </c>
      <c r="AD23" s="6">
        <f t="shared" si="2"/>
        <v>0.18400000108777001</v>
      </c>
      <c r="AE23" s="6">
        <f t="shared" si="2"/>
        <v>0.17249999920651898</v>
      </c>
      <c r="AF23" s="6">
        <f t="shared" si="2"/>
        <v>0.11049999943375</v>
      </c>
      <c r="AG23" s="6">
        <f t="shared" si="2"/>
        <v>0.10799999989197298</v>
      </c>
      <c r="AH23" s="4"/>
      <c r="AI23" s="4"/>
    </row>
    <row r="24" spans="1:67" s="6" customFormat="1" ht="16" thickBot="1" x14ac:dyDescent="0.25">
      <c r="A24" s="4"/>
      <c r="B24" s="4" t="s">
        <v>53</v>
      </c>
      <c r="C24" s="4"/>
      <c r="D24" s="67"/>
      <c r="E24" s="4">
        <f t="shared" ref="E24:AG24" si="3">STDEV(E3:E22)</f>
        <v>0.22137132501107398</v>
      </c>
      <c r="F24" s="6">
        <f t="shared" si="3"/>
        <v>0.293301980571476</v>
      </c>
      <c r="G24" s="6">
        <f t="shared" si="3"/>
        <v>0.29329166190274325</v>
      </c>
      <c r="H24" s="6">
        <f t="shared" si="3"/>
        <v>0.37687635650248774</v>
      </c>
      <c r="I24" s="6">
        <f t="shared" si="3"/>
        <v>0.35219013936650911</v>
      </c>
      <c r="J24" s="6">
        <f t="shared" si="3"/>
        <v>0.34418897960139694</v>
      </c>
      <c r="K24" s="6">
        <f t="shared" si="3"/>
        <v>0.39349814459640953</v>
      </c>
      <c r="L24" s="6">
        <f t="shared" si="3"/>
        <v>0.3628338756856142</v>
      </c>
      <c r="M24" s="6">
        <f t="shared" si="3"/>
        <v>0.38981642124183769</v>
      </c>
      <c r="N24" s="6">
        <f t="shared" si="3"/>
        <v>0.39713977328183292</v>
      </c>
      <c r="O24" s="6">
        <f t="shared" si="3"/>
        <v>0.38944765226062195</v>
      </c>
      <c r="P24" s="6">
        <f t="shared" si="3"/>
        <v>0.38083840989005896</v>
      </c>
      <c r="Q24" s="6">
        <f t="shared" si="3"/>
        <v>0.36575948206837311</v>
      </c>
      <c r="R24" s="6">
        <f t="shared" si="3"/>
        <v>0.36225172690497975</v>
      </c>
      <c r="S24" s="6">
        <f t="shared" si="3"/>
        <v>0.34131171136563226</v>
      </c>
      <c r="T24" s="6">
        <f t="shared" si="3"/>
        <v>0.41485920237688112</v>
      </c>
      <c r="U24" s="6">
        <f t="shared" si="3"/>
        <v>0.36560656225660298</v>
      </c>
      <c r="V24" s="6">
        <f t="shared" si="3"/>
        <v>0.30869163681843415</v>
      </c>
      <c r="W24" s="6">
        <f t="shared" si="3"/>
        <v>0.41728287452292079</v>
      </c>
      <c r="X24" s="6">
        <f t="shared" si="3"/>
        <v>0.37617010591871314</v>
      </c>
      <c r="Y24" s="6">
        <f t="shared" si="3"/>
        <v>0.3813397410713763</v>
      </c>
      <c r="Z24" s="6">
        <f t="shared" si="3"/>
        <v>0.33020089473176278</v>
      </c>
      <c r="AA24" s="6">
        <f t="shared" si="3"/>
        <v>0.31623234288964192</v>
      </c>
      <c r="AB24" s="6">
        <f t="shared" si="3"/>
        <v>0.36630839511982904</v>
      </c>
      <c r="AC24" s="6">
        <f t="shared" si="3"/>
        <v>0.27565997241796497</v>
      </c>
      <c r="AD24" s="6">
        <f t="shared" si="3"/>
        <v>0.27883970210066056</v>
      </c>
      <c r="AE24" s="6">
        <f t="shared" si="3"/>
        <v>0.30722655738163934</v>
      </c>
      <c r="AF24" s="6">
        <f t="shared" si="3"/>
        <v>0.15288368242076023</v>
      </c>
      <c r="AG24" s="6">
        <f t="shared" si="3"/>
        <v>0.22862518156606068</v>
      </c>
      <c r="AH24" s="4"/>
      <c r="AI24" s="4"/>
    </row>
    <row r="25" spans="1:67" s="6" customFormat="1" ht="16" thickBot="1" x14ac:dyDescent="0.25">
      <c r="A25" s="4"/>
      <c r="B25" s="4" t="s">
        <v>54</v>
      </c>
      <c r="C25" s="4"/>
      <c r="D25" s="67"/>
      <c r="E25" s="4">
        <f t="shared" ref="E25:AG25" si="4">E24/SQRT(20)</f>
        <v>4.9500133099396076E-2</v>
      </c>
      <c r="F25" s="6">
        <f t="shared" si="4"/>
        <v>6.5584316649314287E-2</v>
      </c>
      <c r="G25" s="6">
        <f t="shared" si="4"/>
        <v>6.5582009324841914E-2</v>
      </c>
      <c r="H25" s="6">
        <f t="shared" si="4"/>
        <v>8.4272115225200742E-2</v>
      </c>
      <c r="I25" s="6">
        <f t="shared" si="4"/>
        <v>7.8752109262863912E-2</v>
      </c>
      <c r="J25" s="6">
        <f t="shared" si="4"/>
        <v>7.6962995549501201E-2</v>
      </c>
      <c r="K25" s="6">
        <f t="shared" si="4"/>
        <v>8.7988860033761315E-2</v>
      </c>
      <c r="L25" s="6">
        <f t="shared" si="4"/>
        <v>8.1132121057274145E-2</v>
      </c>
      <c r="M25" s="6">
        <f t="shared" si="4"/>
        <v>8.7165601664244197E-2</v>
      </c>
      <c r="N25" s="6">
        <f t="shared" si="4"/>
        <v>8.8803152962703316E-2</v>
      </c>
      <c r="O25" s="6">
        <f t="shared" si="4"/>
        <v>8.7083142413245024E-2</v>
      </c>
      <c r="P25" s="6">
        <f t="shared" si="4"/>
        <v>8.5158057295709993E-2</v>
      </c>
      <c r="Q25" s="6">
        <f t="shared" si="4"/>
        <v>8.1786306531999767E-2</v>
      </c>
      <c r="R25" s="6">
        <f t="shared" si="4"/>
        <v>8.1001948632622417E-2</v>
      </c>
      <c r="S25" s="6">
        <f t="shared" si="4"/>
        <v>7.6319618813034132E-2</v>
      </c>
      <c r="T25" s="6">
        <f t="shared" si="4"/>
        <v>9.2765337760604846E-2</v>
      </c>
      <c r="U25" s="6">
        <f t="shared" si="4"/>
        <v>8.1752112622577311E-2</v>
      </c>
      <c r="V25" s="6">
        <f t="shared" si="4"/>
        <v>6.9025548401169562E-2</v>
      </c>
      <c r="W25" s="6">
        <f t="shared" si="4"/>
        <v>9.3307287327976593E-2</v>
      </c>
      <c r="X25" s="6">
        <f t="shared" si="4"/>
        <v>8.4114192793753845E-2</v>
      </c>
      <c r="Y25" s="6">
        <f t="shared" si="4"/>
        <v>8.5270158355776587E-2</v>
      </c>
      <c r="Z25" s="6">
        <f t="shared" si="4"/>
        <v>7.3835164685147378E-2</v>
      </c>
      <c r="AA25" s="6">
        <f t="shared" si="4"/>
        <v>7.0711701538526156E-2</v>
      </c>
      <c r="AB25" s="6">
        <f t="shared" si="4"/>
        <v>8.1909047221678993E-2</v>
      </c>
      <c r="AC25" s="6">
        <f t="shared" si="4"/>
        <v>6.1639443700228669E-2</v>
      </c>
      <c r="AD25" s="6">
        <f t="shared" si="4"/>
        <v>6.2350452872286785E-2</v>
      </c>
      <c r="AE25" s="6">
        <f t="shared" si="4"/>
        <v>6.869794667985854E-2</v>
      </c>
      <c r="AF25" s="6">
        <f t="shared" si="4"/>
        <v>3.4185830654330944E-2</v>
      </c>
      <c r="AG25" s="6">
        <f t="shared" si="4"/>
        <v>5.1122144734994351E-2</v>
      </c>
      <c r="AH25" s="4"/>
      <c r="AI25" s="4"/>
    </row>
    <row r="26" spans="1:67" s="5" customFormat="1" ht="16" thickBot="1" x14ac:dyDescent="0.25">
      <c r="E26" s="3" t="s">
        <v>254</v>
      </c>
      <c r="F26" s="69">
        <v>5</v>
      </c>
      <c r="G26" s="70">
        <v>5</v>
      </c>
      <c r="H26" s="21">
        <v>7</v>
      </c>
      <c r="I26" s="78">
        <v>4</v>
      </c>
      <c r="J26" s="70">
        <v>5</v>
      </c>
      <c r="K26" s="70">
        <v>5</v>
      </c>
      <c r="L26" s="21">
        <v>7</v>
      </c>
      <c r="M26" s="77">
        <v>8</v>
      </c>
      <c r="N26" s="77">
        <v>8</v>
      </c>
      <c r="O26" s="77">
        <v>8</v>
      </c>
      <c r="P26" s="76">
        <v>3</v>
      </c>
      <c r="Q26" s="76">
        <v>3</v>
      </c>
      <c r="R26" s="21">
        <v>7</v>
      </c>
      <c r="S26" s="18">
        <v>2</v>
      </c>
      <c r="T26" s="76">
        <v>3</v>
      </c>
      <c r="U26" s="77">
        <v>8</v>
      </c>
      <c r="V26" s="74">
        <v>1</v>
      </c>
      <c r="W26" s="78">
        <v>4</v>
      </c>
      <c r="X26" s="76">
        <v>3</v>
      </c>
      <c r="Y26" s="74">
        <v>1</v>
      </c>
      <c r="Z26" s="74">
        <v>1</v>
      </c>
      <c r="AA26" s="75">
        <v>1</v>
      </c>
      <c r="AB26" s="75">
        <v>1</v>
      </c>
      <c r="AC26" s="71">
        <v>6</v>
      </c>
      <c r="AD26" s="72">
        <v>6</v>
      </c>
      <c r="AE26" s="71">
        <v>6</v>
      </c>
      <c r="AF26" s="71">
        <v>6</v>
      </c>
      <c r="AG26" s="73">
        <v>6</v>
      </c>
    </row>
    <row r="27" spans="1:67" s="6" customFormat="1" ht="16" thickBot="1" x14ac:dyDescent="0.25">
      <c r="A27" s="4"/>
      <c r="B27" s="4" t="s">
        <v>56</v>
      </c>
      <c r="C27" s="4"/>
      <c r="D27" s="67"/>
      <c r="E27" s="4"/>
      <c r="AH27" s="4"/>
      <c r="AI27" s="4"/>
    </row>
    <row r="28" spans="1:67" s="6" customFormat="1" ht="16" thickBot="1" x14ac:dyDescent="0.25">
      <c r="A28" s="4"/>
      <c r="B28" s="4" t="s">
        <v>20</v>
      </c>
      <c r="C28" s="4" t="s">
        <v>21</v>
      </c>
      <c r="D28" s="67" t="s">
        <v>51</v>
      </c>
      <c r="E28" s="4" t="s">
        <v>22</v>
      </c>
      <c r="F28" s="6" t="s">
        <v>26</v>
      </c>
      <c r="G28" s="6" t="s">
        <v>25</v>
      </c>
      <c r="H28" s="6" t="s">
        <v>43</v>
      </c>
      <c r="I28" s="6" t="s">
        <v>41</v>
      </c>
      <c r="J28" s="6" t="s">
        <v>36</v>
      </c>
      <c r="K28" s="6" t="s">
        <v>27</v>
      </c>
      <c r="L28" s="6" t="s">
        <v>24</v>
      </c>
      <c r="M28" s="6" t="s">
        <v>45</v>
      </c>
      <c r="N28" s="6" t="s">
        <v>28</v>
      </c>
      <c r="O28" s="6" t="s">
        <v>44</v>
      </c>
      <c r="P28" s="6" t="s">
        <v>33</v>
      </c>
      <c r="Q28" s="6" t="s">
        <v>48</v>
      </c>
      <c r="R28" s="6" t="s">
        <v>23</v>
      </c>
      <c r="S28" s="6" t="s">
        <v>30</v>
      </c>
      <c r="T28" s="6" t="s">
        <v>31</v>
      </c>
      <c r="U28" s="6" t="s">
        <v>42</v>
      </c>
      <c r="V28" s="6" t="s">
        <v>46</v>
      </c>
      <c r="W28" s="6" t="s">
        <v>29</v>
      </c>
      <c r="X28" s="6" t="s">
        <v>35</v>
      </c>
      <c r="Y28" s="6" t="s">
        <v>49</v>
      </c>
      <c r="Z28" s="6" t="s">
        <v>47</v>
      </c>
      <c r="AA28" s="6" t="s">
        <v>38</v>
      </c>
      <c r="AB28" s="6" t="s">
        <v>50</v>
      </c>
      <c r="AC28" s="6" t="s">
        <v>39</v>
      </c>
      <c r="AD28" s="6" t="s">
        <v>37</v>
      </c>
      <c r="AE28" s="6" t="s">
        <v>34</v>
      </c>
      <c r="AF28" s="6" t="s">
        <v>40</v>
      </c>
      <c r="AG28" s="6" t="s">
        <v>32</v>
      </c>
      <c r="AH28" s="4" t="s">
        <v>52</v>
      </c>
      <c r="AI28" s="4" t="s">
        <v>53</v>
      </c>
      <c r="AJ28" s="7"/>
    </row>
    <row r="29" spans="1:67" x14ac:dyDescent="0.2">
      <c r="B29" s="3" t="s">
        <v>0</v>
      </c>
      <c r="C29" s="3">
        <v>2</v>
      </c>
      <c r="D29" s="68">
        <v>2</v>
      </c>
      <c r="E29" s="3">
        <v>0</v>
      </c>
      <c r="F29" s="5">
        <v>0</v>
      </c>
      <c r="G29" s="5">
        <v>0</v>
      </c>
      <c r="H29" s="18">
        <v>0</v>
      </c>
      <c r="I29" s="18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18">
        <v>0</v>
      </c>
      <c r="AF29" s="18">
        <v>1</v>
      </c>
      <c r="AG29" s="18">
        <v>0</v>
      </c>
      <c r="AV29">
        <v>1</v>
      </c>
      <c r="AW29">
        <v>2</v>
      </c>
      <c r="AX29">
        <v>3</v>
      </c>
      <c r="AY29" s="18">
        <v>4</v>
      </c>
      <c r="AZ29" s="18">
        <v>5</v>
      </c>
      <c r="BA29" s="18">
        <v>6</v>
      </c>
      <c r="BB29" s="18">
        <v>7</v>
      </c>
      <c r="BC29" s="18">
        <v>8</v>
      </c>
      <c r="BD29" s="18">
        <v>9</v>
      </c>
      <c r="BE29" s="18">
        <v>10</v>
      </c>
      <c r="BF29" s="18">
        <v>11</v>
      </c>
      <c r="BG29" s="18">
        <v>12</v>
      </c>
      <c r="BH29" s="18">
        <v>13</v>
      </c>
      <c r="BI29" s="18">
        <v>14</v>
      </c>
      <c r="BJ29" s="18">
        <v>15</v>
      </c>
      <c r="BK29" s="18">
        <v>16</v>
      </c>
      <c r="BL29" s="18">
        <v>17</v>
      </c>
      <c r="BM29" s="18">
        <v>18</v>
      </c>
      <c r="BN29" s="18">
        <v>19</v>
      </c>
      <c r="BO29" s="18">
        <v>20</v>
      </c>
    </row>
    <row r="30" spans="1:67" ht="16" thickBot="1" x14ac:dyDescent="0.25">
      <c r="B30" s="3" t="s">
        <v>1</v>
      </c>
      <c r="C30" s="3">
        <v>1</v>
      </c>
      <c r="D30" s="68">
        <v>1</v>
      </c>
      <c r="E30" s="3">
        <v>0</v>
      </c>
      <c r="F30" s="5">
        <v>0</v>
      </c>
      <c r="G30" s="5">
        <v>0</v>
      </c>
      <c r="H30" s="18">
        <v>0</v>
      </c>
      <c r="I30" s="18">
        <v>3.9999999105899998E-2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5.9999998658900003E-2</v>
      </c>
      <c r="AE30" s="18">
        <v>0</v>
      </c>
      <c r="AF30" s="18">
        <v>0.87999999523200001</v>
      </c>
      <c r="AG30" s="18">
        <v>0</v>
      </c>
    </row>
    <row r="31" spans="1:67" ht="16" thickBot="1" x14ac:dyDescent="0.25">
      <c r="B31" s="3" t="s">
        <v>2</v>
      </c>
      <c r="C31" s="3">
        <v>2</v>
      </c>
      <c r="D31" s="68">
        <v>2</v>
      </c>
      <c r="E31" s="3">
        <v>0</v>
      </c>
      <c r="F31" s="5">
        <v>0</v>
      </c>
      <c r="G31" s="5">
        <v>0</v>
      </c>
      <c r="H31" s="18">
        <v>0</v>
      </c>
      <c r="I31" s="18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18">
        <v>0</v>
      </c>
      <c r="AF31" s="18">
        <v>1</v>
      </c>
      <c r="AG31" s="18">
        <v>0</v>
      </c>
      <c r="AL31" s="6" t="s">
        <v>26</v>
      </c>
      <c r="AV31" s="5">
        <v>0.33000001311299998</v>
      </c>
      <c r="AW31" s="5">
        <v>0.9</v>
      </c>
      <c r="AX31" s="5">
        <v>0.28999999999999998</v>
      </c>
      <c r="AY31" s="5">
        <v>1</v>
      </c>
      <c r="AZ31" s="5">
        <v>0.87999999523200001</v>
      </c>
      <c r="BA31" s="5">
        <v>0.28000000000000003</v>
      </c>
      <c r="BB31" s="5">
        <v>0.75</v>
      </c>
      <c r="BC31" s="5">
        <v>1</v>
      </c>
      <c r="BD31" s="5">
        <v>1</v>
      </c>
      <c r="BE31" s="5">
        <v>0.97</v>
      </c>
      <c r="BF31" s="5">
        <v>0.28999999165500001</v>
      </c>
      <c r="BG31" s="5">
        <v>0.68</v>
      </c>
      <c r="BH31" s="5">
        <v>0.17000000178800001</v>
      </c>
      <c r="BI31" s="5">
        <v>0.95999997854200003</v>
      </c>
      <c r="BJ31" s="5">
        <v>0.69999998807899999</v>
      </c>
      <c r="BK31" s="5">
        <v>0.85000002384200002</v>
      </c>
      <c r="BL31" s="5">
        <v>1</v>
      </c>
      <c r="BM31" s="5">
        <v>0.76999998092699995</v>
      </c>
      <c r="BN31" s="5">
        <v>1</v>
      </c>
      <c r="BO31" s="5">
        <v>0.88999998569500005</v>
      </c>
    </row>
    <row r="32" spans="1:67" ht="16" thickBot="1" x14ac:dyDescent="0.25">
      <c r="B32" s="3" t="s">
        <v>3</v>
      </c>
      <c r="C32" s="3">
        <v>1</v>
      </c>
      <c r="D32" s="68">
        <v>1</v>
      </c>
      <c r="E32" s="3">
        <v>0</v>
      </c>
      <c r="F32" s="5">
        <v>0</v>
      </c>
      <c r="G32" s="5">
        <v>0</v>
      </c>
      <c r="H32" s="18">
        <v>0</v>
      </c>
      <c r="I32" s="18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18">
        <v>0</v>
      </c>
      <c r="AF32" s="18">
        <v>1</v>
      </c>
      <c r="AG32" s="18">
        <v>0</v>
      </c>
      <c r="AL32" s="6" t="s">
        <v>25</v>
      </c>
      <c r="AV32" s="5">
        <v>0.68999999761599995</v>
      </c>
      <c r="AW32" s="5">
        <v>0.71</v>
      </c>
      <c r="AX32" s="5">
        <v>0.42</v>
      </c>
      <c r="AY32" s="5">
        <v>0.76999998092699995</v>
      </c>
      <c r="AZ32" s="5">
        <v>1</v>
      </c>
      <c r="BA32" s="5">
        <v>0.28000000000000003</v>
      </c>
      <c r="BB32" s="5">
        <v>0.71</v>
      </c>
      <c r="BC32" s="5">
        <v>1</v>
      </c>
      <c r="BD32" s="5">
        <v>1</v>
      </c>
      <c r="BE32" s="5">
        <v>0.56999999999999995</v>
      </c>
      <c r="BF32" s="5">
        <v>0.30000001192100001</v>
      </c>
      <c r="BG32" s="5">
        <v>0.41</v>
      </c>
      <c r="BH32" s="5">
        <v>0</v>
      </c>
      <c r="BI32" s="5">
        <v>0.95999997854200003</v>
      </c>
      <c r="BJ32" s="5">
        <v>0.68999999761599995</v>
      </c>
      <c r="BK32" s="5">
        <v>0.99000000953699996</v>
      </c>
      <c r="BL32" s="5">
        <v>1</v>
      </c>
      <c r="BM32" s="5">
        <v>0.75999999046300004</v>
      </c>
      <c r="BN32" s="5">
        <v>1</v>
      </c>
      <c r="BO32" s="5">
        <v>0.56000000238400005</v>
      </c>
    </row>
    <row r="33" spans="2:67" ht="16" thickBot="1" x14ac:dyDescent="0.25">
      <c r="B33" s="3" t="s">
        <v>4</v>
      </c>
      <c r="C33" s="3">
        <v>2</v>
      </c>
      <c r="D33" s="68">
        <v>2</v>
      </c>
      <c r="E33" s="3">
        <v>0</v>
      </c>
      <c r="F33" s="5">
        <v>0.27000001072899998</v>
      </c>
      <c r="G33" s="5">
        <v>0.37000000476799999</v>
      </c>
      <c r="H33" s="18">
        <v>0.37999999523200001</v>
      </c>
      <c r="I33" s="18">
        <v>5.9999998658900003E-2</v>
      </c>
      <c r="J33" s="2">
        <v>0.310000002384</v>
      </c>
      <c r="K33" s="2">
        <v>0</v>
      </c>
      <c r="L33" s="2">
        <v>0.28999999165500001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0.17000000178800001</v>
      </c>
      <c r="AB33" s="2">
        <v>0</v>
      </c>
      <c r="AC33" s="2">
        <v>0</v>
      </c>
      <c r="AD33" s="2">
        <v>0.56000000238400005</v>
      </c>
      <c r="AE33" s="18">
        <v>0</v>
      </c>
      <c r="AF33" s="18">
        <v>0.87999999523200001</v>
      </c>
      <c r="AG33" s="18">
        <v>0</v>
      </c>
      <c r="AL33" s="6" t="s">
        <v>43</v>
      </c>
      <c r="AV33" s="18">
        <v>0.60000002384200002</v>
      </c>
      <c r="AW33" s="18">
        <v>0.17</v>
      </c>
      <c r="AX33" s="18">
        <v>0.6</v>
      </c>
      <c r="AY33" s="18">
        <v>0.68999999761599995</v>
      </c>
      <c r="AZ33" s="18">
        <v>1</v>
      </c>
      <c r="BA33" s="18">
        <v>0.01</v>
      </c>
      <c r="BB33" s="18">
        <v>0.54</v>
      </c>
      <c r="BC33" s="18">
        <v>1</v>
      </c>
      <c r="BD33" s="18">
        <v>1</v>
      </c>
      <c r="BE33" s="18">
        <v>0.04</v>
      </c>
      <c r="BF33" s="18">
        <v>0</v>
      </c>
      <c r="BG33" s="18">
        <v>1</v>
      </c>
      <c r="BH33" s="18">
        <v>0.95999997854200003</v>
      </c>
      <c r="BI33" s="18">
        <v>0.89999997615799998</v>
      </c>
      <c r="BJ33" s="18">
        <v>0.27000001072899998</v>
      </c>
      <c r="BK33" s="18">
        <v>0.829999983311</v>
      </c>
      <c r="BL33" s="18">
        <v>1</v>
      </c>
      <c r="BM33" s="18">
        <v>0.920000016689</v>
      </c>
      <c r="BN33" s="18">
        <v>1</v>
      </c>
      <c r="BO33" s="18">
        <v>0.99000000953699996</v>
      </c>
    </row>
    <row r="34" spans="2:67" ht="16" thickBot="1" x14ac:dyDescent="0.25">
      <c r="B34" s="3" t="s">
        <v>5</v>
      </c>
      <c r="C34" s="3">
        <v>1</v>
      </c>
      <c r="D34" s="68">
        <v>1</v>
      </c>
      <c r="E34" s="3">
        <v>0.06</v>
      </c>
      <c r="F34" s="5">
        <v>0</v>
      </c>
      <c r="G34" s="5">
        <v>0</v>
      </c>
      <c r="H34" s="18">
        <v>0</v>
      </c>
      <c r="I34" s="18">
        <v>0.24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0.11</v>
      </c>
      <c r="R34" s="2">
        <v>0</v>
      </c>
      <c r="S34" s="2">
        <v>0</v>
      </c>
      <c r="T34" s="2">
        <v>0</v>
      </c>
      <c r="U34" s="2">
        <v>0.23</v>
      </c>
      <c r="V34" s="2">
        <v>0</v>
      </c>
      <c r="W34" s="2">
        <v>0</v>
      </c>
      <c r="X34" s="2">
        <v>0</v>
      </c>
      <c r="Y34" s="2">
        <v>0.01</v>
      </c>
      <c r="Z34" s="2">
        <v>0.24</v>
      </c>
      <c r="AA34" s="2">
        <v>0.1</v>
      </c>
      <c r="AB34" s="2">
        <v>0.01</v>
      </c>
      <c r="AC34" s="2">
        <v>0.01</v>
      </c>
      <c r="AD34" s="2">
        <v>0</v>
      </c>
      <c r="AE34" s="18">
        <v>0</v>
      </c>
      <c r="AF34" s="18">
        <v>0.82</v>
      </c>
      <c r="AG34" s="18">
        <v>0</v>
      </c>
      <c r="AL34" s="6" t="s">
        <v>41</v>
      </c>
      <c r="AV34" s="18">
        <v>3.9999999105899998E-2</v>
      </c>
      <c r="AW34" s="18">
        <v>0.96</v>
      </c>
      <c r="AX34" s="18">
        <v>0.09</v>
      </c>
      <c r="AY34" s="18">
        <v>0</v>
      </c>
      <c r="AZ34" s="18">
        <v>0.74000000953699996</v>
      </c>
      <c r="BA34" s="18">
        <v>0.82</v>
      </c>
      <c r="BB34" s="18">
        <v>0.45</v>
      </c>
      <c r="BC34" s="18">
        <v>0.75</v>
      </c>
      <c r="BD34" s="18">
        <v>1</v>
      </c>
      <c r="BE34" s="18">
        <v>0.73</v>
      </c>
      <c r="BF34" s="18">
        <v>0.27000001072899998</v>
      </c>
      <c r="BG34" s="18">
        <v>0.48</v>
      </c>
      <c r="BH34" s="18">
        <v>0.239999994636</v>
      </c>
      <c r="BI34" s="18">
        <v>1</v>
      </c>
      <c r="BJ34" s="18">
        <v>0.40999999642399998</v>
      </c>
      <c r="BK34" s="18">
        <v>1</v>
      </c>
      <c r="BL34" s="18">
        <v>1</v>
      </c>
      <c r="BM34" s="18">
        <v>0.88999998569500005</v>
      </c>
      <c r="BN34" s="18">
        <v>0.95</v>
      </c>
      <c r="BO34" s="18">
        <v>0.81999999284699998</v>
      </c>
    </row>
    <row r="35" spans="2:67" ht="16" thickBot="1" x14ac:dyDescent="0.25">
      <c r="B35" s="3" t="s">
        <v>6</v>
      </c>
      <c r="C35" s="3">
        <v>2</v>
      </c>
      <c r="D35" s="68">
        <v>2</v>
      </c>
      <c r="E35" s="3">
        <v>0</v>
      </c>
      <c r="F35" s="5">
        <v>0.25</v>
      </c>
      <c r="G35" s="5">
        <v>0.25</v>
      </c>
      <c r="H35" s="18">
        <v>0</v>
      </c>
      <c r="I35" s="18">
        <v>0</v>
      </c>
      <c r="J35" s="2">
        <v>0.41</v>
      </c>
      <c r="K35" s="2">
        <v>0.17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0.02</v>
      </c>
      <c r="R35" s="2">
        <v>0</v>
      </c>
      <c r="S35" s="2">
        <v>0</v>
      </c>
      <c r="T35" s="2">
        <v>0</v>
      </c>
      <c r="U35" s="2">
        <v>0</v>
      </c>
      <c r="V35" s="2">
        <v>7.0000000000000007E-2</v>
      </c>
      <c r="W35" s="2">
        <v>0.09</v>
      </c>
      <c r="X35" s="2">
        <v>0</v>
      </c>
      <c r="Y35" s="2">
        <v>0.14000000000000001</v>
      </c>
      <c r="Z35" s="2">
        <v>0.02</v>
      </c>
      <c r="AA35" s="2">
        <v>0.15</v>
      </c>
      <c r="AB35" s="2">
        <v>0.01</v>
      </c>
      <c r="AC35" s="2">
        <v>0</v>
      </c>
      <c r="AD35" s="2">
        <v>0.01</v>
      </c>
      <c r="AE35" s="18">
        <v>0</v>
      </c>
      <c r="AF35" s="18">
        <v>1</v>
      </c>
      <c r="AG35" s="18">
        <v>0</v>
      </c>
      <c r="AL35" s="6" t="s">
        <v>36</v>
      </c>
      <c r="AV35" s="18">
        <v>0.74000000953699996</v>
      </c>
      <c r="AW35" s="18">
        <v>0.2</v>
      </c>
      <c r="AX35" s="18">
        <v>0.17</v>
      </c>
      <c r="AY35" s="18">
        <v>1</v>
      </c>
      <c r="AZ35" s="18">
        <v>0.81000000238400005</v>
      </c>
      <c r="BA35" s="18">
        <v>0.04</v>
      </c>
      <c r="BB35" s="18">
        <v>0.9</v>
      </c>
      <c r="BC35" s="18">
        <v>1</v>
      </c>
      <c r="BD35" s="18">
        <v>1</v>
      </c>
      <c r="BE35" s="18">
        <v>1</v>
      </c>
      <c r="BF35" s="18">
        <v>0.47999998927100002</v>
      </c>
      <c r="BG35" s="18">
        <v>0.28000000000000003</v>
      </c>
      <c r="BH35" s="18">
        <v>0</v>
      </c>
      <c r="BI35" s="18">
        <v>0.97000002861000001</v>
      </c>
      <c r="BJ35" s="18">
        <v>0.76999998092699995</v>
      </c>
      <c r="BK35" s="18">
        <v>0.670000016689</v>
      </c>
      <c r="BL35" s="18">
        <v>0.49000000953700001</v>
      </c>
      <c r="BM35" s="18">
        <v>0.5</v>
      </c>
      <c r="BN35" s="18">
        <v>0.98</v>
      </c>
      <c r="BO35" s="18">
        <v>0.56999999284699998</v>
      </c>
    </row>
    <row r="36" spans="2:67" ht="16" thickBot="1" x14ac:dyDescent="0.25">
      <c r="B36" s="3" t="s">
        <v>7</v>
      </c>
      <c r="C36" s="3">
        <v>1</v>
      </c>
      <c r="D36" s="68">
        <v>1</v>
      </c>
      <c r="E36" s="3">
        <v>5.0000000745099998E-2</v>
      </c>
      <c r="F36" s="5">
        <v>0.20999999344299999</v>
      </c>
      <c r="G36" s="5">
        <v>0.28000000119200003</v>
      </c>
      <c r="H36" s="18">
        <v>0.31999999284699998</v>
      </c>
      <c r="I36" s="18">
        <v>0.23000000417200001</v>
      </c>
      <c r="J36" s="2">
        <v>0.28999999165500001</v>
      </c>
      <c r="K36" s="2">
        <v>0.14000000059600001</v>
      </c>
      <c r="L36" s="2">
        <v>5.9999998658900003E-2</v>
      </c>
      <c r="M36" s="2">
        <v>0.310000002384</v>
      </c>
      <c r="N36" s="2">
        <v>0.219999998808</v>
      </c>
      <c r="O36" s="2">
        <v>0.310000002384</v>
      </c>
      <c r="P36" s="2">
        <v>0.219999998808</v>
      </c>
      <c r="Q36" s="2">
        <v>0.15000000595999999</v>
      </c>
      <c r="R36" s="2">
        <v>0.219999998808</v>
      </c>
      <c r="S36" s="2">
        <v>1.9999999553000001E-2</v>
      </c>
      <c r="T36" s="2">
        <v>0.109999999404</v>
      </c>
      <c r="U36" s="2">
        <v>0.25</v>
      </c>
      <c r="V36" s="2">
        <v>0.310000002384</v>
      </c>
      <c r="W36" s="2">
        <v>1.9999999553000001E-2</v>
      </c>
      <c r="X36" s="2">
        <v>0.12999999523200001</v>
      </c>
      <c r="Y36" s="2">
        <v>0.23000000417200001</v>
      </c>
      <c r="Z36" s="2">
        <v>0.28999999165500001</v>
      </c>
      <c r="AA36" s="2">
        <v>0.109999999404</v>
      </c>
      <c r="AB36" s="2">
        <v>0.20000000298000001</v>
      </c>
      <c r="AC36" s="2">
        <v>0.189999997616</v>
      </c>
      <c r="AD36" s="2">
        <v>9.9999997764800008E-3</v>
      </c>
      <c r="AE36" s="18">
        <v>0.219999998808</v>
      </c>
      <c r="AF36" s="18">
        <v>0.15000000595999999</v>
      </c>
      <c r="AG36" s="18">
        <v>0.20999999344299999</v>
      </c>
      <c r="AL36" s="6" t="s">
        <v>27</v>
      </c>
      <c r="AV36" s="18">
        <v>0.97000002861000001</v>
      </c>
      <c r="AW36" s="18">
        <v>1</v>
      </c>
      <c r="AX36" s="18">
        <v>0.28999999999999998</v>
      </c>
      <c r="AY36" s="18">
        <v>1</v>
      </c>
      <c r="AZ36" s="18">
        <v>3.9999999105899998E-2</v>
      </c>
      <c r="BA36" s="18">
        <v>0.27</v>
      </c>
      <c r="BB36" s="18">
        <v>0.49</v>
      </c>
      <c r="BC36" s="18">
        <v>1</v>
      </c>
      <c r="BD36" s="18">
        <v>1</v>
      </c>
      <c r="BE36" s="18">
        <v>0.97</v>
      </c>
      <c r="BF36" s="18">
        <v>0</v>
      </c>
      <c r="BG36" s="18">
        <v>0.27</v>
      </c>
      <c r="BH36" s="18">
        <v>3.9999999105899998E-2</v>
      </c>
      <c r="BI36" s="18">
        <v>0.87999999523200001</v>
      </c>
      <c r="BJ36" s="18">
        <v>0.75</v>
      </c>
      <c r="BK36" s="18">
        <v>0.83999997377400004</v>
      </c>
      <c r="BL36" s="18">
        <v>0.10000000149</v>
      </c>
      <c r="BM36" s="18">
        <v>1</v>
      </c>
      <c r="BN36" s="18">
        <v>1</v>
      </c>
      <c r="BO36" s="18">
        <v>0.63999998569500005</v>
      </c>
    </row>
    <row r="37" spans="2:67" ht="16" thickBot="1" x14ac:dyDescent="0.25">
      <c r="B37" s="3" t="s">
        <v>8</v>
      </c>
      <c r="C37" s="3">
        <v>2</v>
      </c>
      <c r="D37" s="68">
        <v>2</v>
      </c>
      <c r="E37" s="3">
        <v>0</v>
      </c>
      <c r="F37" s="5">
        <v>0</v>
      </c>
      <c r="G37" s="5">
        <v>0</v>
      </c>
      <c r="H37" s="18">
        <v>0</v>
      </c>
      <c r="I37" s="18">
        <v>0</v>
      </c>
      <c r="J37" s="2">
        <v>0.30000001192100001</v>
      </c>
      <c r="K37" s="2">
        <v>0.10000000149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1.9999999553000001E-2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3.9999999105899998E-2</v>
      </c>
      <c r="AB37" s="2">
        <v>0</v>
      </c>
      <c r="AC37" s="2">
        <v>0</v>
      </c>
      <c r="AD37" s="2">
        <v>0</v>
      </c>
      <c r="AE37" s="18">
        <v>0</v>
      </c>
      <c r="AF37" s="18">
        <v>0.99000000953699996</v>
      </c>
      <c r="AG37" s="18">
        <v>0</v>
      </c>
      <c r="AL37" s="6" t="s">
        <v>24</v>
      </c>
      <c r="AV37" s="18">
        <v>1</v>
      </c>
      <c r="AW37" s="18">
        <v>0.86</v>
      </c>
      <c r="AX37" s="18">
        <v>0.31</v>
      </c>
      <c r="AY37" s="18">
        <v>0.77999997138999999</v>
      </c>
      <c r="AZ37" s="18">
        <v>0.80000001192100001</v>
      </c>
      <c r="BA37" s="18">
        <v>0.09</v>
      </c>
      <c r="BB37" s="18">
        <v>0.15</v>
      </c>
      <c r="BC37" s="18">
        <v>1</v>
      </c>
      <c r="BD37" s="18">
        <v>0.31999999284699998</v>
      </c>
      <c r="BE37" s="18">
        <v>0.18</v>
      </c>
      <c r="BF37" s="18">
        <v>7.0000000298000006E-2</v>
      </c>
      <c r="BG37" s="18">
        <v>0.9</v>
      </c>
      <c r="BH37" s="18">
        <v>0.63999998569500005</v>
      </c>
      <c r="BI37" s="18">
        <v>0.98000001907300005</v>
      </c>
      <c r="BJ37" s="18">
        <v>0.15000000595999999</v>
      </c>
      <c r="BK37" s="18">
        <v>0.99000000953699996</v>
      </c>
      <c r="BL37" s="18">
        <v>1</v>
      </c>
      <c r="BM37" s="18">
        <v>0.77999997138999999</v>
      </c>
      <c r="BN37" s="18">
        <v>1</v>
      </c>
      <c r="BO37" s="18">
        <v>0.439999997616</v>
      </c>
    </row>
    <row r="38" spans="2:67" ht="16" thickBot="1" x14ac:dyDescent="0.25">
      <c r="B38" s="3" t="s">
        <v>9</v>
      </c>
      <c r="C38" s="3">
        <v>1</v>
      </c>
      <c r="D38" s="68">
        <v>1</v>
      </c>
      <c r="E38" s="3">
        <v>0</v>
      </c>
      <c r="F38" s="5">
        <v>0</v>
      </c>
      <c r="G38" s="5">
        <v>0</v>
      </c>
      <c r="H38" s="18">
        <v>0</v>
      </c>
      <c r="I38" s="18">
        <v>0</v>
      </c>
      <c r="J38" s="2">
        <v>0</v>
      </c>
      <c r="K38" s="2">
        <v>0</v>
      </c>
      <c r="L38" s="2">
        <v>0</v>
      </c>
      <c r="M38" s="2">
        <v>0</v>
      </c>
      <c r="N38" s="2">
        <v>0.03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18">
        <v>0</v>
      </c>
      <c r="AF38" s="18">
        <v>1</v>
      </c>
      <c r="AG38" s="18">
        <v>0</v>
      </c>
      <c r="AL38" s="6" t="s">
        <v>45</v>
      </c>
      <c r="AV38" s="18">
        <v>1</v>
      </c>
      <c r="AW38" s="18">
        <v>0.91</v>
      </c>
      <c r="AX38" s="18">
        <v>7.0000000000000007E-2</v>
      </c>
      <c r="AY38" s="18">
        <v>0.98000001907300005</v>
      </c>
      <c r="AZ38" s="18">
        <v>0.76999998092699995</v>
      </c>
      <c r="BA38" s="18">
        <v>0.45</v>
      </c>
      <c r="BB38" s="18">
        <v>0.85</v>
      </c>
      <c r="BC38" s="18">
        <v>1</v>
      </c>
      <c r="BD38" s="18">
        <v>0.93000000715300002</v>
      </c>
      <c r="BE38" s="18">
        <v>0.22</v>
      </c>
      <c r="BF38" s="18">
        <v>0.119999997318</v>
      </c>
      <c r="BG38" s="18">
        <v>0</v>
      </c>
      <c r="BH38" s="18">
        <v>0</v>
      </c>
      <c r="BI38" s="18">
        <v>1</v>
      </c>
      <c r="BJ38" s="18">
        <v>0.33000001311299998</v>
      </c>
      <c r="BK38" s="18">
        <v>0.81999999284699998</v>
      </c>
      <c r="BL38" s="18">
        <v>0.219999998808</v>
      </c>
      <c r="BM38" s="18">
        <v>1</v>
      </c>
      <c r="BN38" s="18">
        <v>0.87</v>
      </c>
      <c r="BO38" s="18">
        <v>0.87999999523200001</v>
      </c>
    </row>
    <row r="39" spans="2:67" ht="16" thickBot="1" x14ac:dyDescent="0.25">
      <c r="B39" s="3" t="s">
        <v>10</v>
      </c>
      <c r="C39" s="3">
        <v>2</v>
      </c>
      <c r="D39" s="68">
        <v>2</v>
      </c>
      <c r="E39" s="3">
        <v>0</v>
      </c>
      <c r="F39" s="5">
        <v>0</v>
      </c>
      <c r="G39" s="5">
        <v>0</v>
      </c>
      <c r="H39" s="18">
        <v>0</v>
      </c>
      <c r="I39" s="18">
        <v>0</v>
      </c>
      <c r="J39" s="2">
        <v>0.109999999404</v>
      </c>
      <c r="K39" s="2">
        <v>0</v>
      </c>
      <c r="L39" s="2">
        <v>0</v>
      </c>
      <c r="M39" s="2">
        <v>9.9999997764800008E-3</v>
      </c>
      <c r="N39" s="2">
        <v>0</v>
      </c>
      <c r="O39" s="2">
        <v>9.9999997764800008E-3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18">
        <v>0</v>
      </c>
      <c r="AF39" s="18">
        <v>0.86000001430499995</v>
      </c>
      <c r="AG39" s="18">
        <v>0</v>
      </c>
      <c r="AL39" s="6" t="s">
        <v>28</v>
      </c>
      <c r="AV39" s="18">
        <v>1</v>
      </c>
      <c r="AW39" s="18">
        <v>0.92</v>
      </c>
      <c r="AX39" s="18">
        <v>0.26</v>
      </c>
      <c r="AY39" s="18">
        <v>1</v>
      </c>
      <c r="AZ39" s="18">
        <v>0.97000002861000001</v>
      </c>
      <c r="BA39" s="18">
        <v>0.27</v>
      </c>
      <c r="BB39" s="18">
        <v>0.48</v>
      </c>
      <c r="BC39" s="18">
        <v>1</v>
      </c>
      <c r="BD39" s="18">
        <v>1</v>
      </c>
      <c r="BE39" s="18">
        <v>1</v>
      </c>
      <c r="BF39" s="18">
        <v>0</v>
      </c>
      <c r="BG39" s="18">
        <v>0.03</v>
      </c>
      <c r="BH39" s="18">
        <v>0.55000001192100001</v>
      </c>
      <c r="BI39" s="18">
        <v>0.62999999523200001</v>
      </c>
      <c r="BJ39" s="18">
        <v>9.9999997764800008E-3</v>
      </c>
      <c r="BK39" s="18">
        <v>0.83999997377400004</v>
      </c>
      <c r="BL39" s="18">
        <v>0</v>
      </c>
      <c r="BM39" s="18">
        <v>0.89999997615799998</v>
      </c>
      <c r="BN39" s="18">
        <v>1</v>
      </c>
      <c r="BO39" s="18">
        <v>0.46000000834499999</v>
      </c>
    </row>
    <row r="40" spans="2:67" ht="16" thickBot="1" x14ac:dyDescent="0.25">
      <c r="B40" s="3" t="s">
        <v>11</v>
      </c>
      <c r="C40" s="3">
        <v>1</v>
      </c>
      <c r="D40" s="68">
        <v>1</v>
      </c>
      <c r="E40" s="3">
        <v>0</v>
      </c>
      <c r="F40" s="5">
        <v>0.04</v>
      </c>
      <c r="G40" s="5">
        <v>0.13</v>
      </c>
      <c r="H40" s="18">
        <v>0.03</v>
      </c>
      <c r="I40" s="18">
        <v>0.76</v>
      </c>
      <c r="J40" s="2">
        <v>0.18</v>
      </c>
      <c r="K40" s="2">
        <v>0</v>
      </c>
      <c r="L40" s="2">
        <v>0</v>
      </c>
      <c r="M40" s="2">
        <v>0</v>
      </c>
      <c r="N40" s="2">
        <v>0.12</v>
      </c>
      <c r="O40" s="2">
        <v>0.01</v>
      </c>
      <c r="P40" s="2">
        <v>0.04</v>
      </c>
      <c r="Q40" s="2">
        <v>0.02</v>
      </c>
      <c r="R40" s="2">
        <v>0</v>
      </c>
      <c r="S40" s="2">
        <v>0.18</v>
      </c>
      <c r="T40" s="2">
        <v>0.01</v>
      </c>
      <c r="U40" s="2">
        <v>0.06</v>
      </c>
      <c r="V40" s="2">
        <v>0.06</v>
      </c>
      <c r="W40" s="2">
        <v>0.03</v>
      </c>
      <c r="X40" s="2">
        <v>0</v>
      </c>
      <c r="Y40" s="2">
        <v>0.01</v>
      </c>
      <c r="Z40" s="2">
        <v>0</v>
      </c>
      <c r="AA40" s="2">
        <v>0.01</v>
      </c>
      <c r="AB40" s="2">
        <v>0.01</v>
      </c>
      <c r="AC40" s="2">
        <v>0.02</v>
      </c>
      <c r="AD40" s="2">
        <v>0.01</v>
      </c>
      <c r="AE40" s="18">
        <v>0</v>
      </c>
      <c r="AF40" s="18">
        <v>0.74</v>
      </c>
      <c r="AG40" s="18">
        <v>0.01</v>
      </c>
      <c r="AL40" s="6" t="s">
        <v>44</v>
      </c>
      <c r="AV40" s="18">
        <v>1</v>
      </c>
      <c r="AW40" s="18">
        <v>0.84</v>
      </c>
      <c r="AX40" s="18">
        <v>0.05</v>
      </c>
      <c r="AY40" s="18">
        <v>0.73000001907300005</v>
      </c>
      <c r="AZ40" s="18">
        <v>1</v>
      </c>
      <c r="BA40" s="18">
        <v>0.4</v>
      </c>
      <c r="BB40" s="18">
        <v>0.71</v>
      </c>
      <c r="BC40" s="18">
        <v>1</v>
      </c>
      <c r="BD40" s="18">
        <v>0.54000002145799997</v>
      </c>
      <c r="BE40" s="18">
        <v>0.12</v>
      </c>
      <c r="BF40" s="18">
        <v>0.18000000715299999</v>
      </c>
      <c r="BG40" s="18">
        <v>0</v>
      </c>
      <c r="BH40" s="18">
        <v>7.0000000298000006E-2</v>
      </c>
      <c r="BI40" s="18">
        <v>1</v>
      </c>
      <c r="BJ40" s="18">
        <v>0.44999998807899999</v>
      </c>
      <c r="BK40" s="18">
        <v>0.81999999284699998</v>
      </c>
      <c r="BL40" s="18">
        <v>0</v>
      </c>
      <c r="BM40" s="18">
        <v>1</v>
      </c>
      <c r="BN40" s="18">
        <v>1</v>
      </c>
      <c r="BO40" s="18">
        <v>0.73000001907300005</v>
      </c>
    </row>
    <row r="41" spans="2:67" ht="16" thickBot="1" x14ac:dyDescent="0.25">
      <c r="B41" s="3" t="s">
        <v>12</v>
      </c>
      <c r="C41" s="3">
        <v>2</v>
      </c>
      <c r="D41" s="68">
        <v>2</v>
      </c>
      <c r="E41" s="3">
        <v>1.9999999553000001E-2</v>
      </c>
      <c r="F41" s="5">
        <v>5.0000000745099998E-2</v>
      </c>
      <c r="G41" s="5">
        <v>0</v>
      </c>
      <c r="H41" s="18">
        <v>5.0000000745099998E-2</v>
      </c>
      <c r="I41" s="18">
        <v>0.119999997318</v>
      </c>
      <c r="J41" s="18">
        <v>0.33000001311299998</v>
      </c>
      <c r="K41" s="18">
        <v>0.239999994636</v>
      </c>
      <c r="L41" s="18">
        <v>5.9999998658900003E-2</v>
      </c>
      <c r="M41" s="18">
        <v>9.9999997764800008E-3</v>
      </c>
      <c r="N41" s="18">
        <v>7.0000000298000006E-2</v>
      </c>
      <c r="O41" s="18">
        <v>9.9999997764800008E-3</v>
      </c>
      <c r="P41" s="18">
        <v>9.9999997764800008E-3</v>
      </c>
      <c r="Q41" s="18">
        <v>5.0000000745099998E-2</v>
      </c>
      <c r="R41" s="18">
        <v>7.99999982119E-2</v>
      </c>
      <c r="S41" s="18">
        <v>0</v>
      </c>
      <c r="T41" s="18">
        <v>0</v>
      </c>
      <c r="U41" s="18">
        <v>7.0000000298000006E-2</v>
      </c>
      <c r="V41" s="18">
        <v>0.14000000059600001</v>
      </c>
      <c r="W41" s="18">
        <v>2.99999993294E-2</v>
      </c>
      <c r="X41" s="18">
        <v>1.9999999553000001E-2</v>
      </c>
      <c r="Y41" s="18">
        <v>9.9999997764800008E-3</v>
      </c>
      <c r="Z41" s="18">
        <v>5.0000000745099998E-2</v>
      </c>
      <c r="AA41" s="18">
        <v>1.9999999553000001E-2</v>
      </c>
      <c r="AB41" s="18">
        <v>0.40000000596000002</v>
      </c>
      <c r="AC41" s="18">
        <v>0.10000000149</v>
      </c>
      <c r="AD41" s="18">
        <v>7.0000000298000006E-2</v>
      </c>
      <c r="AE41" s="18">
        <v>1.9999999553000001E-2</v>
      </c>
      <c r="AF41" s="18">
        <v>0.69999998807899999</v>
      </c>
      <c r="AG41" s="18">
        <v>1.9999999553000001E-2</v>
      </c>
      <c r="AL41" s="6" t="s">
        <v>33</v>
      </c>
      <c r="AV41" s="18">
        <v>0.109999999404</v>
      </c>
      <c r="AW41" s="18">
        <v>0.75</v>
      </c>
      <c r="AX41" s="18">
        <v>0.67</v>
      </c>
      <c r="AY41" s="18">
        <v>1</v>
      </c>
      <c r="AZ41" s="18">
        <v>0.75999999046300004</v>
      </c>
      <c r="BA41" s="18">
        <v>0.04</v>
      </c>
      <c r="BB41" s="18">
        <v>0.55000000000000004</v>
      </c>
      <c r="BC41" s="18">
        <v>1</v>
      </c>
      <c r="BD41" s="18">
        <v>0.93000000715300002</v>
      </c>
      <c r="BE41" s="18">
        <v>0.08</v>
      </c>
      <c r="BF41" s="18">
        <v>0</v>
      </c>
      <c r="BG41" s="18">
        <v>0.08</v>
      </c>
      <c r="BH41" s="18">
        <v>9.9999997764800008E-3</v>
      </c>
      <c r="BI41" s="18">
        <v>0.93000000715300002</v>
      </c>
      <c r="BJ41" s="18">
        <v>0.43000000715300002</v>
      </c>
      <c r="BK41" s="18">
        <v>0.56000000238400005</v>
      </c>
      <c r="BL41" s="18">
        <v>1</v>
      </c>
      <c r="BM41" s="18">
        <v>0.88999998569500005</v>
      </c>
      <c r="BN41" s="18">
        <v>0.88</v>
      </c>
      <c r="BO41" s="18">
        <v>0.37000000476799999</v>
      </c>
    </row>
    <row r="42" spans="2:67" ht="16" thickBot="1" x14ac:dyDescent="0.25">
      <c r="B42" s="3" t="s">
        <v>13</v>
      </c>
      <c r="C42" s="3">
        <v>1</v>
      </c>
      <c r="D42" s="68">
        <v>1</v>
      </c>
      <c r="E42" s="3">
        <v>0</v>
      </c>
      <c r="F42" s="5">
        <v>0</v>
      </c>
      <c r="G42" s="5">
        <v>0</v>
      </c>
      <c r="H42" s="18">
        <v>7.99999982119E-2</v>
      </c>
      <c r="I42" s="18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0.189999997616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18">
        <v>0</v>
      </c>
      <c r="AF42" s="18">
        <v>1</v>
      </c>
      <c r="AG42" s="18">
        <v>0</v>
      </c>
      <c r="AL42" s="6" t="s">
        <v>48</v>
      </c>
      <c r="AV42" s="18">
        <v>0.52999997138999999</v>
      </c>
      <c r="AW42" s="18">
        <v>0.8</v>
      </c>
      <c r="AX42" s="18">
        <v>0.1</v>
      </c>
      <c r="AY42" s="18">
        <v>1</v>
      </c>
      <c r="AZ42" s="18">
        <v>0.62999999523200001</v>
      </c>
      <c r="BA42" s="18">
        <v>0.06</v>
      </c>
      <c r="BB42" s="18">
        <v>0.77</v>
      </c>
      <c r="BC42" s="18">
        <v>0.5</v>
      </c>
      <c r="BD42" s="18">
        <v>0.51999998092699995</v>
      </c>
      <c r="BE42" s="18">
        <v>0</v>
      </c>
      <c r="BF42" s="18">
        <v>2.99999993294E-2</v>
      </c>
      <c r="BG42" s="18">
        <v>0.15</v>
      </c>
      <c r="BH42" s="18">
        <v>0</v>
      </c>
      <c r="BI42" s="18">
        <v>0.94999998807899999</v>
      </c>
      <c r="BJ42" s="18">
        <v>0.54000002145799997</v>
      </c>
      <c r="BK42" s="18">
        <v>0.81000000238400005</v>
      </c>
      <c r="BL42" s="18">
        <v>1</v>
      </c>
      <c r="BM42" s="18">
        <v>0.68999999761599995</v>
      </c>
      <c r="BN42" s="18">
        <v>0.96</v>
      </c>
      <c r="BO42" s="18">
        <v>0.89999997615799998</v>
      </c>
    </row>
    <row r="43" spans="2:67" ht="16" thickBot="1" x14ac:dyDescent="0.25">
      <c r="B43" s="3" t="s">
        <v>14</v>
      </c>
      <c r="C43" s="3">
        <v>2</v>
      </c>
      <c r="D43" s="68">
        <v>2</v>
      </c>
      <c r="E43" s="3">
        <v>0</v>
      </c>
      <c r="F43" s="5">
        <v>0.23000000417200001</v>
      </c>
      <c r="G43" s="5">
        <v>0.10000000149</v>
      </c>
      <c r="H43" s="18">
        <v>3.9999999105899998E-2</v>
      </c>
      <c r="I43" s="18">
        <v>0</v>
      </c>
      <c r="J43" s="2">
        <v>7.99999982119E-2</v>
      </c>
      <c r="K43" s="2">
        <v>3.9999999105899998E-2</v>
      </c>
      <c r="L43" s="2">
        <v>0</v>
      </c>
      <c r="M43" s="2">
        <v>0</v>
      </c>
      <c r="N43" s="2">
        <v>0.119999997318</v>
      </c>
      <c r="O43" s="2">
        <v>0</v>
      </c>
      <c r="P43" s="2">
        <v>0</v>
      </c>
      <c r="Q43" s="2">
        <v>0</v>
      </c>
      <c r="R43" s="2">
        <v>7.99999982119E-2</v>
      </c>
      <c r="S43" s="2">
        <v>2.99999993294E-2</v>
      </c>
      <c r="T43" s="2">
        <v>0</v>
      </c>
      <c r="U43" s="2">
        <v>3.9999999105899998E-2</v>
      </c>
      <c r="V43" s="2">
        <v>7.99999982119E-2</v>
      </c>
      <c r="W43" s="2">
        <v>0</v>
      </c>
      <c r="X43" s="2">
        <v>3.9999999105899998E-2</v>
      </c>
      <c r="Y43" s="2">
        <v>0</v>
      </c>
      <c r="Z43" s="2">
        <v>0</v>
      </c>
      <c r="AA43" s="2">
        <v>0</v>
      </c>
      <c r="AB43" s="2">
        <v>0</v>
      </c>
      <c r="AC43" s="2">
        <v>5.0000000745099998E-2</v>
      </c>
      <c r="AD43" s="2">
        <v>7.99999982119E-2</v>
      </c>
      <c r="AE43" s="18">
        <v>0</v>
      </c>
      <c r="AF43" s="18">
        <v>0.97000002861000001</v>
      </c>
      <c r="AG43" s="18">
        <v>2.99999993294E-2</v>
      </c>
      <c r="AL43" s="6" t="s">
        <v>23</v>
      </c>
      <c r="AV43" s="18">
        <v>0.28000000119200003</v>
      </c>
      <c r="AW43" s="18">
        <v>0.03</v>
      </c>
      <c r="AX43" s="18">
        <v>0.34</v>
      </c>
      <c r="AY43" s="18">
        <v>0.77999997138999999</v>
      </c>
      <c r="AZ43" s="18">
        <v>0.79000002145799997</v>
      </c>
      <c r="BA43" s="18">
        <v>0.09</v>
      </c>
      <c r="BB43" s="18">
        <v>0.35</v>
      </c>
      <c r="BC43" s="18">
        <v>1</v>
      </c>
      <c r="BD43" s="18">
        <v>1</v>
      </c>
      <c r="BE43" s="18">
        <v>0.17</v>
      </c>
      <c r="BF43" s="18">
        <v>9.9999997764800008E-3</v>
      </c>
      <c r="BG43" s="18">
        <v>0.28999999999999998</v>
      </c>
      <c r="BH43" s="18">
        <v>0.58999997377400004</v>
      </c>
      <c r="BI43" s="18">
        <v>0.83999997377400004</v>
      </c>
      <c r="BJ43" s="18">
        <v>0.12999999523200001</v>
      </c>
      <c r="BK43" s="18">
        <v>1</v>
      </c>
      <c r="BL43" s="18">
        <v>0.88999998569500005</v>
      </c>
      <c r="BM43" s="18">
        <v>0.77999997138999999</v>
      </c>
      <c r="BN43" s="18">
        <v>1</v>
      </c>
      <c r="BO43" s="18">
        <v>0.54000002145799997</v>
      </c>
    </row>
    <row r="44" spans="2:67" ht="16" thickBot="1" x14ac:dyDescent="0.25">
      <c r="B44" s="3" t="s">
        <v>15</v>
      </c>
      <c r="C44" s="3">
        <v>1</v>
      </c>
      <c r="D44" s="68">
        <v>1</v>
      </c>
      <c r="E44" s="3">
        <v>0</v>
      </c>
      <c r="F44" s="5">
        <v>0</v>
      </c>
      <c r="G44" s="5">
        <v>0</v>
      </c>
      <c r="H44" s="18">
        <v>0</v>
      </c>
      <c r="I44" s="18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18">
        <v>0</v>
      </c>
      <c r="AF44" s="18">
        <v>1</v>
      </c>
      <c r="AG44" s="18">
        <v>0</v>
      </c>
      <c r="AL44" s="65" t="s">
        <v>30</v>
      </c>
      <c r="AV44" s="18">
        <v>0</v>
      </c>
      <c r="AW44" s="18">
        <v>0.95</v>
      </c>
      <c r="AX44" s="18">
        <v>0.67</v>
      </c>
      <c r="AY44" s="18">
        <v>0.75999999046300004</v>
      </c>
      <c r="AZ44" s="18">
        <v>0.829999983311</v>
      </c>
      <c r="BA44" s="18">
        <v>0.08</v>
      </c>
      <c r="BB44" s="18">
        <v>0.78</v>
      </c>
      <c r="BC44" s="18">
        <v>0.5</v>
      </c>
      <c r="BD44" s="18">
        <v>0.72000002861000001</v>
      </c>
      <c r="BE44" s="18">
        <v>1</v>
      </c>
      <c r="BF44" s="18">
        <v>1.9999999553000001E-2</v>
      </c>
      <c r="BG44" s="18">
        <v>0.18</v>
      </c>
      <c r="BH44" s="18">
        <v>0.69999998807899999</v>
      </c>
      <c r="BI44" s="18">
        <v>0.46999999880799997</v>
      </c>
      <c r="BJ44" s="18">
        <v>0.93000000715300002</v>
      </c>
      <c r="BK44" s="18">
        <v>0.60000002384200002</v>
      </c>
      <c r="BL44" s="18">
        <v>0</v>
      </c>
      <c r="BM44" s="18">
        <v>0.51999998092699995</v>
      </c>
      <c r="BN44" s="18">
        <v>0.77</v>
      </c>
      <c r="BO44" s="18">
        <v>0.14000000059600001</v>
      </c>
    </row>
    <row r="45" spans="2:67" ht="16" thickBot="1" x14ac:dyDescent="0.25">
      <c r="B45" s="3" t="s">
        <v>16</v>
      </c>
      <c r="C45" s="3">
        <v>2</v>
      </c>
      <c r="D45" s="68">
        <v>2</v>
      </c>
      <c r="E45" s="3">
        <v>0</v>
      </c>
      <c r="F45" s="5">
        <v>2.99999993294E-2</v>
      </c>
      <c r="G45" s="5">
        <v>0</v>
      </c>
      <c r="H45" s="18">
        <v>0.239999994636</v>
      </c>
      <c r="I45" s="18">
        <v>0</v>
      </c>
      <c r="J45" s="2">
        <v>1.9999999553000001E-2</v>
      </c>
      <c r="K45" s="2">
        <v>9.9999997764800008E-3</v>
      </c>
      <c r="L45" s="2">
        <v>0.12999999523200001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2.99999993294E-2</v>
      </c>
      <c r="W45" s="2">
        <v>0</v>
      </c>
      <c r="X45" s="2">
        <v>5.9999998658900003E-2</v>
      </c>
      <c r="Y45" s="2">
        <v>0</v>
      </c>
      <c r="Z45" s="2">
        <v>9.9999997764800008E-3</v>
      </c>
      <c r="AA45" s="2">
        <v>3.9999999105899998E-2</v>
      </c>
      <c r="AB45" s="2">
        <v>0</v>
      </c>
      <c r="AC45" s="2">
        <v>0</v>
      </c>
      <c r="AD45" s="2">
        <v>0</v>
      </c>
      <c r="AE45" s="18">
        <v>0</v>
      </c>
      <c r="AF45" s="18">
        <v>0.94999998807899999</v>
      </c>
      <c r="AG45" s="18">
        <v>0</v>
      </c>
      <c r="AL45" s="6" t="s">
        <v>31</v>
      </c>
      <c r="AV45" s="18">
        <v>0</v>
      </c>
      <c r="AW45" s="18">
        <v>0.94</v>
      </c>
      <c r="AX45" s="18">
        <v>0.19</v>
      </c>
      <c r="AY45" s="18">
        <v>1</v>
      </c>
      <c r="AZ45" s="18">
        <v>0.829999983311</v>
      </c>
      <c r="BA45" s="18">
        <v>0.04</v>
      </c>
      <c r="BB45" s="18">
        <v>0.8</v>
      </c>
      <c r="BC45" s="18">
        <v>1</v>
      </c>
      <c r="BD45" s="18">
        <v>0.30000001192100001</v>
      </c>
      <c r="BE45" s="18">
        <v>0</v>
      </c>
      <c r="BF45" s="18">
        <v>0</v>
      </c>
      <c r="BG45" s="18">
        <v>0</v>
      </c>
      <c r="BH45" s="18">
        <v>0.86000001430499995</v>
      </c>
      <c r="BI45" s="18">
        <v>0.87000000476799999</v>
      </c>
      <c r="BJ45" s="18">
        <v>1.9999999553000001E-2</v>
      </c>
      <c r="BK45" s="18">
        <v>0.34000000357600002</v>
      </c>
      <c r="BL45" s="18">
        <v>0.5</v>
      </c>
      <c r="BM45" s="18">
        <v>0.91000002622599996</v>
      </c>
      <c r="BN45" s="18">
        <v>0.87</v>
      </c>
      <c r="BO45" s="18">
        <v>0.95999997854200003</v>
      </c>
    </row>
    <row r="46" spans="2:67" ht="16" thickBot="1" x14ac:dyDescent="0.25">
      <c r="B46" s="3" t="s">
        <v>17</v>
      </c>
      <c r="C46" s="3">
        <v>1</v>
      </c>
      <c r="D46" s="68">
        <v>1</v>
      </c>
      <c r="E46" s="3">
        <v>0</v>
      </c>
      <c r="F46" s="5">
        <v>0.12999999523200001</v>
      </c>
      <c r="G46" s="5">
        <v>0.119999997318</v>
      </c>
      <c r="H46" s="18">
        <v>9.9999997764800008E-3</v>
      </c>
      <c r="I46" s="18">
        <v>9.9999997764800008E-3</v>
      </c>
      <c r="J46" s="2">
        <v>0.12999999523200001</v>
      </c>
      <c r="K46" s="2">
        <v>1.9999999553000001E-2</v>
      </c>
      <c r="L46" s="2">
        <v>0</v>
      </c>
      <c r="M46" s="2">
        <v>9.9999997764800008E-3</v>
      </c>
      <c r="N46" s="2">
        <v>0</v>
      </c>
      <c r="O46" s="2">
        <v>9.9999997764800008E-3</v>
      </c>
      <c r="P46" s="2">
        <v>7.99999982119E-2</v>
      </c>
      <c r="Q46" s="2">
        <v>9.9999997764800008E-3</v>
      </c>
      <c r="R46" s="2">
        <v>0</v>
      </c>
      <c r="S46" s="2">
        <v>0</v>
      </c>
      <c r="T46" s="2">
        <v>0</v>
      </c>
      <c r="U46" s="2">
        <v>0.14000000059600001</v>
      </c>
      <c r="V46" s="2">
        <v>9.9999997764800008E-3</v>
      </c>
      <c r="W46" s="2">
        <v>0</v>
      </c>
      <c r="X46" s="2">
        <v>9.9999997764800008E-3</v>
      </c>
      <c r="Y46" s="2">
        <v>9.9999997764800008E-3</v>
      </c>
      <c r="Z46" s="2">
        <v>9.9999997764800008E-3</v>
      </c>
      <c r="AA46" s="2">
        <v>5.9999998658900003E-2</v>
      </c>
      <c r="AB46" s="2">
        <v>9.9999997764800008E-3</v>
      </c>
      <c r="AC46" s="2">
        <v>0</v>
      </c>
      <c r="AD46" s="2">
        <v>0.15000000595999999</v>
      </c>
      <c r="AE46" s="18">
        <v>9.9999997764800008E-3</v>
      </c>
      <c r="AF46" s="18">
        <v>0.94999998807899999</v>
      </c>
      <c r="AG46" s="18">
        <v>0</v>
      </c>
      <c r="AL46" s="6" t="s">
        <v>42</v>
      </c>
      <c r="AV46" s="18">
        <v>0.60000002384200002</v>
      </c>
      <c r="AW46" s="18">
        <v>0.93</v>
      </c>
      <c r="AX46" s="18">
        <v>0.18</v>
      </c>
      <c r="AY46" s="18">
        <v>0.75</v>
      </c>
      <c r="AZ46" s="18">
        <v>0.75</v>
      </c>
      <c r="BA46" s="18">
        <v>0.39</v>
      </c>
      <c r="BB46" s="18">
        <v>0.45</v>
      </c>
      <c r="BC46" s="18">
        <v>1</v>
      </c>
      <c r="BD46" s="18">
        <v>1</v>
      </c>
      <c r="BE46" s="18">
        <v>0.01</v>
      </c>
      <c r="BF46" s="18">
        <v>0.30000001192100001</v>
      </c>
      <c r="BG46" s="18">
        <v>0</v>
      </c>
      <c r="BH46" s="18">
        <v>0</v>
      </c>
      <c r="BI46" s="18">
        <v>0.439999997616</v>
      </c>
      <c r="BJ46" s="18">
        <v>9.0000003576300003E-2</v>
      </c>
      <c r="BK46" s="18">
        <v>0.98000001907300005</v>
      </c>
      <c r="BL46" s="18">
        <v>0.10000000149</v>
      </c>
      <c r="BM46" s="18">
        <v>0.5</v>
      </c>
      <c r="BN46" s="18">
        <v>0.9</v>
      </c>
      <c r="BO46" s="18">
        <v>0.81999999284699998</v>
      </c>
    </row>
    <row r="47" spans="2:67" ht="16" thickBot="1" x14ac:dyDescent="0.25">
      <c r="B47" s="3" t="s">
        <v>18</v>
      </c>
      <c r="C47" s="3">
        <v>2</v>
      </c>
      <c r="D47" s="68">
        <v>2</v>
      </c>
      <c r="E47" s="3">
        <v>0</v>
      </c>
      <c r="F47" s="5">
        <v>0</v>
      </c>
      <c r="G47" s="5">
        <v>0</v>
      </c>
      <c r="H47" s="18">
        <v>5.0000000745099998E-2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1</v>
      </c>
      <c r="AG47" s="18">
        <v>0</v>
      </c>
      <c r="AL47" s="6" t="s">
        <v>46</v>
      </c>
      <c r="AV47" s="18">
        <v>0.239999994636</v>
      </c>
      <c r="AW47" s="18">
        <v>0.93</v>
      </c>
      <c r="AX47" s="18">
        <v>0.13</v>
      </c>
      <c r="AY47" s="18">
        <v>1</v>
      </c>
      <c r="AZ47" s="18">
        <v>0.56999999284699998</v>
      </c>
      <c r="BA47" s="18">
        <v>0.06</v>
      </c>
      <c r="BB47" s="18">
        <v>0.35</v>
      </c>
      <c r="BC47" s="18">
        <v>0.75</v>
      </c>
      <c r="BD47" s="18">
        <v>0.55000001192100001</v>
      </c>
      <c r="BE47" s="18">
        <v>0</v>
      </c>
      <c r="BF47" s="18">
        <v>0.20999999344299999</v>
      </c>
      <c r="BG47" s="18">
        <v>0.41</v>
      </c>
      <c r="BH47" s="18">
        <v>0.47999998927100002</v>
      </c>
      <c r="BI47" s="18">
        <v>0.28000000119200003</v>
      </c>
      <c r="BJ47" s="18">
        <v>0.56000000238400005</v>
      </c>
      <c r="BK47" s="18">
        <v>0.81999999284699998</v>
      </c>
      <c r="BL47" s="18">
        <v>1</v>
      </c>
      <c r="BM47" s="18">
        <v>0.87000000476799999</v>
      </c>
      <c r="BN47" s="18">
        <v>0.45</v>
      </c>
      <c r="BO47" s="18">
        <v>0.5</v>
      </c>
    </row>
    <row r="48" spans="2:67" ht="16" thickBot="1" x14ac:dyDescent="0.25">
      <c r="B48" s="3" t="s">
        <v>19</v>
      </c>
      <c r="C48" s="3">
        <v>1</v>
      </c>
      <c r="D48" s="68">
        <v>1</v>
      </c>
      <c r="E48" s="3">
        <v>0</v>
      </c>
      <c r="F48" s="5">
        <v>5.9999998658900003E-2</v>
      </c>
      <c r="G48" s="5">
        <v>2.99999993294E-2</v>
      </c>
      <c r="H48" s="18">
        <v>0</v>
      </c>
      <c r="I48" s="18">
        <v>1.9999999553000001E-2</v>
      </c>
      <c r="J48" s="2">
        <v>2.99999993294E-2</v>
      </c>
      <c r="K48" s="2">
        <v>9.9999997764800008E-3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2.99999993294E-2</v>
      </c>
      <c r="R48" s="2">
        <v>0</v>
      </c>
      <c r="S48" s="2">
        <v>9.9999997764800008E-3</v>
      </c>
      <c r="T48" s="2">
        <v>1.9999999553000001E-2</v>
      </c>
      <c r="U48" s="2">
        <v>1.9999999553000001E-2</v>
      </c>
      <c r="V48" s="2">
        <v>1.9999999553000001E-2</v>
      </c>
      <c r="W48" s="2">
        <v>0</v>
      </c>
      <c r="X48" s="2">
        <v>9.9999997764800008E-3</v>
      </c>
      <c r="Y48" s="2">
        <v>9.9999997764800008E-3</v>
      </c>
      <c r="Z48" s="2">
        <v>1.9999999553000001E-2</v>
      </c>
      <c r="AA48" s="2">
        <v>1.9999999553000001E-2</v>
      </c>
      <c r="AB48" s="2">
        <v>1.9999999553000001E-2</v>
      </c>
      <c r="AC48" s="2">
        <v>0</v>
      </c>
      <c r="AD48" s="2">
        <v>0</v>
      </c>
      <c r="AE48" s="18">
        <v>0</v>
      </c>
      <c r="AF48" s="18">
        <v>0.98000001907300005</v>
      </c>
      <c r="AG48" s="18">
        <v>0</v>
      </c>
      <c r="AL48" s="6" t="s">
        <v>29</v>
      </c>
      <c r="AV48" s="18">
        <v>0</v>
      </c>
      <c r="AW48" s="18">
        <v>0.93</v>
      </c>
      <c r="AX48" s="18">
        <v>0.05</v>
      </c>
      <c r="AY48" s="18">
        <v>7.0000000298000006E-2</v>
      </c>
      <c r="AZ48" s="18">
        <v>0.23000000417200001</v>
      </c>
      <c r="BA48" s="18">
        <v>0.08</v>
      </c>
      <c r="BB48" s="18">
        <v>0.8</v>
      </c>
      <c r="BC48" s="18">
        <v>1</v>
      </c>
      <c r="BD48" s="18">
        <v>0.25</v>
      </c>
      <c r="BE48" s="18">
        <v>0</v>
      </c>
      <c r="BF48" s="18">
        <v>0.10000000149</v>
      </c>
      <c r="BG48" s="18">
        <v>0.11</v>
      </c>
      <c r="BH48" s="18">
        <v>0</v>
      </c>
      <c r="BI48" s="18">
        <v>1</v>
      </c>
      <c r="BJ48" s="18">
        <v>0.119999997318</v>
      </c>
      <c r="BK48" s="18">
        <v>0.83999997377400004</v>
      </c>
      <c r="BL48" s="18">
        <v>1</v>
      </c>
      <c r="BM48" s="18">
        <v>0.83999997377400004</v>
      </c>
      <c r="BN48" s="18">
        <v>0.94</v>
      </c>
      <c r="BO48" s="18">
        <v>0.58999997377400004</v>
      </c>
    </row>
    <row r="49" spans="1:67" s="6" customFormat="1" ht="16" thickBot="1" x14ac:dyDescent="0.25">
      <c r="A49" s="4"/>
      <c r="B49" s="4" t="s">
        <v>52</v>
      </c>
      <c r="C49" s="4"/>
      <c r="D49" s="67"/>
      <c r="E49" s="4">
        <f t="shared" ref="E49:AG49" si="5">AVERAGE(E29:E48)</f>
        <v>6.5000000149049997E-3</v>
      </c>
      <c r="F49" s="6">
        <f t="shared" si="5"/>
        <v>6.3500000115469996E-2</v>
      </c>
      <c r="G49" s="6">
        <f t="shared" si="5"/>
        <v>6.4000000204869983E-2</v>
      </c>
      <c r="H49" s="6">
        <f t="shared" si="5"/>
        <v>5.9999999064973997E-2</v>
      </c>
      <c r="I49" s="6">
        <f t="shared" si="5"/>
        <v>7.3999999929213994E-2</v>
      </c>
      <c r="J49" s="6">
        <f t="shared" si="5"/>
        <v>0.109500000540165</v>
      </c>
      <c r="K49" s="6">
        <f t="shared" si="5"/>
        <v>3.6499999746693004E-2</v>
      </c>
      <c r="L49" s="6">
        <f t="shared" si="5"/>
        <v>2.6999999210239999E-2</v>
      </c>
      <c r="M49" s="6">
        <f t="shared" si="5"/>
        <v>1.7000000085672002E-2</v>
      </c>
      <c r="N49" s="6">
        <f t="shared" si="5"/>
        <v>2.7999999821200001E-2</v>
      </c>
      <c r="O49" s="6">
        <f t="shared" si="5"/>
        <v>1.7500000085672002E-2</v>
      </c>
      <c r="P49" s="6">
        <f t="shared" si="5"/>
        <v>1.7499999839819001E-2</v>
      </c>
      <c r="Q49" s="6">
        <f t="shared" si="5"/>
        <v>1.9500000290549001E-2</v>
      </c>
      <c r="R49" s="6">
        <f t="shared" si="5"/>
        <v>1.8999999761589999E-2</v>
      </c>
      <c r="S49" s="6">
        <f t="shared" si="5"/>
        <v>1.1999999932944001E-2</v>
      </c>
      <c r="T49" s="6">
        <f t="shared" si="5"/>
        <v>6.9999999478499997E-3</v>
      </c>
      <c r="U49" s="6">
        <f t="shared" si="5"/>
        <v>4.1499999955295006E-2</v>
      </c>
      <c r="V49" s="6">
        <f t="shared" si="5"/>
        <v>4.5499999873338998E-2</v>
      </c>
      <c r="W49" s="6">
        <f t="shared" si="5"/>
        <v>8.4999999441200003E-3</v>
      </c>
      <c r="X49" s="6">
        <f t="shared" si="5"/>
        <v>1.3499999605138003E-2</v>
      </c>
      <c r="Y49" s="6">
        <f t="shared" si="5"/>
        <v>2.1000000175072003E-2</v>
      </c>
      <c r="Z49" s="6">
        <f t="shared" si="5"/>
        <v>3.1999999575303008E-2</v>
      </c>
      <c r="AA49" s="6">
        <f t="shared" si="5"/>
        <v>3.5999999858435008E-2</v>
      </c>
      <c r="AB49" s="6">
        <f t="shared" si="5"/>
        <v>3.3000000413474E-2</v>
      </c>
      <c r="AC49" s="6">
        <f t="shared" si="5"/>
        <v>1.8499999992555E-2</v>
      </c>
      <c r="AD49" s="6">
        <f t="shared" si="5"/>
        <v>4.7500000264464007E-2</v>
      </c>
      <c r="AE49" s="6">
        <f t="shared" si="5"/>
        <v>1.2499999906874001E-2</v>
      </c>
      <c r="AF49" s="6">
        <f t="shared" si="5"/>
        <v>0.8935000016093001</v>
      </c>
      <c r="AG49" s="6">
        <f t="shared" si="5"/>
        <v>1.3499999616270001E-2</v>
      </c>
      <c r="AH49" s="4"/>
      <c r="AI49" s="4"/>
      <c r="AL49" s="6" t="s">
        <v>35</v>
      </c>
      <c r="AV49" s="18">
        <v>0.14000000059600001</v>
      </c>
      <c r="AW49" s="18">
        <v>0.91</v>
      </c>
      <c r="AX49" s="18">
        <v>0.14000000000000001</v>
      </c>
      <c r="AY49" s="18">
        <v>0.50999999046300004</v>
      </c>
      <c r="AZ49" s="18">
        <v>0.579999983311</v>
      </c>
      <c r="BA49" s="18">
        <v>0.04</v>
      </c>
      <c r="BB49" s="18">
        <v>0.63</v>
      </c>
      <c r="BC49" s="18">
        <v>1</v>
      </c>
      <c r="BD49" s="18">
        <v>0.20000000298000001</v>
      </c>
      <c r="BE49" s="18">
        <v>0.09</v>
      </c>
      <c r="BF49" s="18">
        <v>0</v>
      </c>
      <c r="BG49" s="18">
        <v>0</v>
      </c>
      <c r="BH49" s="18">
        <v>0</v>
      </c>
      <c r="BI49" s="18">
        <v>0.98000001907300005</v>
      </c>
      <c r="BJ49" s="18">
        <v>1.9999999553000001E-2</v>
      </c>
      <c r="BK49" s="18">
        <v>0.47999998927100002</v>
      </c>
      <c r="BL49" s="18">
        <v>0.81000000238400005</v>
      </c>
      <c r="BM49" s="18">
        <v>0.20000000298000001</v>
      </c>
      <c r="BN49" s="18">
        <v>0.63</v>
      </c>
      <c r="BO49" s="18">
        <v>0.99000000953699996</v>
      </c>
    </row>
    <row r="50" spans="1:67" s="6" customFormat="1" ht="16" thickBot="1" x14ac:dyDescent="0.25">
      <c r="A50" s="4"/>
      <c r="B50" s="4" t="s">
        <v>53</v>
      </c>
      <c r="C50" s="4"/>
      <c r="D50" s="67"/>
      <c r="E50" s="4">
        <f t="shared" ref="E50:AG50" si="6">STDEV(E29:E48)</f>
        <v>1.7252002252606265E-2</v>
      </c>
      <c r="F50" s="6">
        <f t="shared" si="6"/>
        <v>9.65878392964577E-2</v>
      </c>
      <c r="G50" s="6">
        <f t="shared" si="6"/>
        <v>0.11193983423566546</v>
      </c>
      <c r="H50" s="6">
        <f t="shared" si="6"/>
        <v>0.11387897344264636</v>
      </c>
      <c r="I50" s="6">
        <f t="shared" si="6"/>
        <v>0.17750908075069172</v>
      </c>
      <c r="J50" s="6">
        <f t="shared" si="6"/>
        <v>0.14076763390784075</v>
      </c>
      <c r="K50" s="6">
        <f t="shared" si="6"/>
        <v>6.9454641829507946E-2</v>
      </c>
      <c r="L50" s="6">
        <f t="shared" si="6"/>
        <v>7.019521443101108E-2</v>
      </c>
      <c r="M50" s="6">
        <f t="shared" si="6"/>
        <v>6.9061376747297787E-2</v>
      </c>
      <c r="N50" s="6">
        <f t="shared" si="6"/>
        <v>5.9524430664982572E-2</v>
      </c>
      <c r="O50" s="6">
        <f t="shared" si="6"/>
        <v>6.8967956481977316E-2</v>
      </c>
      <c r="P50" s="6">
        <f t="shared" si="6"/>
        <v>5.1490928836814651E-2</v>
      </c>
      <c r="Q50" s="6">
        <f t="shared" si="6"/>
        <v>4.0584545665856217E-2</v>
      </c>
      <c r="R50" s="6">
        <f t="shared" si="6"/>
        <v>5.3301525150747507E-2</v>
      </c>
      <c r="S50" s="6">
        <f t="shared" si="6"/>
        <v>4.0340654673079575E-2</v>
      </c>
      <c r="T50" s="6">
        <f t="shared" si="6"/>
        <v>2.4730122124543626E-2</v>
      </c>
      <c r="U50" s="6">
        <f t="shared" si="6"/>
        <v>7.6590160208847735E-2</v>
      </c>
      <c r="V50" s="6">
        <f t="shared" si="6"/>
        <v>8.1658789651909314E-2</v>
      </c>
      <c r="W50" s="6">
        <f t="shared" si="6"/>
        <v>2.1588252118227829E-2</v>
      </c>
      <c r="X50" s="6">
        <f t="shared" si="6"/>
        <v>3.16685122664742E-2</v>
      </c>
      <c r="Y50" s="6">
        <f t="shared" si="6"/>
        <v>5.8119659577483294E-2</v>
      </c>
      <c r="Z50" s="6">
        <f t="shared" si="6"/>
        <v>8.1019814259814318E-2</v>
      </c>
      <c r="AA50" s="6">
        <f t="shared" si="6"/>
        <v>5.3939537466990997E-2</v>
      </c>
      <c r="AB50" s="6">
        <f t="shared" si="6"/>
        <v>9.7067530858367931E-2</v>
      </c>
      <c r="AC50" s="6">
        <f t="shared" si="6"/>
        <v>4.715874617329012E-2</v>
      </c>
      <c r="AD50" s="6">
        <f t="shared" si="6"/>
        <v>0.12694279763276306</v>
      </c>
      <c r="AE50" s="6">
        <f t="shared" si="6"/>
        <v>4.908370910990658E-2</v>
      </c>
      <c r="AF50" s="6">
        <f t="shared" si="6"/>
        <v>0.19741153939948242</v>
      </c>
      <c r="AG50" s="6">
        <f t="shared" si="6"/>
        <v>4.6935003992171667E-2</v>
      </c>
      <c r="AH50" s="4"/>
      <c r="AI50" s="4"/>
      <c r="AL50" s="6" t="s">
        <v>49</v>
      </c>
      <c r="AV50" s="18">
        <v>0.28000000119200003</v>
      </c>
      <c r="AW50" s="18">
        <v>0.51</v>
      </c>
      <c r="AX50" s="18">
        <v>0.41</v>
      </c>
      <c r="AY50" s="18">
        <v>0</v>
      </c>
      <c r="AZ50" s="18">
        <v>1</v>
      </c>
      <c r="BA50" s="18">
        <v>0.06</v>
      </c>
      <c r="BB50" s="18">
        <v>0.98</v>
      </c>
      <c r="BC50" s="18">
        <v>0.5</v>
      </c>
      <c r="BD50" s="18">
        <v>0.219999998808</v>
      </c>
      <c r="BE50" s="18">
        <v>0</v>
      </c>
      <c r="BF50" s="18">
        <v>0</v>
      </c>
      <c r="BG50" s="18">
        <v>0</v>
      </c>
      <c r="BH50" s="18">
        <v>0</v>
      </c>
      <c r="BI50" s="18">
        <v>2.99999993294E-2</v>
      </c>
      <c r="BJ50" s="18">
        <v>9.9999997764800008E-3</v>
      </c>
      <c r="BK50" s="18">
        <v>0.58999997377400004</v>
      </c>
      <c r="BL50" s="18">
        <v>1</v>
      </c>
      <c r="BM50" s="18">
        <v>0.83999997377400004</v>
      </c>
      <c r="BN50" s="18">
        <v>0.84</v>
      </c>
      <c r="BO50" s="18">
        <v>0.50999999046300004</v>
      </c>
    </row>
    <row r="51" spans="1:67" s="6" customFormat="1" ht="16" thickBot="1" x14ac:dyDescent="0.25">
      <c r="A51" s="4"/>
      <c r="B51" s="4" t="s">
        <v>54</v>
      </c>
      <c r="C51" s="4"/>
      <c r="D51" s="67"/>
      <c r="E51" s="4">
        <f t="shared" ref="E51:AG51" si="7">E50/SQRT(20)</f>
        <v>3.8576649784807103E-3</v>
      </c>
      <c r="F51" s="6">
        <f t="shared" si="7"/>
        <v>2.1597697446670488E-2</v>
      </c>
      <c r="G51" s="6">
        <f t="shared" si="7"/>
        <v>2.5030507874100619E-2</v>
      </c>
      <c r="H51" s="6">
        <f t="shared" si="7"/>
        <v>2.5464112582565049E-2</v>
      </c>
      <c r="I51" s="6">
        <f t="shared" si="7"/>
        <v>3.9692237118204604E-2</v>
      </c>
      <c r="J51" s="6">
        <f t="shared" si="7"/>
        <v>3.1476599844973627E-2</v>
      </c>
      <c r="K51" s="6">
        <f t="shared" si="7"/>
        <v>1.5530530048368012E-2</v>
      </c>
      <c r="L51" s="6">
        <f t="shared" si="7"/>
        <v>1.5696127116291498E-2</v>
      </c>
      <c r="M51" s="6">
        <f t="shared" si="7"/>
        <v>1.5442593302668116E-2</v>
      </c>
      <c r="N51" s="6">
        <f t="shared" si="7"/>
        <v>1.3310067328887404E-2</v>
      </c>
      <c r="O51" s="6">
        <f t="shared" si="7"/>
        <v>1.5421703896294853E-2</v>
      </c>
      <c r="P51" s="6">
        <f t="shared" si="7"/>
        <v>1.1513721710372174E-2</v>
      </c>
      <c r="Q51" s="6">
        <f t="shared" si="7"/>
        <v>9.0749802944798969E-3</v>
      </c>
      <c r="R51" s="6">
        <f t="shared" si="7"/>
        <v>1.1918583354148615E-2</v>
      </c>
      <c r="S51" s="6">
        <f t="shared" si="7"/>
        <v>9.0204446105850485E-3</v>
      </c>
      <c r="T51" s="6">
        <f t="shared" si="7"/>
        <v>5.5298234162351068E-3</v>
      </c>
      <c r="U51" s="6">
        <f t="shared" si="7"/>
        <v>1.7126080463458301E-2</v>
      </c>
      <c r="V51" s="6">
        <f t="shared" si="7"/>
        <v>1.8259460462202559E-2</v>
      </c>
      <c r="W51" s="6">
        <f t="shared" si="7"/>
        <v>4.8272799251761252E-3</v>
      </c>
      <c r="X51" s="6">
        <f t="shared" si="7"/>
        <v>7.0812946174122239E-3</v>
      </c>
      <c r="Y51" s="6">
        <f t="shared" si="7"/>
        <v>1.2995950964439935E-2</v>
      </c>
      <c r="Z51" s="6">
        <f t="shared" si="7"/>
        <v>1.8116581220935162E-2</v>
      </c>
      <c r="AA51" s="6">
        <f t="shared" si="7"/>
        <v>1.2061247245108868E-2</v>
      </c>
      <c r="AB51" s="6">
        <f t="shared" si="7"/>
        <v>2.1704959740736919E-2</v>
      </c>
      <c r="AC51" s="6">
        <f t="shared" si="7"/>
        <v>1.0545016217713478E-2</v>
      </c>
      <c r="AD51" s="6">
        <f t="shared" si="7"/>
        <v>2.8385272476085757E-2</v>
      </c>
      <c r="AE51" s="6">
        <f t="shared" si="7"/>
        <v>1.0975451015757681E-2</v>
      </c>
      <c r="AF51" s="6">
        <f t="shared" si="7"/>
        <v>4.4142562164012064E-2</v>
      </c>
      <c r="AG51" s="6">
        <f t="shared" si="7"/>
        <v>1.0494985945071984E-2</v>
      </c>
      <c r="AH51" s="4"/>
      <c r="AI51" s="4"/>
      <c r="AL51" s="6" t="s">
        <v>47</v>
      </c>
      <c r="AV51" s="18">
        <v>0.18000000715299999</v>
      </c>
      <c r="AW51" s="18">
        <v>0.52</v>
      </c>
      <c r="AX51" s="18">
        <v>0.16</v>
      </c>
      <c r="AY51" s="18">
        <v>0.60000002384200002</v>
      </c>
      <c r="AZ51" s="18">
        <v>0.70999997854200003</v>
      </c>
      <c r="BA51" s="18">
        <v>0.06</v>
      </c>
      <c r="BB51" s="18">
        <v>0.56000000000000005</v>
      </c>
      <c r="BC51" s="18">
        <v>0.5</v>
      </c>
      <c r="BD51" s="18">
        <v>0.20999999344299999</v>
      </c>
      <c r="BE51" s="18">
        <v>0</v>
      </c>
      <c r="BF51" s="18">
        <v>0.189999997616</v>
      </c>
      <c r="BG51" s="18">
        <v>0</v>
      </c>
      <c r="BH51" s="18">
        <v>0</v>
      </c>
      <c r="BI51" s="18">
        <v>0</v>
      </c>
      <c r="BJ51" s="18">
        <v>3.9999999105899998E-2</v>
      </c>
      <c r="BK51" s="18">
        <v>0.81000000238400005</v>
      </c>
      <c r="BL51" s="18">
        <v>1</v>
      </c>
      <c r="BM51" s="18">
        <v>0.88999998569500005</v>
      </c>
      <c r="BN51" s="18">
        <v>0.62</v>
      </c>
      <c r="BO51" s="18">
        <v>0.49000000953700001</v>
      </c>
    </row>
    <row r="52" spans="1:67" s="6" customFormat="1" ht="16" thickBot="1" x14ac:dyDescent="0.25">
      <c r="A52" s="4"/>
      <c r="B52" s="4" t="s">
        <v>58</v>
      </c>
      <c r="C52" s="4"/>
      <c r="D52" s="67"/>
      <c r="E52" s="4">
        <f>TTEST(E3:E22,E29:E48,2,1)</f>
        <v>2.1869615282486288E-11</v>
      </c>
      <c r="F52" s="4">
        <f t="shared" ref="F52:AG52" si="8">TTEST(F3:F22,F29:F48,2,1)</f>
        <v>3.8207730910582814E-9</v>
      </c>
      <c r="G52" s="4">
        <f t="shared" si="8"/>
        <v>6.2386812458185753E-9</v>
      </c>
      <c r="H52" s="4">
        <f t="shared" si="8"/>
        <v>1.6455826067711345E-7</v>
      </c>
      <c r="I52" s="4">
        <f t="shared" si="8"/>
        <v>5.9644034753387293E-6</v>
      </c>
      <c r="J52" s="4">
        <f t="shared" si="8"/>
        <v>3.3709965901900506E-6</v>
      </c>
      <c r="K52" s="4">
        <f t="shared" si="8"/>
        <v>3.3476353767219689E-6</v>
      </c>
      <c r="L52" s="4">
        <f t="shared" si="8"/>
        <v>3.7499270642193275E-7</v>
      </c>
      <c r="M52" s="4">
        <f t="shared" si="8"/>
        <v>9.5916651885907177E-7</v>
      </c>
      <c r="N52" s="4">
        <f t="shared" si="8"/>
        <v>3.568519684292146E-6</v>
      </c>
      <c r="O52" s="4">
        <f t="shared" si="8"/>
        <v>2.3005365179667077E-6</v>
      </c>
      <c r="P52" s="4">
        <f t="shared" si="8"/>
        <v>3.4461571883662001E-6</v>
      </c>
      <c r="Q52" s="4">
        <f t="shared" si="8"/>
        <v>5.6317084296231933E-6</v>
      </c>
      <c r="R52" s="4">
        <f t="shared" si="8"/>
        <v>2.5191005754675603E-6</v>
      </c>
      <c r="S52" s="4">
        <f t="shared" si="8"/>
        <v>2.6158440038003831E-6</v>
      </c>
      <c r="T52" s="4">
        <f t="shared" si="8"/>
        <v>1.970048945339251E-5</v>
      </c>
      <c r="U52" s="4">
        <f t="shared" si="8"/>
        <v>1.8589014356141948E-5</v>
      </c>
      <c r="V52" s="4">
        <f t="shared" si="8"/>
        <v>2.6157656787302718E-6</v>
      </c>
      <c r="W52" s="4">
        <f t="shared" si="8"/>
        <v>1.4701651729561859E-4</v>
      </c>
      <c r="X52" s="4">
        <f t="shared" si="8"/>
        <v>9.2697540933971427E-5</v>
      </c>
      <c r="Y52" s="4">
        <f t="shared" si="8"/>
        <v>2.8692590734239517E-4</v>
      </c>
      <c r="Z52" s="4">
        <f t="shared" si="8"/>
        <v>2.7240039366266871E-4</v>
      </c>
      <c r="AA52" s="4">
        <f t="shared" si="8"/>
        <v>2.0364799391412445E-4</v>
      </c>
      <c r="AB52" s="4">
        <f t="shared" si="8"/>
        <v>9.5769857870894749E-3</v>
      </c>
      <c r="AC52" s="4">
        <f t="shared" si="8"/>
        <v>4.4718386300958285E-3</v>
      </c>
      <c r="AD52" s="4">
        <f t="shared" si="8"/>
        <v>7.6954748043000371E-2</v>
      </c>
      <c r="AE52" s="4">
        <f t="shared" si="8"/>
        <v>1.9170199343084442E-2</v>
      </c>
      <c r="AF52" s="4">
        <f t="shared" si="8"/>
        <v>1.3802945696842596E-11</v>
      </c>
      <c r="AG52" s="4">
        <f t="shared" si="8"/>
        <v>3.5028919887241834E-2</v>
      </c>
      <c r="AH52" s="4"/>
      <c r="AI52" s="4"/>
      <c r="AL52" s="6" t="s">
        <v>38</v>
      </c>
      <c r="AV52" s="18">
        <v>0.239999994636</v>
      </c>
      <c r="AW52" s="18">
        <v>0.5</v>
      </c>
      <c r="AX52" s="18">
        <v>0.17</v>
      </c>
      <c r="AY52" s="18">
        <v>0.5</v>
      </c>
      <c r="AZ52" s="18">
        <v>0.75999999046300004</v>
      </c>
      <c r="BA52" s="18">
        <v>0</v>
      </c>
      <c r="BB52" s="18">
        <v>0.34</v>
      </c>
      <c r="BC52" s="18">
        <v>0.5</v>
      </c>
      <c r="BD52" s="18">
        <v>0.81000000238400005</v>
      </c>
      <c r="BE52" s="18">
        <v>0</v>
      </c>
      <c r="BF52" s="18">
        <v>0.219999998808</v>
      </c>
      <c r="BG52" s="18">
        <v>0</v>
      </c>
      <c r="BH52" s="18">
        <v>5.0000000745099998E-2</v>
      </c>
      <c r="BI52" s="18">
        <v>0</v>
      </c>
      <c r="BJ52" s="18">
        <v>9.9999997764800008E-3</v>
      </c>
      <c r="BK52" s="18">
        <v>0.49000000953700001</v>
      </c>
      <c r="BL52" s="18">
        <v>1</v>
      </c>
      <c r="BM52" s="18">
        <v>0.51999998092699995</v>
      </c>
      <c r="BN52" s="18">
        <v>0.08</v>
      </c>
      <c r="BO52" s="18">
        <v>0.74000000953699996</v>
      </c>
    </row>
    <row r="53" spans="1:67" s="6" customFormat="1" ht="16" thickBot="1" x14ac:dyDescent="0.25">
      <c r="A53" s="4"/>
      <c r="B53" s="4" t="s">
        <v>746</v>
      </c>
      <c r="C53" s="4"/>
      <c r="D53" s="67"/>
      <c r="E53" s="4"/>
      <c r="F53" s="6">
        <f>F52*21</f>
        <v>8.0236234912223905E-8</v>
      </c>
      <c r="G53" s="6">
        <f t="shared" ref="G53:AG53" si="9">G52*21</f>
        <v>1.3101230616219009E-7</v>
      </c>
      <c r="H53" s="6">
        <f t="shared" si="9"/>
        <v>3.4557234742193824E-6</v>
      </c>
      <c r="I53" s="6">
        <f t="shared" si="9"/>
        <v>1.2525247298211331E-4</v>
      </c>
      <c r="J53" s="6">
        <f t="shared" si="9"/>
        <v>7.0790928393991057E-5</v>
      </c>
      <c r="K53" s="6">
        <f t="shared" si="9"/>
        <v>7.0300342911161341E-5</v>
      </c>
      <c r="L53" s="6">
        <f t="shared" si="9"/>
        <v>7.8748468348605878E-6</v>
      </c>
      <c r="M53" s="6">
        <f t="shared" si="9"/>
        <v>2.0142496896040506E-5</v>
      </c>
      <c r="N53" s="6">
        <f t="shared" si="9"/>
        <v>7.4938913370135065E-5</v>
      </c>
      <c r="O53" s="6">
        <f t="shared" si="9"/>
        <v>4.8311266877300863E-5</v>
      </c>
      <c r="P53" s="6">
        <f t="shared" si="9"/>
        <v>7.2369300955690203E-5</v>
      </c>
      <c r="Q53" s="6">
        <f t="shared" si="9"/>
        <v>1.1826587702208705E-4</v>
      </c>
      <c r="R53" s="6">
        <f t="shared" si="9"/>
        <v>5.2901112084818769E-5</v>
      </c>
      <c r="S53" s="6">
        <f t="shared" si="9"/>
        <v>5.4932724079808043E-5</v>
      </c>
      <c r="T53" s="6">
        <f t="shared" si="9"/>
        <v>4.1371027852124271E-4</v>
      </c>
      <c r="U53" s="6">
        <f t="shared" si="9"/>
        <v>3.9036930147898089E-4</v>
      </c>
      <c r="V53" s="6">
        <f t="shared" si="9"/>
        <v>5.4931079253335705E-5</v>
      </c>
      <c r="W53" s="6">
        <f t="shared" si="9"/>
        <v>3.0873468632079903E-3</v>
      </c>
      <c r="X53" s="6">
        <f t="shared" si="9"/>
        <v>1.9466483596133999E-3</v>
      </c>
      <c r="Y53" s="6">
        <f t="shared" si="9"/>
        <v>6.0254440541902985E-3</v>
      </c>
      <c r="Z53" s="6">
        <f t="shared" si="9"/>
        <v>5.7204082669160428E-3</v>
      </c>
      <c r="AA53" s="6">
        <f t="shared" si="9"/>
        <v>4.2766078721966135E-3</v>
      </c>
      <c r="AB53" s="65">
        <f t="shared" si="9"/>
        <v>0.20111670152887898</v>
      </c>
      <c r="AC53" s="65">
        <f t="shared" si="9"/>
        <v>9.3908611232012398E-2</v>
      </c>
      <c r="AD53" s="65">
        <f t="shared" si="9"/>
        <v>1.6160497089030077</v>
      </c>
      <c r="AE53" s="65">
        <f t="shared" si="9"/>
        <v>0.40257418620477325</v>
      </c>
      <c r="AF53" s="6">
        <f t="shared" si="9"/>
        <v>2.8986185963369453E-10</v>
      </c>
      <c r="AG53" s="65">
        <f t="shared" si="9"/>
        <v>0.73560731763207854</v>
      </c>
      <c r="AH53" s="4"/>
      <c r="AI53" s="4"/>
      <c r="AL53" s="6" t="s">
        <v>50</v>
      </c>
      <c r="AV53" s="18">
        <v>0.28000000119200003</v>
      </c>
      <c r="AW53" s="18">
        <v>0</v>
      </c>
      <c r="AX53" s="18">
        <v>7.0000000000000007E-2</v>
      </c>
      <c r="AY53" s="18">
        <v>0</v>
      </c>
      <c r="AZ53" s="18">
        <v>0.15999999642400001</v>
      </c>
      <c r="BA53" s="18">
        <v>0.04</v>
      </c>
      <c r="BB53" s="18">
        <v>0.17</v>
      </c>
      <c r="BC53" s="18">
        <v>1</v>
      </c>
      <c r="BD53" s="18">
        <v>0.119999997318</v>
      </c>
      <c r="BE53" s="18">
        <v>0</v>
      </c>
      <c r="BF53" s="18">
        <v>0</v>
      </c>
      <c r="BG53" s="18">
        <v>0</v>
      </c>
      <c r="BH53" s="18">
        <v>0</v>
      </c>
      <c r="BI53" s="18">
        <v>3.9999999105899998E-2</v>
      </c>
      <c r="BJ53" s="18">
        <v>9.9999997764800008E-3</v>
      </c>
      <c r="BK53" s="18">
        <v>0.58999997377400004</v>
      </c>
      <c r="BL53" s="18">
        <v>1</v>
      </c>
      <c r="BM53" s="18">
        <v>0.28999999165500001</v>
      </c>
      <c r="BN53" s="18">
        <v>0.93</v>
      </c>
      <c r="BO53" s="18">
        <v>0.76999998092699995</v>
      </c>
    </row>
    <row r="54" spans="1:67" ht="16" thickBot="1" x14ac:dyDescent="0.25">
      <c r="AL54" s="6" t="s">
        <v>39</v>
      </c>
      <c r="AV54" s="18">
        <v>0</v>
      </c>
      <c r="AW54" s="18">
        <v>0.51</v>
      </c>
      <c r="AX54" s="18">
        <v>0.36</v>
      </c>
      <c r="AY54" s="18">
        <v>0</v>
      </c>
      <c r="AZ54" s="18">
        <v>0.15000000595999999</v>
      </c>
      <c r="BA54" s="18">
        <v>0</v>
      </c>
      <c r="BB54" s="18">
        <v>0.01</v>
      </c>
      <c r="BC54" s="18">
        <v>1</v>
      </c>
      <c r="BD54" s="18">
        <v>9.9999997764800008E-3</v>
      </c>
      <c r="BE54" s="18">
        <v>0.4</v>
      </c>
      <c r="BF54" s="18">
        <v>0</v>
      </c>
      <c r="BG54" s="18">
        <v>0.23</v>
      </c>
      <c r="BH54" s="18">
        <v>0.69999998807899999</v>
      </c>
      <c r="BI54" s="18">
        <v>0.18000000715299999</v>
      </c>
      <c r="BJ54" s="18">
        <v>0.10000000149</v>
      </c>
      <c r="BK54" s="18">
        <v>5.9999998658900003E-2</v>
      </c>
      <c r="BL54" s="18">
        <v>0</v>
      </c>
      <c r="BM54" s="18">
        <v>0</v>
      </c>
      <c r="BN54" s="18">
        <v>0</v>
      </c>
      <c r="BO54" s="18">
        <v>0.109999999404</v>
      </c>
    </row>
    <row r="55" spans="1:67" ht="16" thickBot="1" x14ac:dyDescent="0.25">
      <c r="A55" s="5"/>
      <c r="B55" s="5"/>
      <c r="C55" s="5"/>
      <c r="D55" s="5"/>
      <c r="F55" s="18"/>
      <c r="O55" s="18"/>
      <c r="R55" s="5"/>
      <c r="AE55" s="18"/>
      <c r="AF55" s="18"/>
      <c r="AG55" s="18"/>
      <c r="AL55" s="6" t="s">
        <v>37</v>
      </c>
      <c r="AV55" s="18">
        <v>0.55000001192100001</v>
      </c>
      <c r="AW55" s="18">
        <v>0.06</v>
      </c>
      <c r="AX55" s="18">
        <v>0.17</v>
      </c>
      <c r="AY55" s="18">
        <v>0</v>
      </c>
      <c r="AZ55" s="18">
        <v>5.0000000745099998E-2</v>
      </c>
      <c r="BA55" s="18">
        <v>0.22</v>
      </c>
      <c r="BB55" s="18">
        <v>0.06</v>
      </c>
      <c r="BC55" s="18">
        <v>1</v>
      </c>
      <c r="BD55" s="18">
        <v>0.12999999523200001</v>
      </c>
      <c r="BE55" s="18">
        <v>0.76</v>
      </c>
      <c r="BF55" s="18">
        <v>0</v>
      </c>
      <c r="BG55" s="18">
        <v>0</v>
      </c>
      <c r="BH55" s="18">
        <v>0.15000000595999999</v>
      </c>
      <c r="BI55" s="18">
        <v>0</v>
      </c>
      <c r="BJ55" s="18">
        <v>1.9999999553000001E-2</v>
      </c>
      <c r="BK55" s="18">
        <v>0.37000000476799999</v>
      </c>
      <c r="BL55" s="18">
        <v>0</v>
      </c>
      <c r="BM55" s="18">
        <v>0</v>
      </c>
      <c r="BN55" s="18">
        <v>0.05</v>
      </c>
      <c r="BO55" s="18">
        <v>9.0000003576300003E-2</v>
      </c>
    </row>
    <row r="56" spans="1:67" ht="16" thickBot="1" x14ac:dyDescent="0.25">
      <c r="A56" s="16" t="s">
        <v>201</v>
      </c>
      <c r="B56" s="5"/>
      <c r="C56" s="5"/>
      <c r="D56" s="5"/>
      <c r="F56" s="18"/>
      <c r="K56">
        <v>1</v>
      </c>
      <c r="L56">
        <v>5</v>
      </c>
      <c r="O56" s="18"/>
      <c r="R56" s="5"/>
      <c r="AE56" s="18"/>
      <c r="AF56" s="18"/>
      <c r="AG56" s="18"/>
      <c r="AL56" s="6" t="s">
        <v>34</v>
      </c>
      <c r="AV56" s="18">
        <v>0</v>
      </c>
      <c r="AW56" s="18">
        <v>0.13</v>
      </c>
      <c r="AX56" s="18">
        <v>0.13</v>
      </c>
      <c r="AY56" s="18">
        <v>1</v>
      </c>
      <c r="AZ56" s="18">
        <v>0.219999998808</v>
      </c>
      <c r="BA56" s="18">
        <v>0.04</v>
      </c>
      <c r="BB56" s="18">
        <v>0</v>
      </c>
      <c r="BC56" s="18">
        <v>1</v>
      </c>
      <c r="BD56" s="18">
        <v>0</v>
      </c>
      <c r="BE56" s="18">
        <v>0.19</v>
      </c>
      <c r="BF56" s="18">
        <v>0.189999997616</v>
      </c>
      <c r="BG56" s="18">
        <v>0</v>
      </c>
      <c r="BH56" s="18">
        <v>9.9999997764800008E-3</v>
      </c>
      <c r="BI56" s="18">
        <v>0</v>
      </c>
      <c r="BJ56" s="18">
        <v>1.9999999553000001E-2</v>
      </c>
      <c r="BK56" s="18">
        <v>0.47999998927100002</v>
      </c>
      <c r="BL56" s="18">
        <v>0</v>
      </c>
      <c r="BM56" s="18">
        <v>0</v>
      </c>
      <c r="BN56" s="18">
        <v>0</v>
      </c>
      <c r="BO56" s="18">
        <v>3.9999999105899998E-2</v>
      </c>
    </row>
    <row r="57" spans="1:67" ht="16" thickBot="1" x14ac:dyDescent="0.25">
      <c r="A57" s="5"/>
      <c r="B57" s="5"/>
      <c r="C57" s="5"/>
      <c r="D57" s="5"/>
      <c r="F57" s="18"/>
      <c r="K57">
        <v>2</v>
      </c>
      <c r="L57">
        <v>3</v>
      </c>
      <c r="O57" s="18"/>
      <c r="R57" s="5"/>
      <c r="AE57" s="18"/>
      <c r="AF57" s="18"/>
      <c r="AG57" s="18"/>
      <c r="AL57" s="6" t="s">
        <v>40</v>
      </c>
      <c r="AV57" s="18">
        <v>0.579999983311</v>
      </c>
      <c r="AW57" s="18">
        <v>0.06</v>
      </c>
      <c r="AX57" s="18">
        <v>7.0000000000000007E-2</v>
      </c>
      <c r="AY57" s="18">
        <v>0</v>
      </c>
      <c r="AZ57" s="18">
        <v>0.17000000178800001</v>
      </c>
      <c r="BA57" s="18">
        <v>0.23</v>
      </c>
      <c r="BB57" s="18">
        <v>0.28999999999999998</v>
      </c>
      <c r="BC57" s="18">
        <v>0</v>
      </c>
      <c r="BD57" s="18">
        <v>0</v>
      </c>
      <c r="BE57" s="18">
        <v>0</v>
      </c>
      <c r="BF57" s="18">
        <v>0.109999999404</v>
      </c>
      <c r="BG57" s="18">
        <v>0.22</v>
      </c>
      <c r="BH57" s="18">
        <v>0.20999999344299999</v>
      </c>
      <c r="BI57" s="18">
        <v>0</v>
      </c>
      <c r="BJ57" s="18">
        <v>0</v>
      </c>
      <c r="BK57" s="18">
        <v>0</v>
      </c>
      <c r="BL57" s="18">
        <v>0</v>
      </c>
      <c r="BM57" s="18">
        <v>0.27000001072899998</v>
      </c>
      <c r="BN57" s="18">
        <v>0</v>
      </c>
      <c r="BO57" s="18">
        <v>0</v>
      </c>
    </row>
    <row r="58" spans="1:67" ht="16" thickBot="1" x14ac:dyDescent="0.25">
      <c r="A58" s="5">
        <v>5.7058823323432949E-2</v>
      </c>
      <c r="B58" s="5">
        <v>1.3888888487355555E-2</v>
      </c>
      <c r="C58" s="5" t="s">
        <v>32</v>
      </c>
      <c r="D58"/>
      <c r="H58" s="5"/>
      <c r="K58" s="18">
        <v>3</v>
      </c>
      <c r="L58">
        <v>3</v>
      </c>
      <c r="N58">
        <v>5.7058823323432949E-2</v>
      </c>
      <c r="O58">
        <v>1.3888888487355555E-2</v>
      </c>
      <c r="P58" t="s">
        <v>32</v>
      </c>
      <c r="X58">
        <v>0.73549999794365006</v>
      </c>
      <c r="Y58">
        <v>6.3500000115469996E-2</v>
      </c>
      <c r="Z58" s="6" t="s">
        <v>26</v>
      </c>
      <c r="AB58">
        <v>6.5584316649314287E-2</v>
      </c>
      <c r="AC58">
        <v>2.1597697446670488E-2</v>
      </c>
      <c r="AD58" s="18"/>
      <c r="AE58" s="18"/>
      <c r="AF58" s="18"/>
      <c r="AL58" s="6" t="s">
        <v>32</v>
      </c>
      <c r="AV58" s="18">
        <v>0</v>
      </c>
      <c r="AW58" s="18">
        <v>0.16</v>
      </c>
      <c r="AX58" s="18">
        <v>0.28000000000000003</v>
      </c>
      <c r="AY58" s="18">
        <v>9.9999997764800008E-3</v>
      </c>
      <c r="AZ58" s="18">
        <v>0.20000000298000001</v>
      </c>
      <c r="BA58" s="18">
        <v>0.04</v>
      </c>
      <c r="BB58" s="18">
        <v>0</v>
      </c>
      <c r="BC58" s="18">
        <v>1</v>
      </c>
      <c r="BD58" s="18">
        <v>0</v>
      </c>
      <c r="BE58" s="18">
        <v>0</v>
      </c>
      <c r="BF58" s="18">
        <v>0</v>
      </c>
      <c r="BG58" s="18">
        <v>0</v>
      </c>
      <c r="BH58" s="18">
        <v>9.9999997764800008E-3</v>
      </c>
      <c r="BI58" s="18">
        <v>0.14000000059600001</v>
      </c>
      <c r="BJ58" s="18">
        <v>0.239999994636</v>
      </c>
      <c r="BK58" s="18">
        <v>0</v>
      </c>
      <c r="BL58" s="18">
        <v>2.99999993294E-2</v>
      </c>
      <c r="BM58" s="18">
        <v>0</v>
      </c>
      <c r="BN58" s="18">
        <v>0</v>
      </c>
      <c r="BO58" s="18">
        <v>5.0000000745099998E-2</v>
      </c>
    </row>
    <row r="59" spans="1:67" ht="16" thickBot="1" x14ac:dyDescent="0.25">
      <c r="A59" s="5">
        <v>0.14176470500143998</v>
      </c>
      <c r="B59" s="5">
        <v>1.2777777699137778E-2</v>
      </c>
      <c r="C59" s="5" t="s">
        <v>34</v>
      </c>
      <c r="D59"/>
      <c r="H59" s="5"/>
      <c r="K59" s="18">
        <v>4</v>
      </c>
      <c r="L59">
        <v>4</v>
      </c>
      <c r="N59">
        <v>0.12999999933382353</v>
      </c>
      <c r="O59">
        <v>0.89833333578372232</v>
      </c>
      <c r="P59" t="s">
        <v>40</v>
      </c>
      <c r="X59">
        <v>0.69500000545374996</v>
      </c>
      <c r="Y59">
        <v>6.5000000149049997E-3</v>
      </c>
      <c r="Z59" s="6" t="s">
        <v>22</v>
      </c>
      <c r="AB59">
        <v>4.9500133099396076E-2</v>
      </c>
      <c r="AC59">
        <v>3.8576649784807103E-3</v>
      </c>
      <c r="AD59" s="18"/>
      <c r="AE59" s="18"/>
      <c r="AF59" s="18"/>
    </row>
    <row r="60" spans="1:67" ht="16" thickBot="1" x14ac:dyDescent="0.25">
      <c r="A60" s="5">
        <v>0.14882352905672824</v>
      </c>
      <c r="B60" s="5">
        <v>1.499999990895E-2</v>
      </c>
      <c r="C60" s="5" t="s">
        <v>39</v>
      </c>
      <c r="D60"/>
      <c r="H60" s="5"/>
      <c r="K60" s="18">
        <v>5</v>
      </c>
      <c r="L60">
        <v>5</v>
      </c>
      <c r="N60">
        <v>0.14176470500143998</v>
      </c>
      <c r="O60">
        <v>1.2777777699137778E-2</v>
      </c>
      <c r="P60" t="s">
        <v>34</v>
      </c>
      <c r="X60">
        <v>0.69099999845030002</v>
      </c>
      <c r="Y60">
        <v>6.4000000204869983E-2</v>
      </c>
      <c r="Z60" s="6" t="s">
        <v>25</v>
      </c>
      <c r="AB60">
        <v>6.5582009324841914E-2</v>
      </c>
      <c r="AC60">
        <v>2.5030507874100619E-2</v>
      </c>
      <c r="AD60" s="18"/>
      <c r="AE60" s="18"/>
      <c r="AF60" s="18"/>
    </row>
    <row r="61" spans="1:67" ht="16" thickBot="1" x14ac:dyDescent="0.25">
      <c r="A61" s="5">
        <v>0.31647058656105881</v>
      </c>
      <c r="B61" s="5">
        <v>1.3888888474986668E-2</v>
      </c>
      <c r="C61" s="5" t="s">
        <v>35</v>
      </c>
      <c r="D61"/>
      <c r="H61" s="5"/>
      <c r="K61" s="18">
        <v>6</v>
      </c>
      <c r="L61">
        <v>3</v>
      </c>
      <c r="N61">
        <v>0.14882352905672824</v>
      </c>
      <c r="O61">
        <v>1.499999990895E-2</v>
      </c>
      <c r="P61" t="s">
        <v>39</v>
      </c>
      <c r="X61">
        <v>0.67599999982119996</v>
      </c>
      <c r="Y61">
        <v>5.9999999064973997E-2</v>
      </c>
      <c r="Z61" s="6" t="s">
        <v>43</v>
      </c>
      <c r="AB61">
        <v>8.4272115225200742E-2</v>
      </c>
      <c r="AC61">
        <v>2.5464112582565049E-2</v>
      </c>
      <c r="AD61" s="18"/>
      <c r="AE61" s="18"/>
      <c r="AF61" s="18"/>
    </row>
    <row r="62" spans="1:67" ht="16" thickBot="1" x14ac:dyDescent="0.25">
      <c r="A62" s="5">
        <v>0.33470588101626941</v>
      </c>
      <c r="B62" s="5">
        <v>3.8888888756427785E-2</v>
      </c>
      <c r="C62" s="5" t="s">
        <v>38</v>
      </c>
      <c r="D62"/>
      <c r="H62" s="5"/>
      <c r="K62" s="18">
        <v>7</v>
      </c>
      <c r="L62">
        <v>3</v>
      </c>
      <c r="N62">
        <v>0.15235294224582938</v>
      </c>
      <c r="O62">
        <v>4.8888889166182226E-2</v>
      </c>
      <c r="P62" t="s">
        <v>37</v>
      </c>
      <c r="X62">
        <v>0.63199999944869512</v>
      </c>
      <c r="Y62">
        <v>7.3999999929213994E-2</v>
      </c>
      <c r="Z62" s="6" t="s">
        <v>41</v>
      </c>
      <c r="AB62">
        <v>7.8752109262863912E-2</v>
      </c>
      <c r="AC62">
        <v>3.9692237118204604E-2</v>
      </c>
      <c r="AD62" s="18"/>
      <c r="AE62" s="18"/>
      <c r="AF62" s="18"/>
    </row>
    <row r="63" spans="1:67" ht="16" thickBot="1" x14ac:dyDescent="0.25">
      <c r="A63" s="5">
        <v>0.37411764416623539</v>
      </c>
      <c r="B63" s="5">
        <v>7.7777777529444442E-3</v>
      </c>
      <c r="C63" s="5" t="s">
        <v>29</v>
      </c>
      <c r="D63"/>
      <c r="H63" s="5"/>
      <c r="K63" s="18">
        <v>8</v>
      </c>
      <c r="L63">
        <v>4</v>
      </c>
      <c r="N63">
        <v>0.21529411530232237</v>
      </c>
      <c r="O63">
        <v>1.4444444572748889E-2</v>
      </c>
      <c r="P63" t="s">
        <v>50</v>
      </c>
      <c r="X63">
        <v>0.6285000014901001</v>
      </c>
      <c r="Y63">
        <v>0.109500000540165</v>
      </c>
      <c r="Z63" s="6" t="s">
        <v>36</v>
      </c>
      <c r="AB63">
        <v>7.6962995549501201E-2</v>
      </c>
      <c r="AC63">
        <v>3.1476599844973627E-2</v>
      </c>
      <c r="AD63" s="18"/>
      <c r="AE63" s="18"/>
      <c r="AF63" s="18"/>
    </row>
    <row r="64" spans="1:67" ht="16" thickBot="1" x14ac:dyDescent="0.25">
      <c r="A64" s="5">
        <v>0.44705882581717649</v>
      </c>
      <c r="B64" s="5">
        <v>7.7777777198333332E-3</v>
      </c>
      <c r="C64" s="5" t="s">
        <v>31</v>
      </c>
      <c r="D64"/>
      <c r="H64" s="5"/>
      <c r="K64" s="18">
        <v>9</v>
      </c>
      <c r="L64">
        <v>3</v>
      </c>
      <c r="N64">
        <v>0.31647058656105881</v>
      </c>
      <c r="O64">
        <v>1.3888888474986668E-2</v>
      </c>
      <c r="P64" t="s">
        <v>35</v>
      </c>
      <c r="X64">
        <v>0.62749999915064003</v>
      </c>
      <c r="Y64">
        <v>3.6499999746693004E-2</v>
      </c>
      <c r="Z64" s="6" t="s">
        <v>27</v>
      </c>
      <c r="AB64">
        <v>8.7988860033761315E-2</v>
      </c>
      <c r="AC64">
        <v>1.5530530048368012E-2</v>
      </c>
      <c r="AD64" s="18"/>
      <c r="AE64" s="18"/>
      <c r="AF64" s="18"/>
    </row>
    <row r="65" spans="1:16" x14ac:dyDescent="0.2">
      <c r="A65" s="5">
        <v>0.46647059175895889</v>
      </c>
      <c r="B65" s="5">
        <v>4.222222215599445E-2</v>
      </c>
      <c r="C65" s="5" t="s">
        <v>42</v>
      </c>
      <c r="D65"/>
      <c r="K65" s="18">
        <v>10</v>
      </c>
      <c r="L65">
        <v>3</v>
      </c>
      <c r="N65">
        <v>0.33470588101626941</v>
      </c>
      <c r="O65">
        <v>3.8888888756427785E-2</v>
      </c>
      <c r="P65" t="s">
        <v>38</v>
      </c>
    </row>
    <row r="66" spans="1:16" x14ac:dyDescent="0.2">
      <c r="A66" s="5">
        <v>0.50117646587691045</v>
      </c>
      <c r="B66" s="5">
        <v>1.6666666501105556E-2</v>
      </c>
      <c r="C66" s="5" t="s">
        <v>23</v>
      </c>
      <c r="D66"/>
      <c r="K66" s="18">
        <v>11</v>
      </c>
      <c r="L66">
        <v>3</v>
      </c>
      <c r="N66">
        <v>0.37411764416623539</v>
      </c>
      <c r="O66">
        <v>7.7777777529444442E-3</v>
      </c>
      <c r="P66" t="s">
        <v>29</v>
      </c>
    </row>
    <row r="67" spans="1:16" x14ac:dyDescent="0.2">
      <c r="A67" s="5">
        <v>0.51411764658991055</v>
      </c>
      <c r="B67" s="5">
        <v>1.8888888723327779E-2</v>
      </c>
      <c r="C67" s="5" t="s">
        <v>33</v>
      </c>
      <c r="D67"/>
      <c r="K67" s="18">
        <v>12</v>
      </c>
      <c r="L67">
        <v>3</v>
      </c>
      <c r="N67">
        <v>0.38529411692828824</v>
      </c>
      <c r="O67">
        <v>3.2777777264497786E-2</v>
      </c>
      <c r="P67" t="s">
        <v>47</v>
      </c>
    </row>
    <row r="68" spans="1:16" x14ac:dyDescent="0.2">
      <c r="A68" s="5">
        <v>0.52411764875929423</v>
      </c>
      <c r="B68" s="5">
        <v>1.888888899649778E-2</v>
      </c>
      <c r="C68" s="5" t="s">
        <v>44</v>
      </c>
      <c r="D68"/>
      <c r="K68" s="18">
        <v>13</v>
      </c>
      <c r="L68">
        <v>3</v>
      </c>
      <c r="N68">
        <v>0.39647058513673405</v>
      </c>
      <c r="O68">
        <v>2.2777777984720003E-2</v>
      </c>
      <c r="P68" t="s">
        <v>49</v>
      </c>
    </row>
    <row r="69" spans="1:16" x14ac:dyDescent="0.2">
      <c r="A69" s="5">
        <v>0.55941176481988231</v>
      </c>
      <c r="B69" s="5">
        <v>1.3333333258826666E-2</v>
      </c>
      <c r="C69" s="5" t="s">
        <v>30</v>
      </c>
      <c r="D69"/>
      <c r="K69" s="18">
        <v>14</v>
      </c>
      <c r="L69">
        <v>4</v>
      </c>
      <c r="N69">
        <v>0.44705882581717649</v>
      </c>
      <c r="O69">
        <v>7.7777777198333332E-3</v>
      </c>
      <c r="P69" t="s">
        <v>31</v>
      </c>
    </row>
    <row r="70" spans="1:16" x14ac:dyDescent="0.2">
      <c r="A70" s="5">
        <v>0.56117647113170577</v>
      </c>
      <c r="B70" s="5">
        <v>1.8333333440942221E-2</v>
      </c>
      <c r="C70" s="5" t="s">
        <v>45</v>
      </c>
      <c r="D70"/>
      <c r="K70" s="18">
        <v>15</v>
      </c>
      <c r="L70">
        <v>3</v>
      </c>
      <c r="N70">
        <v>0.46647059175895889</v>
      </c>
      <c r="O70">
        <v>4.222222215599445E-2</v>
      </c>
      <c r="P70" t="s">
        <v>42</v>
      </c>
    </row>
    <row r="71" spans="1:16" x14ac:dyDescent="0.2">
      <c r="A71" s="5">
        <v>0.58941176170811771</v>
      </c>
      <c r="B71" s="5">
        <v>2.666666586366111E-2</v>
      </c>
      <c r="C71" s="5" t="s">
        <v>24</v>
      </c>
      <c r="D71"/>
      <c r="K71" s="18">
        <v>16</v>
      </c>
      <c r="L71">
        <v>4</v>
      </c>
      <c r="N71">
        <v>0.50117646587691045</v>
      </c>
      <c r="O71">
        <v>1.6666666501105556E-2</v>
      </c>
      <c r="P71" t="s">
        <v>23</v>
      </c>
    </row>
    <row r="72" spans="1:16" x14ac:dyDescent="0.2">
      <c r="A72" s="5">
        <v>0.59000000012269405</v>
      </c>
      <c r="B72" s="5">
        <v>2.7222222238770005E-2</v>
      </c>
      <c r="C72" s="5" t="s">
        <v>27</v>
      </c>
      <c r="D72"/>
      <c r="K72" s="18">
        <v>17</v>
      </c>
      <c r="L72">
        <v>3</v>
      </c>
      <c r="N72">
        <v>0.50529411578449412</v>
      </c>
      <c r="O72">
        <v>1.8888889170326668E-2</v>
      </c>
      <c r="P72" t="s">
        <v>48</v>
      </c>
    </row>
    <row r="73" spans="1:16" x14ac:dyDescent="0.2">
      <c r="A73" s="5">
        <v>0.59000000049088253</v>
      </c>
      <c r="B73" s="5">
        <v>0.10333333320501667</v>
      </c>
      <c r="C73" s="5" t="s">
        <v>36</v>
      </c>
      <c r="D73"/>
      <c r="K73" s="18">
        <v>18</v>
      </c>
      <c r="L73">
        <v>4</v>
      </c>
      <c r="N73">
        <v>0.50764705777158814</v>
      </c>
      <c r="O73">
        <v>4.2777777603932227E-2</v>
      </c>
      <c r="P73" t="s">
        <v>46</v>
      </c>
    </row>
    <row r="74" spans="1:16" x14ac:dyDescent="0.2">
      <c r="A74" s="5">
        <v>0.59235294094864122</v>
      </c>
      <c r="B74" s="5">
        <v>7.555555562590445E-2</v>
      </c>
      <c r="C74" s="5" t="s">
        <v>41</v>
      </c>
      <c r="D74"/>
      <c r="K74" s="18">
        <v>19</v>
      </c>
      <c r="L74">
        <v>5</v>
      </c>
      <c r="N74">
        <v>0.51411764658991055</v>
      </c>
      <c r="O74">
        <v>1.8888888723327779E-2</v>
      </c>
      <c r="P74" t="s">
        <v>33</v>
      </c>
    </row>
    <row r="75" spans="1:16" x14ac:dyDescent="0.2">
      <c r="A75" s="5">
        <v>0.60176470530820481</v>
      </c>
      <c r="B75" s="5">
        <v>2.7222222006999999E-2</v>
      </c>
      <c r="C75" s="5" t="s">
        <v>28</v>
      </c>
      <c r="D75"/>
      <c r="K75" s="18">
        <v>20</v>
      </c>
      <c r="L75">
        <v>2</v>
      </c>
      <c r="N75">
        <v>0.52411764875929423</v>
      </c>
      <c r="O75">
        <v>1.888888899649778E-2</v>
      </c>
      <c r="P75" t="s">
        <v>44</v>
      </c>
    </row>
    <row r="76" spans="1:16" x14ac:dyDescent="0.2">
      <c r="A76" s="5">
        <v>0.62529411827817649</v>
      </c>
      <c r="B76" s="5">
        <v>6.1111109989404437E-2</v>
      </c>
      <c r="C76" s="5" t="s">
        <v>43</v>
      </c>
      <c r="D76"/>
      <c r="K76" s="18">
        <v>21</v>
      </c>
      <c r="L76">
        <v>2</v>
      </c>
      <c r="N76">
        <v>0.55941176481988231</v>
      </c>
      <c r="O76">
        <v>1.3333333258826666E-2</v>
      </c>
      <c r="P76" t="s">
        <v>30</v>
      </c>
    </row>
    <row r="77" spans="1:16" x14ac:dyDescent="0.2">
      <c r="A77" s="5">
        <v>0.6647058816517647</v>
      </c>
      <c r="B77" s="5">
        <v>7.1111111338744426E-2</v>
      </c>
      <c r="C77" s="5" t="s">
        <v>25</v>
      </c>
      <c r="D77"/>
      <c r="K77" s="18">
        <v>22</v>
      </c>
      <c r="L77">
        <v>2</v>
      </c>
      <c r="N77">
        <v>0.56117647113170577</v>
      </c>
      <c r="O77">
        <v>1.8333333440942221E-2</v>
      </c>
      <c r="P77" t="s">
        <v>45</v>
      </c>
    </row>
    <row r="78" spans="1:16" x14ac:dyDescent="0.2">
      <c r="A78" s="5">
        <v>0.69764705850799991</v>
      </c>
      <c r="B78" s="5">
        <v>6.7777777864683336E-2</v>
      </c>
      <c r="C78" s="5" t="s">
        <v>26</v>
      </c>
      <c r="D78"/>
      <c r="K78" s="18">
        <v>23</v>
      </c>
      <c r="L78">
        <v>2</v>
      </c>
      <c r="N78">
        <v>0.58941176170811771</v>
      </c>
      <c r="O78">
        <v>2.666666586366111E-2</v>
      </c>
      <c r="P78" t="s">
        <v>24</v>
      </c>
    </row>
    <row r="79" spans="1:16" x14ac:dyDescent="0.2">
      <c r="A79" s="5"/>
      <c r="B79" s="5"/>
      <c r="C79" s="5"/>
      <c r="D79"/>
      <c r="K79" s="18">
        <v>24</v>
      </c>
      <c r="L79">
        <v>2</v>
      </c>
      <c r="N79">
        <v>0.59000000012269405</v>
      </c>
      <c r="O79">
        <v>2.7222222238770005E-2</v>
      </c>
      <c r="P79" t="s">
        <v>27</v>
      </c>
    </row>
    <row r="80" spans="1:16" x14ac:dyDescent="0.2">
      <c r="A80" s="5"/>
      <c r="B80" s="5"/>
      <c r="C80" s="5"/>
      <c r="D80"/>
      <c r="K80" s="18">
        <v>25</v>
      </c>
      <c r="L80">
        <v>1</v>
      </c>
      <c r="N80">
        <v>0.59000000049088253</v>
      </c>
      <c r="O80">
        <v>0.10333333320501667</v>
      </c>
      <c r="P80" t="s">
        <v>36</v>
      </c>
    </row>
    <row r="81" spans="1:18" x14ac:dyDescent="0.2">
      <c r="A81" s="5"/>
      <c r="B81" s="5"/>
      <c r="C81" s="5"/>
      <c r="D81"/>
      <c r="K81" s="18">
        <v>26</v>
      </c>
      <c r="L81">
        <v>1</v>
      </c>
      <c r="N81">
        <v>0.59235294094864122</v>
      </c>
      <c r="O81">
        <v>7.555555562590445E-2</v>
      </c>
      <c r="P81" t="s">
        <v>41</v>
      </c>
    </row>
    <row r="82" spans="1:18" x14ac:dyDescent="0.2">
      <c r="A82" s="5"/>
      <c r="B82" s="5"/>
      <c r="C82" s="5"/>
      <c r="D82"/>
      <c r="K82" s="18">
        <v>27</v>
      </c>
      <c r="L82">
        <v>1</v>
      </c>
      <c r="N82">
        <v>0.60176470530820481</v>
      </c>
      <c r="O82">
        <v>2.7222222006999999E-2</v>
      </c>
      <c r="P82" t="s">
        <v>28</v>
      </c>
    </row>
    <row r="83" spans="1:18" x14ac:dyDescent="0.2">
      <c r="A83" s="5"/>
      <c r="B83" s="5"/>
      <c r="C83" s="5"/>
      <c r="D83"/>
      <c r="K83" s="18">
        <v>28</v>
      </c>
      <c r="L83">
        <v>1</v>
      </c>
      <c r="N83">
        <v>0.62529411827817649</v>
      </c>
      <c r="O83">
        <v>6.1111109989404437E-2</v>
      </c>
      <c r="P83" t="s">
        <v>43</v>
      </c>
    </row>
    <row r="84" spans="1:18" x14ac:dyDescent="0.2">
      <c r="A84" s="5"/>
      <c r="B84" s="5"/>
      <c r="C84" s="5"/>
      <c r="D84"/>
      <c r="K84" s="18">
        <v>29</v>
      </c>
      <c r="L84">
        <v>1</v>
      </c>
      <c r="N84">
        <v>0.6647058816517647</v>
      </c>
      <c r="O84">
        <v>7.1111111338744426E-2</v>
      </c>
      <c r="P84" t="s">
        <v>25</v>
      </c>
    </row>
    <row r="85" spans="1:18" x14ac:dyDescent="0.2">
      <c r="A85" s="5"/>
      <c r="B85" s="5"/>
      <c r="C85" s="5"/>
      <c r="D85"/>
      <c r="N85">
        <v>0.69764705850799991</v>
      </c>
      <c r="O85">
        <v>6.7777777864683336E-2</v>
      </c>
      <c r="P85" t="s">
        <v>26</v>
      </c>
    </row>
    <row r="86" spans="1:18" x14ac:dyDescent="0.2">
      <c r="A86" s="5"/>
      <c r="B86" s="5"/>
      <c r="C86" s="5"/>
      <c r="D86" s="5"/>
      <c r="F86" s="18"/>
    </row>
    <row r="87" spans="1:18" x14ac:dyDescent="0.2">
      <c r="A87" s="5"/>
      <c r="B87" s="5"/>
      <c r="C87" s="5"/>
      <c r="D87" s="5"/>
      <c r="F87" s="18"/>
      <c r="R87" s="5"/>
    </row>
    <row r="88" spans="1:18" x14ac:dyDescent="0.2">
      <c r="A88" s="5"/>
      <c r="B88" s="5"/>
      <c r="C88" s="5"/>
      <c r="D88" s="5"/>
      <c r="F88" s="18"/>
      <c r="R88" s="5"/>
    </row>
    <row r="89" spans="1:18" x14ac:dyDescent="0.2">
      <c r="A89" s="5"/>
      <c r="B89" s="5"/>
      <c r="C89" s="5"/>
      <c r="D89" s="5"/>
      <c r="F89" s="18"/>
      <c r="R89" s="5"/>
    </row>
    <row r="90" spans="1:18" x14ac:dyDescent="0.2">
      <c r="A90" s="5"/>
      <c r="B90" s="5"/>
      <c r="C90" s="5"/>
      <c r="D90" s="5"/>
      <c r="F90" s="18"/>
      <c r="R90" s="5"/>
    </row>
    <row r="91" spans="1:18" x14ac:dyDescent="0.2">
      <c r="A91" s="5"/>
      <c r="B91" s="5"/>
      <c r="C91" s="5"/>
      <c r="D91" s="5"/>
      <c r="F91" s="18"/>
      <c r="R91" s="5"/>
    </row>
    <row r="92" spans="1:18" x14ac:dyDescent="0.2">
      <c r="A92" s="5"/>
      <c r="B92" s="5"/>
      <c r="C92" s="5"/>
      <c r="D92" s="5"/>
      <c r="F92" s="18"/>
      <c r="R92" s="5"/>
    </row>
    <row r="93" spans="1:18" x14ac:dyDescent="0.2">
      <c r="A93" s="5"/>
      <c r="B93" s="5"/>
      <c r="C93" s="5"/>
      <c r="D93" s="5"/>
      <c r="F93" s="18"/>
      <c r="R93" s="5"/>
    </row>
    <row r="94" spans="1:18" x14ac:dyDescent="0.2">
      <c r="A94" s="5"/>
      <c r="B94" s="5"/>
      <c r="C94" s="5"/>
      <c r="D94" s="5"/>
      <c r="F94" s="18"/>
      <c r="R94" s="5"/>
    </row>
    <row r="95" spans="1:18" x14ac:dyDescent="0.2">
      <c r="A95" s="5"/>
      <c r="B95" s="5"/>
      <c r="C95" s="5"/>
      <c r="D95" s="5"/>
      <c r="F95" s="18"/>
      <c r="R95" s="5"/>
    </row>
    <row r="96" spans="1:18" x14ac:dyDescent="0.2">
      <c r="A96" s="5"/>
      <c r="B96" s="5"/>
      <c r="C96" s="5"/>
      <c r="D96" s="5"/>
      <c r="F96" s="18"/>
      <c r="R96" s="5"/>
    </row>
    <row r="97" spans="1:18" x14ac:dyDescent="0.2">
      <c r="A97" s="5"/>
      <c r="B97" s="5"/>
      <c r="C97" s="5"/>
      <c r="D97" s="5"/>
      <c r="F97" s="18"/>
      <c r="R97" s="5"/>
    </row>
    <row r="98" spans="1:18" x14ac:dyDescent="0.2">
      <c r="A98" s="5"/>
      <c r="B98" s="5"/>
      <c r="C98" s="5"/>
      <c r="D98" s="5"/>
      <c r="F98" s="18"/>
      <c r="R98" s="5"/>
    </row>
    <row r="99" spans="1:18" x14ac:dyDescent="0.2">
      <c r="A99" s="5"/>
      <c r="B99" s="5"/>
      <c r="C99" s="5"/>
      <c r="D99" s="5"/>
      <c r="F99" s="18"/>
      <c r="R99" s="5"/>
    </row>
    <row r="100" spans="1:18" x14ac:dyDescent="0.2">
      <c r="A100" s="5"/>
      <c r="B100" s="5"/>
      <c r="C100" s="5"/>
      <c r="D100" s="5"/>
      <c r="F100" s="18"/>
      <c r="R100" s="5"/>
    </row>
    <row r="101" spans="1:18" x14ac:dyDescent="0.2">
      <c r="A101" s="5"/>
      <c r="B101" s="5"/>
      <c r="C101" s="5"/>
      <c r="D101" s="5"/>
      <c r="F101" s="18"/>
      <c r="R101" s="5"/>
    </row>
    <row r="102" spans="1:18" x14ac:dyDescent="0.2">
      <c r="A102" s="5"/>
      <c r="B102" s="5"/>
      <c r="C102" s="5"/>
      <c r="D102" s="5"/>
      <c r="F102" s="18"/>
      <c r="R102" s="5"/>
    </row>
    <row r="103" spans="1:18" x14ac:dyDescent="0.2">
      <c r="A103" s="5"/>
      <c r="B103" s="5"/>
      <c r="C103" s="5"/>
      <c r="D103" s="5"/>
      <c r="F103" s="18"/>
      <c r="R103" s="5"/>
    </row>
    <row r="104" spans="1:18" x14ac:dyDescent="0.2">
      <c r="A104" s="5"/>
      <c r="B104" s="5"/>
      <c r="C104" s="5"/>
      <c r="D104" s="5"/>
      <c r="F104" s="18"/>
      <c r="R104" s="5"/>
    </row>
    <row r="105" spans="1:18" x14ac:dyDescent="0.2">
      <c r="A105" s="5"/>
      <c r="B105" s="5"/>
      <c r="C105" s="5"/>
      <c r="D105" s="5"/>
      <c r="F105" s="18"/>
      <c r="R105" s="5"/>
    </row>
    <row r="106" spans="1:18" x14ac:dyDescent="0.2">
      <c r="A106" s="5"/>
      <c r="B106" s="5"/>
      <c r="C106" s="5"/>
      <c r="D106" s="5"/>
      <c r="F106" s="18"/>
      <c r="R106" s="5"/>
    </row>
    <row r="107" spans="1:18" x14ac:dyDescent="0.2">
      <c r="A107" s="5"/>
      <c r="B107" s="5"/>
      <c r="C107" s="5"/>
      <c r="D107" s="5"/>
      <c r="F107" s="18"/>
      <c r="R107" s="5"/>
    </row>
    <row r="108" spans="1:18" x14ac:dyDescent="0.2">
      <c r="A108" s="5"/>
      <c r="B108" s="5"/>
      <c r="C108" s="5"/>
      <c r="D108" s="5"/>
      <c r="F108" s="18"/>
      <c r="R108" s="5"/>
    </row>
    <row r="109" spans="1:18" x14ac:dyDescent="0.2">
      <c r="A109" s="5"/>
      <c r="B109" s="5"/>
      <c r="C109" s="5"/>
      <c r="D109" s="5"/>
      <c r="F109" s="18"/>
      <c r="R109" s="5"/>
    </row>
    <row r="110" spans="1:18" x14ac:dyDescent="0.2">
      <c r="A110" s="5"/>
      <c r="B110" s="5"/>
      <c r="C110" s="5"/>
      <c r="D110" s="5"/>
      <c r="F110" s="18"/>
      <c r="R110" s="5"/>
    </row>
    <row r="111" spans="1:18" x14ac:dyDescent="0.2">
      <c r="A111" s="5"/>
      <c r="B111" s="5"/>
      <c r="C111" s="5"/>
      <c r="D111" s="5"/>
      <c r="F111" s="18"/>
      <c r="R111" s="5"/>
    </row>
    <row r="112" spans="1:18" x14ac:dyDescent="0.2">
      <c r="A112" s="5"/>
      <c r="B112" s="5"/>
      <c r="C112" s="5"/>
      <c r="D112" s="5"/>
      <c r="F112" s="18"/>
      <c r="R112" s="5"/>
    </row>
    <row r="113" spans="1:18" x14ac:dyDescent="0.2">
      <c r="A113" s="5"/>
      <c r="B113" s="5"/>
      <c r="C113" s="5"/>
      <c r="D113" s="5"/>
      <c r="F113" s="18"/>
      <c r="R113" s="5"/>
    </row>
    <row r="114" spans="1:18" x14ac:dyDescent="0.2">
      <c r="A114" s="5"/>
      <c r="B114" s="5"/>
      <c r="C114" s="5"/>
      <c r="D114" s="5"/>
      <c r="F114" s="18"/>
      <c r="R114" s="5"/>
    </row>
    <row r="115" spans="1:18" x14ac:dyDescent="0.2">
      <c r="A115" s="5"/>
      <c r="B115" s="5"/>
      <c r="C115" s="5"/>
      <c r="D115" s="5"/>
      <c r="F115" s="18"/>
      <c r="R115" s="5"/>
    </row>
    <row r="116" spans="1:18" x14ac:dyDescent="0.2">
      <c r="A116" s="5"/>
      <c r="B116" s="5"/>
      <c r="C116" s="5"/>
      <c r="D116" s="5"/>
      <c r="F116" s="18"/>
      <c r="R116" s="5"/>
    </row>
    <row r="117" spans="1:18" x14ac:dyDescent="0.2">
      <c r="A117" s="5"/>
      <c r="B117" s="5"/>
      <c r="C117" s="5"/>
      <c r="D117" s="5"/>
      <c r="F117" s="18"/>
      <c r="R117" s="5"/>
    </row>
    <row r="118" spans="1:18" x14ac:dyDescent="0.2">
      <c r="A118" s="5"/>
      <c r="B118" s="5"/>
      <c r="C118" s="5"/>
      <c r="D118" s="5"/>
      <c r="F118" s="18"/>
      <c r="R118" s="5"/>
    </row>
    <row r="119" spans="1:18" x14ac:dyDescent="0.2">
      <c r="A119" s="5"/>
      <c r="B119" s="5"/>
      <c r="C119" s="5"/>
      <c r="D119" s="5"/>
      <c r="F119" s="18"/>
      <c r="R119" s="5"/>
    </row>
    <row r="120" spans="1:18" x14ac:dyDescent="0.2">
      <c r="A120" s="5"/>
      <c r="B120" s="5"/>
      <c r="C120" s="5"/>
      <c r="D120" s="5"/>
      <c r="F120" s="18"/>
      <c r="R120" s="5"/>
    </row>
    <row r="121" spans="1:18" x14ac:dyDescent="0.2">
      <c r="A121" s="5"/>
      <c r="B121" s="5"/>
      <c r="C121" s="5"/>
      <c r="D121" s="5"/>
      <c r="F121" s="18"/>
      <c r="R121" s="5"/>
    </row>
    <row r="122" spans="1:18" x14ac:dyDescent="0.2">
      <c r="A122" s="5"/>
      <c r="B122" s="5"/>
      <c r="C122" s="5"/>
      <c r="D122" s="5"/>
      <c r="F122" s="18"/>
      <c r="R122" s="5"/>
    </row>
    <row r="123" spans="1:18" x14ac:dyDescent="0.2">
      <c r="A123" s="5"/>
      <c r="B123" s="5"/>
      <c r="C123" s="5"/>
      <c r="D123" s="5"/>
      <c r="F123" s="18"/>
      <c r="R123" s="5"/>
    </row>
    <row r="124" spans="1:18" x14ac:dyDescent="0.2">
      <c r="A124" s="5"/>
      <c r="B124" s="5"/>
      <c r="C124" s="5"/>
      <c r="D124" s="5"/>
      <c r="F124" s="18"/>
      <c r="R124" s="5"/>
    </row>
    <row r="125" spans="1:18" x14ac:dyDescent="0.2">
      <c r="A125" s="5"/>
      <c r="B125" s="5"/>
      <c r="C125" s="5"/>
      <c r="D125" s="5"/>
      <c r="F125" s="18"/>
      <c r="R125" s="5"/>
    </row>
    <row r="126" spans="1:18" x14ac:dyDescent="0.2">
      <c r="A126" s="5"/>
      <c r="B126" s="5"/>
      <c r="C126" s="5"/>
      <c r="D126" s="5"/>
      <c r="F126" s="18"/>
      <c r="R126" s="5"/>
    </row>
    <row r="127" spans="1:18" x14ac:dyDescent="0.2">
      <c r="A127" s="5"/>
      <c r="B127" s="5"/>
      <c r="C127" s="5"/>
      <c r="D127" s="5"/>
      <c r="F127" s="18"/>
      <c r="R127" s="5"/>
    </row>
    <row r="128" spans="1:18" x14ac:dyDescent="0.2">
      <c r="A128" s="5"/>
      <c r="B128" s="5"/>
      <c r="C128" s="5"/>
      <c r="D128" s="5"/>
      <c r="F128" s="18"/>
      <c r="R128" s="5"/>
    </row>
    <row r="129" spans="1:18" x14ac:dyDescent="0.2">
      <c r="A129" s="5"/>
      <c r="B129" s="5"/>
      <c r="C129" s="5"/>
      <c r="D129" s="5"/>
      <c r="F129" s="18"/>
      <c r="R129" s="5"/>
    </row>
    <row r="130" spans="1:18" x14ac:dyDescent="0.2">
      <c r="A130" s="5"/>
      <c r="B130" s="5"/>
      <c r="C130" s="5"/>
      <c r="D130" s="5"/>
      <c r="F130" s="18"/>
      <c r="R130" s="5"/>
    </row>
    <row r="131" spans="1:18" x14ac:dyDescent="0.2">
      <c r="A131" s="5"/>
      <c r="B131" s="5"/>
      <c r="C131" s="5"/>
      <c r="D131" s="5"/>
      <c r="F131" s="18"/>
      <c r="R131" s="5"/>
    </row>
    <row r="132" spans="1:18" x14ac:dyDescent="0.2">
      <c r="A132" s="5"/>
      <c r="B132" s="5"/>
      <c r="C132" s="5"/>
      <c r="D132" s="5"/>
      <c r="F132" s="18"/>
      <c r="R132" s="5"/>
    </row>
    <row r="133" spans="1:18" x14ac:dyDescent="0.2">
      <c r="A133" s="5"/>
      <c r="B133" s="5"/>
      <c r="C133" s="5"/>
      <c r="D133" s="5"/>
      <c r="F133" s="18"/>
      <c r="R133" s="5"/>
    </row>
    <row r="134" spans="1:18" x14ac:dyDescent="0.2">
      <c r="A134" s="5"/>
      <c r="B134" s="5"/>
      <c r="C134" s="5"/>
      <c r="D134" s="5"/>
      <c r="F134" s="18"/>
      <c r="R134" s="5"/>
    </row>
    <row r="135" spans="1:18" x14ac:dyDescent="0.2">
      <c r="A135" s="5"/>
      <c r="B135" s="5"/>
      <c r="C135" s="5"/>
      <c r="D135" s="5"/>
      <c r="F135" s="18"/>
      <c r="R135" s="5"/>
    </row>
    <row r="136" spans="1:18" x14ac:dyDescent="0.2">
      <c r="A136" s="5"/>
      <c r="B136" s="5"/>
      <c r="C136" s="5"/>
      <c r="D136" s="5"/>
      <c r="F136" s="18"/>
      <c r="R136" s="5"/>
    </row>
    <row r="137" spans="1:18" x14ac:dyDescent="0.2">
      <c r="A137" s="5"/>
      <c r="B137" s="5"/>
      <c r="C137" s="5"/>
      <c r="D137" s="5"/>
      <c r="F137" s="18"/>
      <c r="R137" s="5"/>
    </row>
    <row r="138" spans="1:18" x14ac:dyDescent="0.2">
      <c r="A138" s="5"/>
      <c r="B138" s="5"/>
      <c r="C138" s="5"/>
      <c r="D138" s="5"/>
      <c r="F138" s="18"/>
      <c r="R138" s="5"/>
    </row>
    <row r="139" spans="1:18" x14ac:dyDescent="0.2">
      <c r="A139" s="5"/>
      <c r="B139" s="5"/>
      <c r="C139" s="5"/>
      <c r="D139" s="5"/>
      <c r="F139" s="18"/>
      <c r="R139" s="5"/>
    </row>
    <row r="140" spans="1:18" x14ac:dyDescent="0.2">
      <c r="A140" s="5"/>
      <c r="B140" s="5"/>
      <c r="C140" s="5"/>
      <c r="D140" s="5"/>
      <c r="F140" s="18"/>
      <c r="R140" s="5"/>
    </row>
    <row r="141" spans="1:18" x14ac:dyDescent="0.2">
      <c r="A141" s="5"/>
      <c r="B141" s="5"/>
      <c r="C141" s="5"/>
      <c r="D141" s="5"/>
      <c r="F141" s="18"/>
      <c r="R141" s="5"/>
    </row>
    <row r="142" spans="1:18" x14ac:dyDescent="0.2">
      <c r="A142" s="5"/>
      <c r="B142" s="5"/>
      <c r="C142" s="5"/>
      <c r="D142" s="5"/>
      <c r="F142" s="18"/>
      <c r="R142" s="5"/>
    </row>
    <row r="143" spans="1:18" x14ac:dyDescent="0.2">
      <c r="A143" s="5"/>
      <c r="B143" s="5"/>
      <c r="C143" s="5"/>
      <c r="D143" s="5"/>
      <c r="F143" s="18"/>
      <c r="R143" s="5"/>
    </row>
    <row r="144" spans="1:18" x14ac:dyDescent="0.2">
      <c r="A144" s="5"/>
      <c r="B144" s="5"/>
      <c r="C144" s="5"/>
      <c r="D144" s="5"/>
      <c r="F144" s="18"/>
      <c r="R144" s="5"/>
    </row>
    <row r="145" spans="1:18" x14ac:dyDescent="0.2">
      <c r="A145" s="5"/>
      <c r="B145" s="5"/>
      <c r="C145" s="5"/>
      <c r="D145" s="5"/>
      <c r="F145" s="18"/>
      <c r="R145" s="5"/>
    </row>
    <row r="146" spans="1:18" x14ac:dyDescent="0.2">
      <c r="A146" s="5"/>
      <c r="B146" s="5"/>
      <c r="C146" s="5"/>
      <c r="D146" s="5"/>
      <c r="F146" s="18"/>
      <c r="R146" s="5"/>
    </row>
    <row r="147" spans="1:18" x14ac:dyDescent="0.2">
      <c r="A147" s="5"/>
      <c r="B147" s="5"/>
      <c r="C147" s="5"/>
      <c r="D147" s="5"/>
      <c r="F147" s="18"/>
      <c r="R147" s="5"/>
    </row>
    <row r="148" spans="1:18" x14ac:dyDescent="0.2">
      <c r="A148" s="5"/>
      <c r="B148" s="5"/>
      <c r="C148" s="5"/>
      <c r="D148" s="5"/>
      <c r="F148" s="18"/>
      <c r="R148" s="5"/>
    </row>
    <row r="149" spans="1:18" x14ac:dyDescent="0.2">
      <c r="A149" s="5"/>
      <c r="B149" s="5"/>
      <c r="C149" s="5"/>
      <c r="D149" s="5"/>
      <c r="F149" s="18"/>
      <c r="R149" s="5"/>
    </row>
    <row r="150" spans="1:18" x14ac:dyDescent="0.2">
      <c r="A150" s="5"/>
      <c r="B150" s="5"/>
      <c r="C150" s="5"/>
      <c r="D150" s="5"/>
      <c r="F150" s="18"/>
      <c r="R150" s="5"/>
    </row>
    <row r="151" spans="1:18" x14ac:dyDescent="0.2">
      <c r="A151" s="5"/>
      <c r="B151" s="5"/>
      <c r="C151" s="5"/>
      <c r="D151" s="5"/>
      <c r="F151" s="18"/>
      <c r="R151" s="5"/>
    </row>
    <row r="152" spans="1:18" x14ac:dyDescent="0.2">
      <c r="A152" s="5"/>
      <c r="B152" s="5"/>
      <c r="C152" s="5"/>
      <c r="D152" s="5"/>
      <c r="F152" s="18"/>
      <c r="R152" s="5"/>
    </row>
    <row r="153" spans="1:18" x14ac:dyDescent="0.2">
      <c r="A153" s="5"/>
      <c r="B153" s="5"/>
      <c r="C153" s="5"/>
      <c r="D153" s="5"/>
      <c r="F153" s="18"/>
      <c r="R153" s="5"/>
    </row>
    <row r="154" spans="1:18" x14ac:dyDescent="0.2">
      <c r="A154" s="5"/>
      <c r="B154" s="5"/>
      <c r="C154" s="5"/>
      <c r="D154" s="5"/>
      <c r="F154" s="18"/>
      <c r="R154" s="5"/>
    </row>
    <row r="155" spans="1:18" x14ac:dyDescent="0.2">
      <c r="A155" s="5"/>
      <c r="B155" s="5"/>
      <c r="C155" s="5"/>
      <c r="D155" s="5"/>
      <c r="F155" s="18"/>
      <c r="R155" s="5"/>
    </row>
    <row r="156" spans="1:18" x14ac:dyDescent="0.2">
      <c r="A156" s="5"/>
      <c r="B156" s="5"/>
      <c r="C156" s="5"/>
      <c r="D156" s="5"/>
      <c r="F156" s="18"/>
      <c r="R156" s="5"/>
    </row>
    <row r="157" spans="1:18" x14ac:dyDescent="0.2">
      <c r="A157" s="5"/>
      <c r="B157" s="5"/>
      <c r="C157" s="5"/>
      <c r="D157" s="5"/>
      <c r="F157" s="18"/>
      <c r="R157" s="5"/>
    </row>
    <row r="158" spans="1:18" x14ac:dyDescent="0.2">
      <c r="A158" s="5"/>
      <c r="B158" s="5"/>
      <c r="C158" s="5"/>
      <c r="D158" s="5"/>
      <c r="F158" s="18"/>
      <c r="R158" s="5"/>
    </row>
    <row r="159" spans="1:18" x14ac:dyDescent="0.2">
      <c r="A159" s="5"/>
      <c r="B159" s="5"/>
      <c r="C159" s="5"/>
      <c r="D159" s="5"/>
      <c r="F159" s="18"/>
      <c r="R159" s="5"/>
    </row>
    <row r="160" spans="1:18" x14ac:dyDescent="0.2">
      <c r="A160" s="5"/>
      <c r="B160" s="5"/>
      <c r="C160" s="5"/>
      <c r="D160" s="5"/>
      <c r="F160" s="18"/>
      <c r="R160" s="5"/>
    </row>
    <row r="161" spans="1:18" x14ac:dyDescent="0.2">
      <c r="A161" s="5"/>
      <c r="B161" s="5"/>
      <c r="C161" s="5"/>
      <c r="D161" s="5"/>
      <c r="F161" s="18"/>
      <c r="R161" s="5"/>
    </row>
    <row r="162" spans="1:18" x14ac:dyDescent="0.2">
      <c r="A162" s="5"/>
      <c r="B162" s="5"/>
      <c r="C162" s="5"/>
      <c r="D162" s="5"/>
      <c r="F162" s="18"/>
      <c r="R162" s="5"/>
    </row>
    <row r="163" spans="1:18" x14ac:dyDescent="0.2">
      <c r="A163" s="5"/>
      <c r="B163" s="5"/>
      <c r="C163" s="5"/>
      <c r="D163" s="5"/>
      <c r="F163" s="18"/>
      <c r="R163" s="5"/>
    </row>
    <row r="164" spans="1:18" x14ac:dyDescent="0.2">
      <c r="A164" s="5"/>
      <c r="B164" s="5"/>
      <c r="C164" s="5"/>
      <c r="D164" s="5"/>
      <c r="F164" s="18"/>
      <c r="R164" s="5"/>
    </row>
    <row r="165" spans="1:18" x14ac:dyDescent="0.2">
      <c r="A165" s="5"/>
      <c r="B165" s="5"/>
      <c r="C165" s="5"/>
      <c r="D165" s="5"/>
      <c r="F165" s="18"/>
      <c r="R165" s="5"/>
    </row>
    <row r="166" spans="1:18" x14ac:dyDescent="0.2">
      <c r="A166" s="5"/>
      <c r="B166" s="5"/>
      <c r="C166" s="5"/>
      <c r="D166" s="5"/>
      <c r="F166" s="18"/>
      <c r="R166" s="5"/>
    </row>
    <row r="167" spans="1:18" x14ac:dyDescent="0.2">
      <c r="A167" s="5"/>
      <c r="B167" s="5"/>
      <c r="C167" s="5"/>
      <c r="D167" s="5"/>
      <c r="F167" s="18"/>
      <c r="R167" s="5"/>
    </row>
    <row r="168" spans="1:18" x14ac:dyDescent="0.2">
      <c r="A168" s="5"/>
      <c r="B168" s="5"/>
      <c r="C168" s="5"/>
      <c r="D168" s="5"/>
      <c r="F168" s="18"/>
      <c r="R168" s="5"/>
    </row>
    <row r="169" spans="1:18" x14ac:dyDescent="0.2">
      <c r="A169" s="5"/>
      <c r="B169" s="5"/>
      <c r="C169" s="5"/>
      <c r="D169" s="5"/>
      <c r="F169" s="18"/>
      <c r="R169" s="5"/>
    </row>
    <row r="170" spans="1:18" x14ac:dyDescent="0.2">
      <c r="A170" s="5"/>
      <c r="B170" s="5"/>
      <c r="C170" s="5"/>
      <c r="D170" s="5"/>
      <c r="F170" s="18"/>
      <c r="R170" s="5"/>
    </row>
    <row r="171" spans="1:18" x14ac:dyDescent="0.2">
      <c r="A171" s="5"/>
      <c r="B171" s="5"/>
      <c r="C171" s="5"/>
      <c r="D171" s="5"/>
      <c r="F171" s="18"/>
      <c r="R171" s="5"/>
    </row>
    <row r="172" spans="1:18" x14ac:dyDescent="0.2">
      <c r="A172" s="5"/>
      <c r="B172" s="5"/>
      <c r="C172" s="5"/>
      <c r="D172" s="5"/>
      <c r="F172" s="18"/>
      <c r="R172" s="5"/>
    </row>
    <row r="173" spans="1:18" x14ac:dyDescent="0.2">
      <c r="A173" s="5"/>
      <c r="B173" s="5"/>
      <c r="C173" s="5"/>
      <c r="D173" s="5"/>
      <c r="F173" s="18"/>
      <c r="R173" s="5"/>
    </row>
    <row r="174" spans="1:18" x14ac:dyDescent="0.2">
      <c r="A174" s="5"/>
      <c r="B174" s="5"/>
      <c r="C174" s="5"/>
      <c r="D174" s="5"/>
      <c r="F174" s="18"/>
      <c r="R174" s="5"/>
    </row>
    <row r="175" spans="1:18" x14ac:dyDescent="0.2">
      <c r="A175" s="5"/>
      <c r="B175" s="5"/>
      <c r="C175" s="5"/>
      <c r="D175" s="5"/>
      <c r="F175" s="18"/>
      <c r="R175" s="5"/>
    </row>
    <row r="176" spans="1:18" x14ac:dyDescent="0.2">
      <c r="A176" s="5"/>
      <c r="B176" s="5"/>
      <c r="C176" s="5"/>
      <c r="D176" s="5"/>
      <c r="F176" s="18"/>
      <c r="R176" s="5"/>
    </row>
    <row r="177" spans="1:18" x14ac:dyDescent="0.2">
      <c r="A177" s="5"/>
      <c r="B177" s="5"/>
      <c r="C177" s="5"/>
      <c r="D177" s="5"/>
      <c r="F177" s="18"/>
      <c r="R177" s="5"/>
    </row>
    <row r="178" spans="1:18" x14ac:dyDescent="0.2">
      <c r="A178" s="5"/>
      <c r="B178" s="5"/>
      <c r="C178" s="5"/>
      <c r="D178" s="5"/>
      <c r="F178" s="18"/>
      <c r="R178" s="5"/>
    </row>
    <row r="179" spans="1:18" x14ac:dyDescent="0.2">
      <c r="A179" s="5"/>
      <c r="B179" s="5"/>
      <c r="C179" s="5"/>
      <c r="D179" s="5"/>
      <c r="F179" s="18"/>
      <c r="R179" s="5"/>
    </row>
    <row r="180" spans="1:18" x14ac:dyDescent="0.2">
      <c r="A180" s="5"/>
      <c r="B180" s="5"/>
      <c r="C180" s="5"/>
      <c r="D180" s="5"/>
      <c r="F180" s="18"/>
      <c r="R180" s="5"/>
    </row>
    <row r="181" spans="1:18" x14ac:dyDescent="0.2">
      <c r="A181" s="5"/>
      <c r="B181" s="5"/>
      <c r="C181" s="5"/>
      <c r="D181" s="5"/>
      <c r="F181" s="18"/>
      <c r="R181" s="5"/>
    </row>
    <row r="182" spans="1:18" x14ac:dyDescent="0.2">
      <c r="A182" s="5"/>
      <c r="B182" s="5"/>
      <c r="C182" s="5"/>
      <c r="D182" s="5"/>
      <c r="F182" s="18"/>
      <c r="R182" s="5"/>
    </row>
    <row r="183" spans="1:18" x14ac:dyDescent="0.2">
      <c r="A183" s="5"/>
      <c r="B183" s="5"/>
      <c r="C183" s="5"/>
      <c r="D183" s="5"/>
      <c r="F183" s="18"/>
      <c r="R183" s="5"/>
    </row>
    <row r="184" spans="1:18" x14ac:dyDescent="0.2">
      <c r="A184" s="5"/>
      <c r="B184" s="5"/>
      <c r="C184" s="5"/>
      <c r="D184" s="5"/>
      <c r="F184" s="18"/>
      <c r="R184" s="5"/>
    </row>
    <row r="185" spans="1:18" x14ac:dyDescent="0.2">
      <c r="A185" s="5"/>
      <c r="B185" s="5"/>
      <c r="C185" s="5"/>
      <c r="D185" s="5"/>
      <c r="F185" s="18"/>
      <c r="R185" s="5"/>
    </row>
    <row r="186" spans="1:18" x14ac:dyDescent="0.2">
      <c r="A186" s="5"/>
      <c r="B186" s="5"/>
      <c r="C186" s="5"/>
      <c r="D186" s="5"/>
      <c r="F186" s="18"/>
      <c r="R186" s="5"/>
    </row>
    <row r="187" spans="1:18" x14ac:dyDescent="0.2">
      <c r="A187" s="5"/>
      <c r="B187" s="5"/>
      <c r="C187" s="5"/>
      <c r="D187" s="5"/>
      <c r="F187" s="18"/>
      <c r="R187" s="5"/>
    </row>
    <row r="188" spans="1:18" x14ac:dyDescent="0.2">
      <c r="A188" s="5"/>
      <c r="B188" s="5"/>
      <c r="C188" s="5"/>
      <c r="D188" s="5"/>
      <c r="F188" s="18"/>
      <c r="R188" s="5"/>
    </row>
    <row r="189" spans="1:18" x14ac:dyDescent="0.2">
      <c r="A189" s="5"/>
      <c r="B189" s="5"/>
      <c r="C189" s="5"/>
      <c r="D189" s="5"/>
      <c r="F189" s="18"/>
      <c r="R189" s="5"/>
    </row>
    <row r="190" spans="1:18" x14ac:dyDescent="0.2">
      <c r="A190" s="5"/>
      <c r="B190" s="5"/>
      <c r="C190" s="5"/>
      <c r="D190" s="5"/>
      <c r="F190" s="18"/>
      <c r="R190" s="5"/>
    </row>
    <row r="191" spans="1:18" x14ac:dyDescent="0.2">
      <c r="A191" s="5"/>
      <c r="B191" s="5"/>
      <c r="C191" s="5"/>
      <c r="D191" s="5"/>
      <c r="F191" s="18"/>
      <c r="R191" s="5"/>
    </row>
    <row r="192" spans="1:18" x14ac:dyDescent="0.2">
      <c r="A192" s="5"/>
      <c r="B192" s="5"/>
      <c r="C192" s="5"/>
      <c r="D192" s="5"/>
      <c r="F192" s="18"/>
      <c r="R192" s="5"/>
    </row>
    <row r="193" spans="1:18" x14ac:dyDescent="0.2">
      <c r="A193" s="5"/>
      <c r="B193" s="5"/>
      <c r="C193" s="5"/>
      <c r="D193" s="5"/>
      <c r="F193" s="18"/>
      <c r="R193" s="5"/>
    </row>
    <row r="194" spans="1:18" x14ac:dyDescent="0.2">
      <c r="A194" s="5"/>
      <c r="B194" s="5"/>
      <c r="C194" s="5"/>
      <c r="D194" s="5"/>
      <c r="F194" s="18"/>
      <c r="R194" s="5"/>
    </row>
    <row r="195" spans="1:18" x14ac:dyDescent="0.2">
      <c r="A195" s="5"/>
      <c r="B195" s="5"/>
      <c r="C195" s="5"/>
      <c r="D195" s="5"/>
      <c r="F195" s="18"/>
      <c r="R195" s="5"/>
    </row>
    <row r="196" spans="1:18" x14ac:dyDescent="0.2">
      <c r="A196" s="5"/>
      <c r="B196" s="5"/>
      <c r="C196" s="5"/>
      <c r="D196" s="5"/>
      <c r="F196" s="18"/>
      <c r="R196" s="5"/>
    </row>
    <row r="197" spans="1:18" x14ac:dyDescent="0.2">
      <c r="A197" s="5"/>
      <c r="B197" s="5"/>
      <c r="C197" s="5"/>
      <c r="D197" s="5"/>
      <c r="F197" s="18"/>
      <c r="R197" s="5"/>
    </row>
    <row r="198" spans="1:18" x14ac:dyDescent="0.2">
      <c r="A198" s="5"/>
      <c r="B198" s="5"/>
      <c r="C198" s="5"/>
      <c r="D198" s="5"/>
      <c r="F198" s="18"/>
      <c r="R198" s="5"/>
    </row>
    <row r="199" spans="1:18" x14ac:dyDescent="0.2">
      <c r="A199" s="5"/>
      <c r="B199" s="5"/>
      <c r="C199" s="5"/>
      <c r="D199" s="5"/>
      <c r="F199" s="18"/>
      <c r="R199" s="5"/>
    </row>
    <row r="200" spans="1:18" x14ac:dyDescent="0.2">
      <c r="A200" s="5"/>
      <c r="B200" s="5"/>
      <c r="C200" s="5"/>
      <c r="D200" s="5"/>
      <c r="F200" s="18"/>
      <c r="R200" s="5"/>
    </row>
    <row r="201" spans="1:18" x14ac:dyDescent="0.2">
      <c r="A201" s="5"/>
      <c r="B201" s="5"/>
      <c r="C201" s="5"/>
      <c r="D201" s="5"/>
      <c r="F201" s="18"/>
      <c r="R201" s="5"/>
    </row>
    <row r="202" spans="1:18" x14ac:dyDescent="0.2">
      <c r="A202" s="5"/>
      <c r="B202" s="5"/>
      <c r="C202" s="5"/>
      <c r="D202" s="5"/>
      <c r="F202" s="18"/>
      <c r="R202" s="5"/>
    </row>
    <row r="203" spans="1:18" x14ac:dyDescent="0.2">
      <c r="A203" s="5"/>
      <c r="B203" s="5"/>
      <c r="C203" s="5"/>
      <c r="D203" s="5"/>
      <c r="F203" s="18"/>
      <c r="R203" s="5"/>
    </row>
    <row r="204" spans="1:18" x14ac:dyDescent="0.2">
      <c r="A204" s="5"/>
      <c r="B204" s="5"/>
      <c r="C204" s="5"/>
      <c r="D204" s="5"/>
      <c r="F204" s="18"/>
      <c r="R204" s="5"/>
    </row>
    <row r="205" spans="1:18" x14ac:dyDescent="0.2">
      <c r="A205" s="5"/>
      <c r="B205" s="5"/>
      <c r="C205" s="5"/>
      <c r="D205" s="5"/>
      <c r="F205" s="18"/>
      <c r="R205" s="5"/>
    </row>
    <row r="206" spans="1:18" x14ac:dyDescent="0.2">
      <c r="A206" s="5"/>
      <c r="B206" s="5"/>
      <c r="C206" s="5"/>
      <c r="D206" s="5"/>
      <c r="F206" s="18"/>
      <c r="R206" s="5"/>
    </row>
    <row r="207" spans="1:18" x14ac:dyDescent="0.2">
      <c r="A207" s="5"/>
      <c r="B207" s="5"/>
      <c r="C207" s="5"/>
      <c r="D207" s="5"/>
      <c r="F207" s="18"/>
      <c r="R207" s="5"/>
    </row>
    <row r="208" spans="1:18" x14ac:dyDescent="0.2">
      <c r="A208" s="5"/>
      <c r="B208" s="5"/>
      <c r="C208" s="5"/>
      <c r="D208" s="5"/>
      <c r="F208" s="18"/>
      <c r="R208" s="5"/>
    </row>
    <row r="209" spans="1:18" x14ac:dyDescent="0.2">
      <c r="A209" s="5"/>
      <c r="B209" s="5"/>
      <c r="C209" s="5"/>
      <c r="D209" s="5"/>
      <c r="F209" s="18"/>
      <c r="R209" s="5"/>
    </row>
    <row r="210" spans="1:18" x14ac:dyDescent="0.2">
      <c r="A210" s="5"/>
      <c r="B210" s="5"/>
      <c r="C210" s="5"/>
      <c r="D210" s="5"/>
      <c r="F210" s="18"/>
      <c r="R210" s="5"/>
    </row>
    <row r="211" spans="1:18" x14ac:dyDescent="0.2">
      <c r="A211" s="5"/>
      <c r="B211" s="5"/>
      <c r="C211" s="5"/>
      <c r="D211" s="5"/>
      <c r="F211" s="18"/>
      <c r="R211" s="5"/>
    </row>
    <row r="212" spans="1:18" x14ac:dyDescent="0.2">
      <c r="A212" s="5"/>
      <c r="B212" s="5"/>
      <c r="C212" s="5"/>
      <c r="D212" s="5"/>
      <c r="F212" s="18"/>
      <c r="R212" s="5"/>
    </row>
    <row r="213" spans="1:18" x14ac:dyDescent="0.2">
      <c r="A213" s="5"/>
      <c r="B213" s="5"/>
      <c r="C213" s="5"/>
      <c r="D213" s="5"/>
      <c r="F213" s="18"/>
      <c r="R213" s="5"/>
    </row>
    <row r="214" spans="1:18" x14ac:dyDescent="0.2">
      <c r="A214" s="5"/>
      <c r="B214" s="5"/>
      <c r="C214" s="5"/>
      <c r="D214" s="5"/>
      <c r="F214" s="18"/>
      <c r="R214" s="5"/>
    </row>
    <row r="215" spans="1:18" x14ac:dyDescent="0.2">
      <c r="A215" s="5"/>
      <c r="B215" s="5"/>
      <c r="C215" s="5"/>
      <c r="D215" s="5"/>
      <c r="F215" s="18"/>
      <c r="R215" s="5"/>
    </row>
    <row r="216" spans="1:18" x14ac:dyDescent="0.2">
      <c r="A216" s="5"/>
      <c r="B216" s="5"/>
      <c r="C216" s="5"/>
      <c r="D216" s="5"/>
      <c r="F216" s="18"/>
      <c r="R216" s="5"/>
    </row>
    <row r="217" spans="1:18" x14ac:dyDescent="0.2">
      <c r="A217" s="5"/>
      <c r="B217" s="5"/>
      <c r="C217" s="5"/>
      <c r="D217" s="5"/>
      <c r="F217" s="18"/>
      <c r="R217" s="5"/>
    </row>
    <row r="218" spans="1:18" x14ac:dyDescent="0.2">
      <c r="A218" s="5"/>
      <c r="B218" s="5"/>
      <c r="C218" s="5"/>
      <c r="D218" s="5"/>
      <c r="F218" s="18"/>
      <c r="R218" s="5"/>
    </row>
    <row r="219" spans="1:18" x14ac:dyDescent="0.2">
      <c r="A219" s="5"/>
      <c r="B219" s="5"/>
      <c r="C219" s="5"/>
      <c r="D219" s="5"/>
      <c r="F219" s="18"/>
      <c r="R219" s="5"/>
    </row>
    <row r="220" spans="1:18" x14ac:dyDescent="0.2">
      <c r="A220" s="5"/>
      <c r="B220" s="5"/>
      <c r="C220" s="5"/>
      <c r="D220" s="5"/>
      <c r="F220" s="18"/>
      <c r="R220" s="5"/>
    </row>
    <row r="221" spans="1:18" x14ac:dyDescent="0.2">
      <c r="A221" s="5"/>
      <c r="B221" s="5"/>
      <c r="C221" s="5"/>
      <c r="D221" s="5"/>
      <c r="F221" s="18"/>
      <c r="R221" s="5"/>
    </row>
    <row r="222" spans="1:18" x14ac:dyDescent="0.2">
      <c r="A222" s="5"/>
      <c r="B222" s="5"/>
      <c r="C222" s="5"/>
      <c r="D222" s="5"/>
      <c r="F222" s="18"/>
      <c r="R222" s="5"/>
    </row>
    <row r="223" spans="1:18" x14ac:dyDescent="0.2">
      <c r="A223" s="5"/>
      <c r="B223" s="5"/>
      <c r="C223" s="5"/>
      <c r="D223" s="5"/>
      <c r="F223" s="18"/>
      <c r="R223" s="5"/>
    </row>
    <row r="224" spans="1:18" x14ac:dyDescent="0.2">
      <c r="A224" s="5"/>
      <c r="B224" s="5"/>
      <c r="C224" s="5"/>
      <c r="D224" s="5"/>
      <c r="F224" s="18"/>
      <c r="R224" s="5"/>
    </row>
    <row r="225" spans="1:18" x14ac:dyDescent="0.2">
      <c r="A225" s="5"/>
      <c r="B225" s="5"/>
      <c r="C225" s="5"/>
      <c r="D225" s="5"/>
      <c r="F225" s="18"/>
      <c r="R225" s="5"/>
    </row>
    <row r="226" spans="1:18" x14ac:dyDescent="0.2">
      <c r="A226" s="5"/>
      <c r="B226" s="5"/>
      <c r="C226" s="5"/>
      <c r="D226" s="5"/>
      <c r="F226" s="18"/>
      <c r="R226" s="5"/>
    </row>
    <row r="227" spans="1:18" x14ac:dyDescent="0.2">
      <c r="A227" s="5"/>
      <c r="B227" s="5"/>
      <c r="C227" s="5"/>
      <c r="D227" s="5"/>
      <c r="F227" s="18"/>
      <c r="R227" s="5"/>
    </row>
    <row r="228" spans="1:18" x14ac:dyDescent="0.2">
      <c r="A228" s="5"/>
      <c r="B228" s="5"/>
      <c r="C228" s="5"/>
      <c r="D228" s="5"/>
      <c r="F228" s="18"/>
      <c r="R228" s="5"/>
    </row>
    <row r="229" spans="1:18" x14ac:dyDescent="0.2">
      <c r="A229" s="5"/>
      <c r="B229" s="5"/>
      <c r="C229" s="5"/>
      <c r="D229" s="5"/>
      <c r="F229" s="18"/>
      <c r="R229" s="5"/>
    </row>
    <row r="230" spans="1:18" x14ac:dyDescent="0.2">
      <c r="A230" s="5"/>
      <c r="B230" s="5"/>
      <c r="C230" s="5"/>
      <c r="D230" s="5"/>
      <c r="F230" s="18"/>
      <c r="R230" s="5"/>
    </row>
    <row r="231" spans="1:18" x14ac:dyDescent="0.2">
      <c r="A231" s="5"/>
      <c r="B231" s="5"/>
      <c r="C231" s="5"/>
      <c r="D231" s="5"/>
      <c r="F231" s="18"/>
      <c r="R231" s="5"/>
    </row>
    <row r="232" spans="1:18" x14ac:dyDescent="0.2">
      <c r="A232" s="5"/>
      <c r="B232" s="5"/>
      <c r="C232" s="5"/>
      <c r="D232" s="5"/>
      <c r="F232" s="18"/>
      <c r="R232" s="5"/>
    </row>
    <row r="233" spans="1:18" x14ac:dyDescent="0.2">
      <c r="A233" s="5"/>
      <c r="B233" s="5"/>
      <c r="C233" s="5"/>
      <c r="D233" s="5"/>
      <c r="F233" s="18"/>
      <c r="R233" s="5"/>
    </row>
    <row r="234" spans="1:18" x14ac:dyDescent="0.2">
      <c r="A234" s="5"/>
      <c r="B234" s="5"/>
      <c r="C234" s="5"/>
      <c r="D234" s="5"/>
      <c r="F234" s="18"/>
      <c r="R234" s="5"/>
    </row>
    <row r="235" spans="1:18" x14ac:dyDescent="0.2">
      <c r="A235" s="5"/>
      <c r="B235" s="5"/>
      <c r="C235" s="5"/>
      <c r="D235" s="5"/>
      <c r="F235" s="18"/>
      <c r="R235" s="5"/>
    </row>
    <row r="236" spans="1:18" x14ac:dyDescent="0.2">
      <c r="A236" s="5"/>
      <c r="B236" s="5"/>
      <c r="C236" s="5"/>
      <c r="D236" s="5"/>
      <c r="F236" s="18"/>
      <c r="R236" s="5"/>
    </row>
    <row r="237" spans="1:18" x14ac:dyDescent="0.2">
      <c r="A237" s="5"/>
      <c r="B237" s="5"/>
      <c r="C237" s="5"/>
      <c r="D237" s="5"/>
      <c r="F237" s="18"/>
      <c r="R237" s="5"/>
    </row>
    <row r="238" spans="1:18" x14ac:dyDescent="0.2">
      <c r="A238" s="5"/>
      <c r="B238" s="5"/>
      <c r="C238" s="5"/>
      <c r="D238" s="5"/>
      <c r="F238" s="18"/>
      <c r="R238" s="5"/>
    </row>
    <row r="239" spans="1:18" x14ac:dyDescent="0.2">
      <c r="A239" s="5"/>
      <c r="B239" s="5"/>
      <c r="C239" s="5"/>
      <c r="D239" s="5"/>
      <c r="F239" s="18"/>
      <c r="R239" s="5"/>
    </row>
    <row r="240" spans="1:18" x14ac:dyDescent="0.2">
      <c r="A240" s="5"/>
      <c r="B240" s="5"/>
      <c r="C240" s="5"/>
      <c r="D240" s="5"/>
      <c r="F240" s="18"/>
      <c r="R240" s="5"/>
    </row>
    <row r="241" spans="1:18" x14ac:dyDescent="0.2">
      <c r="A241" s="5"/>
      <c r="B241" s="5"/>
      <c r="C241" s="5"/>
      <c r="D241" s="5"/>
      <c r="F241" s="18"/>
      <c r="R241" s="5"/>
    </row>
    <row r="242" spans="1:18" x14ac:dyDescent="0.2">
      <c r="A242" s="5"/>
      <c r="B242" s="5"/>
      <c r="C242" s="5"/>
      <c r="D242" s="5"/>
      <c r="F242" s="18"/>
      <c r="R242" s="5"/>
    </row>
    <row r="243" spans="1:18" x14ac:dyDescent="0.2">
      <c r="A243" s="5"/>
      <c r="B243" s="5"/>
      <c r="C243" s="5"/>
      <c r="D243" s="5"/>
      <c r="F243" s="18"/>
      <c r="R243" s="5"/>
    </row>
    <row r="244" spans="1:18" x14ac:dyDescent="0.2">
      <c r="A244" s="5"/>
      <c r="B244" s="5"/>
      <c r="C244" s="5"/>
      <c r="D244" s="5"/>
      <c r="F244" s="18"/>
      <c r="R244" s="5"/>
    </row>
    <row r="245" spans="1:18" x14ac:dyDescent="0.2">
      <c r="A245" s="5"/>
      <c r="B245" s="5"/>
      <c r="C245" s="5"/>
      <c r="D245" s="5"/>
      <c r="F245" s="18"/>
      <c r="R245" s="5"/>
    </row>
    <row r="246" spans="1:18" x14ac:dyDescent="0.2">
      <c r="A246" s="5"/>
      <c r="B246" s="5"/>
      <c r="C246" s="5"/>
      <c r="D246" s="5"/>
      <c r="F246" s="18"/>
      <c r="R246" s="5"/>
    </row>
    <row r="247" spans="1:18" x14ac:dyDescent="0.2">
      <c r="A247" s="5"/>
      <c r="B247" s="5"/>
      <c r="C247" s="5"/>
      <c r="D247" s="5"/>
      <c r="F247" s="18"/>
      <c r="R247" s="5"/>
    </row>
    <row r="248" spans="1:18" x14ac:dyDescent="0.2">
      <c r="A248" s="5"/>
      <c r="B248" s="5"/>
      <c r="C248" s="5"/>
      <c r="D248" s="5"/>
      <c r="F248" s="18"/>
      <c r="R248" s="5"/>
    </row>
    <row r="249" spans="1:18" x14ac:dyDescent="0.2">
      <c r="A249" s="5"/>
      <c r="B249" s="5"/>
      <c r="C249" s="5"/>
      <c r="D249" s="5"/>
      <c r="F249" s="18"/>
      <c r="R249" s="5"/>
    </row>
    <row r="250" spans="1:18" x14ac:dyDescent="0.2">
      <c r="A250" s="5"/>
      <c r="B250" s="5"/>
      <c r="C250" s="5"/>
      <c r="D250" s="5"/>
      <c r="F250" s="18"/>
      <c r="R250" s="5"/>
    </row>
    <row r="251" spans="1:18" x14ac:dyDescent="0.2">
      <c r="A251" s="5"/>
      <c r="B251" s="5"/>
      <c r="C251" s="5"/>
      <c r="D251" s="5"/>
      <c r="F251" s="18"/>
      <c r="R251" s="5"/>
    </row>
    <row r="252" spans="1:18" x14ac:dyDescent="0.2">
      <c r="A252" s="5"/>
      <c r="B252" s="5"/>
      <c r="C252" s="5"/>
      <c r="D252" s="5"/>
      <c r="F252" s="18"/>
      <c r="R252" s="5"/>
    </row>
    <row r="253" spans="1:18" x14ac:dyDescent="0.2">
      <c r="A253" s="5"/>
      <c r="B253" s="5"/>
      <c r="C253" s="5"/>
      <c r="D253" s="5"/>
      <c r="F253" s="18"/>
      <c r="R253" s="5"/>
    </row>
    <row r="254" spans="1:18" x14ac:dyDescent="0.2">
      <c r="A254" s="5"/>
      <c r="B254" s="5"/>
      <c r="C254" s="5"/>
      <c r="D254" s="5"/>
      <c r="F254" s="18"/>
      <c r="R254" s="5"/>
    </row>
    <row r="255" spans="1:18" x14ac:dyDescent="0.2">
      <c r="A255" s="5"/>
      <c r="B255" s="5"/>
      <c r="C255" s="5"/>
      <c r="D255" s="5"/>
      <c r="F255" s="18"/>
      <c r="R255" s="5"/>
    </row>
    <row r="256" spans="1:18" x14ac:dyDescent="0.2">
      <c r="A256" s="5"/>
      <c r="B256" s="5"/>
      <c r="C256" s="5"/>
      <c r="D256" s="5"/>
      <c r="F256" s="18"/>
      <c r="R256" s="5"/>
    </row>
    <row r="257" spans="1:18" x14ac:dyDescent="0.2">
      <c r="A257" s="5"/>
      <c r="B257" s="5"/>
      <c r="C257" s="5"/>
      <c r="D257" s="5"/>
      <c r="F257" s="18"/>
      <c r="R257" s="5"/>
    </row>
    <row r="258" spans="1:18" x14ac:dyDescent="0.2">
      <c r="A258" s="5"/>
      <c r="B258" s="5"/>
      <c r="C258" s="5"/>
      <c r="D258" s="5"/>
      <c r="F258" s="18"/>
      <c r="R258" s="5"/>
    </row>
    <row r="259" spans="1:18" x14ac:dyDescent="0.2">
      <c r="A259" s="5"/>
      <c r="B259" s="5"/>
      <c r="C259" s="5"/>
      <c r="D259" s="5"/>
      <c r="F259" s="18"/>
      <c r="R259" s="5"/>
    </row>
    <row r="260" spans="1:18" x14ac:dyDescent="0.2">
      <c r="A260" s="5"/>
      <c r="B260" s="5"/>
      <c r="C260" s="5"/>
      <c r="D260" s="5"/>
      <c r="F260" s="18"/>
      <c r="R260" s="5"/>
    </row>
    <row r="261" spans="1:18" x14ac:dyDescent="0.2">
      <c r="A261" s="5"/>
      <c r="B261" s="5"/>
      <c r="C261" s="5"/>
      <c r="D261" s="5"/>
      <c r="F261" s="18"/>
      <c r="R261" s="5"/>
    </row>
    <row r="262" spans="1:18" x14ac:dyDescent="0.2">
      <c r="A262" s="5"/>
      <c r="B262" s="5"/>
      <c r="C262" s="5"/>
      <c r="D262" s="5"/>
      <c r="F262" s="18"/>
      <c r="R262" s="5"/>
    </row>
    <row r="263" spans="1:18" x14ac:dyDescent="0.2">
      <c r="A263" s="5"/>
      <c r="B263" s="5"/>
      <c r="C263" s="5"/>
      <c r="D263" s="5"/>
      <c r="F263" s="18"/>
      <c r="R263" s="5"/>
    </row>
    <row r="264" spans="1:18" x14ac:dyDescent="0.2">
      <c r="A264" s="5"/>
      <c r="B264" s="5"/>
      <c r="C264" s="5"/>
      <c r="D264" s="5"/>
      <c r="F264" s="18"/>
      <c r="R264" s="5"/>
    </row>
    <row r="265" spans="1:18" x14ac:dyDescent="0.2">
      <c r="A265" s="5"/>
      <c r="B265" s="5"/>
      <c r="C265" s="5"/>
      <c r="D265" s="5"/>
      <c r="F265" s="18"/>
      <c r="R265" s="5"/>
    </row>
    <row r="266" spans="1:18" x14ac:dyDescent="0.2">
      <c r="A266" s="5"/>
      <c r="B266" s="5"/>
      <c r="C266" s="5"/>
      <c r="D266" s="5"/>
      <c r="F266" s="18"/>
      <c r="R266" s="5"/>
    </row>
    <row r="267" spans="1:18" x14ac:dyDescent="0.2">
      <c r="A267" s="5"/>
      <c r="B267" s="5"/>
      <c r="C267" s="5"/>
      <c r="D267" s="5"/>
      <c r="F267" s="18"/>
      <c r="R267" s="5"/>
    </row>
    <row r="268" spans="1:18" x14ac:dyDescent="0.2">
      <c r="A268" s="5"/>
      <c r="B268" s="5"/>
      <c r="C268" s="5"/>
      <c r="D268" s="5"/>
      <c r="F268" s="18"/>
      <c r="R268" s="5"/>
    </row>
    <row r="269" spans="1:18" x14ac:dyDescent="0.2">
      <c r="A269" s="5"/>
      <c r="B269" s="5"/>
      <c r="C269" s="5"/>
      <c r="D269" s="5"/>
      <c r="F269" s="18"/>
      <c r="R269" s="5"/>
    </row>
    <row r="270" spans="1:18" x14ac:dyDescent="0.2">
      <c r="A270" s="5"/>
      <c r="B270" s="5"/>
      <c r="C270" s="5"/>
      <c r="D270" s="5"/>
      <c r="F270" s="18"/>
      <c r="R270" s="5"/>
    </row>
    <row r="271" spans="1:18" x14ac:dyDescent="0.2">
      <c r="A271" s="5"/>
      <c r="B271" s="5"/>
      <c r="C271" s="5"/>
      <c r="D271" s="5"/>
      <c r="F271" s="18"/>
      <c r="R271" s="5"/>
    </row>
    <row r="272" spans="1:18" x14ac:dyDescent="0.2">
      <c r="A272" s="5"/>
      <c r="B272" s="5"/>
      <c r="C272" s="5"/>
      <c r="D272" s="5"/>
      <c r="F272" s="18"/>
      <c r="R272" s="5"/>
    </row>
    <row r="273" spans="1:18" x14ac:dyDescent="0.2">
      <c r="A273" s="5"/>
      <c r="B273" s="5"/>
      <c r="C273" s="5"/>
      <c r="D273" s="5"/>
      <c r="F273" s="18"/>
      <c r="R273" s="5"/>
    </row>
    <row r="274" spans="1:18" x14ac:dyDescent="0.2">
      <c r="A274" s="5"/>
      <c r="B274" s="5"/>
      <c r="C274" s="5"/>
      <c r="D274" s="5"/>
      <c r="F274" s="18"/>
      <c r="R274" s="5"/>
    </row>
    <row r="275" spans="1:18" x14ac:dyDescent="0.2">
      <c r="A275" s="5"/>
      <c r="B275" s="5"/>
      <c r="C275" s="5"/>
      <c r="D275" s="5"/>
      <c r="F275" s="18"/>
      <c r="R275" s="5"/>
    </row>
    <row r="276" spans="1:18" x14ac:dyDescent="0.2">
      <c r="A276" s="5"/>
      <c r="B276" s="5"/>
      <c r="C276" s="5"/>
      <c r="D276" s="5"/>
      <c r="F276" s="18"/>
      <c r="R276" s="5"/>
    </row>
    <row r="277" spans="1:18" x14ac:dyDescent="0.2">
      <c r="A277" s="5"/>
      <c r="B277" s="5"/>
      <c r="C277" s="5"/>
      <c r="D277" s="5"/>
      <c r="F277" s="18"/>
      <c r="R277" s="5"/>
    </row>
    <row r="278" spans="1:18" x14ac:dyDescent="0.2">
      <c r="A278" s="5"/>
      <c r="B278" s="5"/>
      <c r="C278" s="5"/>
      <c r="D278" s="5"/>
      <c r="F278" s="18"/>
      <c r="R278" s="5"/>
    </row>
    <row r="279" spans="1:18" x14ac:dyDescent="0.2">
      <c r="A279" s="5"/>
      <c r="B279" s="5"/>
      <c r="C279" s="5"/>
      <c r="D279" s="5"/>
      <c r="F279" s="18"/>
      <c r="R279" s="5"/>
    </row>
    <row r="280" spans="1:18" x14ac:dyDescent="0.2">
      <c r="A280" s="5"/>
      <c r="B280" s="5"/>
      <c r="C280" s="5"/>
      <c r="D280" s="5"/>
      <c r="F280" s="18"/>
      <c r="R280" s="5"/>
    </row>
    <row r="281" spans="1:18" x14ac:dyDescent="0.2">
      <c r="A281" s="5"/>
      <c r="B281" s="5"/>
      <c r="C281" s="5"/>
      <c r="D281" s="5"/>
      <c r="F281" s="18"/>
      <c r="R281" s="5"/>
    </row>
    <row r="282" spans="1:18" x14ac:dyDescent="0.2">
      <c r="A282" s="5"/>
      <c r="B282" s="5"/>
      <c r="C282" s="5"/>
      <c r="D282" s="5"/>
      <c r="F282" s="18"/>
      <c r="R282" s="5"/>
    </row>
    <row r="283" spans="1:18" x14ac:dyDescent="0.2">
      <c r="A283" s="5"/>
      <c r="B283" s="5"/>
      <c r="C283" s="5"/>
      <c r="D283" s="5"/>
      <c r="F283" s="18"/>
      <c r="R283" s="5"/>
    </row>
    <row r="284" spans="1:18" x14ac:dyDescent="0.2">
      <c r="A284" s="5"/>
      <c r="B284" s="5"/>
      <c r="C284" s="5"/>
      <c r="D284" s="5"/>
      <c r="F284" s="18"/>
      <c r="R284" s="5"/>
    </row>
    <row r="285" spans="1:18" x14ac:dyDescent="0.2">
      <c r="A285" s="5"/>
      <c r="B285" s="5"/>
      <c r="C285" s="5"/>
      <c r="D285" s="5"/>
      <c r="F285" s="18"/>
      <c r="R285" s="5"/>
    </row>
    <row r="286" spans="1:18" x14ac:dyDescent="0.2">
      <c r="A286" s="5"/>
      <c r="B286" s="5"/>
      <c r="C286" s="5"/>
      <c r="D286" s="5"/>
      <c r="F286" s="18"/>
      <c r="R286" s="5"/>
    </row>
    <row r="287" spans="1:18" x14ac:dyDescent="0.2">
      <c r="A287" s="5"/>
      <c r="B287" s="5"/>
      <c r="C287" s="5"/>
      <c r="D287" s="5"/>
      <c r="F287" s="18"/>
      <c r="R287" s="5"/>
    </row>
    <row r="288" spans="1:18" x14ac:dyDescent="0.2">
      <c r="A288" s="5"/>
      <c r="B288" s="5"/>
      <c r="C288" s="5"/>
      <c r="D288" s="5"/>
      <c r="F288" s="18"/>
      <c r="R288" s="5"/>
    </row>
    <row r="289" spans="1:18" x14ac:dyDescent="0.2">
      <c r="A289" s="5"/>
      <c r="B289" s="5"/>
      <c r="C289" s="5"/>
      <c r="D289" s="5"/>
      <c r="F289" s="18"/>
      <c r="R289" s="5"/>
    </row>
    <row r="290" spans="1:18" x14ac:dyDescent="0.2">
      <c r="A290" s="5"/>
      <c r="B290" s="5"/>
      <c r="C290" s="5"/>
      <c r="D290" s="5"/>
      <c r="F290" s="18"/>
      <c r="R290" s="5"/>
    </row>
    <row r="291" spans="1:18" x14ac:dyDescent="0.2">
      <c r="A291" s="5"/>
      <c r="B291" s="5"/>
      <c r="C291" s="5"/>
      <c r="D291" s="5"/>
      <c r="F291" s="18"/>
      <c r="R291" s="5"/>
    </row>
    <row r="292" spans="1:18" x14ac:dyDescent="0.2">
      <c r="A292" s="5"/>
      <c r="B292" s="5"/>
      <c r="C292" s="5"/>
      <c r="D292" s="5"/>
      <c r="F292" s="18"/>
      <c r="R292" s="5"/>
    </row>
    <row r="293" spans="1:18" x14ac:dyDescent="0.2">
      <c r="A293" s="5"/>
      <c r="B293" s="5"/>
      <c r="C293" s="5"/>
      <c r="D293" s="5"/>
      <c r="F293" s="18"/>
      <c r="R293" s="5"/>
    </row>
    <row r="294" spans="1:18" x14ac:dyDescent="0.2">
      <c r="A294" s="5"/>
      <c r="B294" s="5"/>
      <c r="C294" s="5"/>
      <c r="D294" s="5"/>
      <c r="F294" s="18"/>
      <c r="R294" s="5"/>
    </row>
    <row r="295" spans="1:18" x14ac:dyDescent="0.2">
      <c r="A295" s="5"/>
      <c r="B295" s="5"/>
      <c r="C295" s="5"/>
      <c r="D295" s="5"/>
      <c r="F295" s="18"/>
      <c r="R295" s="5"/>
    </row>
    <row r="296" spans="1:18" x14ac:dyDescent="0.2">
      <c r="A296" s="5"/>
      <c r="B296" s="5"/>
      <c r="C296" s="5"/>
      <c r="D296" s="5"/>
      <c r="F296" s="18"/>
      <c r="R296" s="5"/>
    </row>
    <row r="297" spans="1:18" x14ac:dyDescent="0.2">
      <c r="A297" s="5"/>
      <c r="B297" s="5"/>
      <c r="C297" s="5"/>
      <c r="D297" s="5"/>
      <c r="F297" s="18"/>
      <c r="R297" s="5"/>
    </row>
    <row r="298" spans="1:18" x14ac:dyDescent="0.2">
      <c r="A298" s="5"/>
      <c r="B298" s="5"/>
      <c r="C298" s="5"/>
      <c r="D298" s="5"/>
      <c r="F298" s="18"/>
      <c r="R298" s="5"/>
    </row>
    <row r="299" spans="1:18" x14ac:dyDescent="0.2">
      <c r="A299" s="5"/>
      <c r="B299" s="5"/>
      <c r="C299" s="5"/>
      <c r="D299" s="5"/>
      <c r="F299" s="18"/>
      <c r="R299" s="5"/>
    </row>
    <row r="300" spans="1:18" x14ac:dyDescent="0.2">
      <c r="A300" s="5"/>
      <c r="B300" s="5"/>
      <c r="C300" s="5"/>
      <c r="D300" s="5"/>
      <c r="F300" s="18"/>
      <c r="R300" s="5"/>
    </row>
    <row r="301" spans="1:18" x14ac:dyDescent="0.2">
      <c r="A301" s="5"/>
      <c r="B301" s="5"/>
      <c r="C301" s="5"/>
      <c r="D301" s="5"/>
      <c r="F301" s="18"/>
      <c r="R301" s="5"/>
    </row>
    <row r="302" spans="1:18" x14ac:dyDescent="0.2">
      <c r="A302" s="5"/>
      <c r="B302" s="5"/>
      <c r="C302" s="5"/>
      <c r="D302" s="5"/>
      <c r="F302" s="18"/>
      <c r="R302" s="5"/>
    </row>
    <row r="303" spans="1:18" x14ac:dyDescent="0.2">
      <c r="A303" s="5"/>
      <c r="B303" s="5"/>
      <c r="C303" s="5"/>
      <c r="D303" s="5"/>
      <c r="F303" s="18"/>
      <c r="R303" s="5"/>
    </row>
    <row r="304" spans="1:18" x14ac:dyDescent="0.2">
      <c r="A304" s="5"/>
      <c r="B304" s="5"/>
      <c r="C304" s="5"/>
      <c r="D304" s="5"/>
      <c r="F304" s="18"/>
      <c r="R304" s="5"/>
    </row>
    <row r="305" spans="1:18" x14ac:dyDescent="0.2">
      <c r="A305" s="5"/>
      <c r="B305" s="5"/>
      <c r="C305" s="5"/>
      <c r="D305" s="5"/>
      <c r="F305" s="18"/>
      <c r="R305" s="5"/>
    </row>
    <row r="306" spans="1:18" x14ac:dyDescent="0.2">
      <c r="A306" s="5"/>
      <c r="B306" s="5"/>
      <c r="C306" s="5"/>
      <c r="D306" s="5"/>
      <c r="F306" s="18"/>
      <c r="R306" s="5"/>
    </row>
    <row r="307" spans="1:18" x14ac:dyDescent="0.2">
      <c r="A307" s="5"/>
      <c r="B307" s="5"/>
      <c r="C307" s="5"/>
      <c r="D307" s="5"/>
      <c r="F307" s="18"/>
      <c r="R307" s="5"/>
    </row>
    <row r="308" spans="1:18" x14ac:dyDescent="0.2">
      <c r="A308" s="5"/>
      <c r="B308" s="5"/>
      <c r="C308" s="5"/>
      <c r="D308" s="5"/>
      <c r="F308" s="18"/>
      <c r="R308" s="5"/>
    </row>
    <row r="309" spans="1:18" x14ac:dyDescent="0.2">
      <c r="A309" s="5"/>
      <c r="B309" s="5"/>
      <c r="C309" s="5"/>
      <c r="D309" s="5"/>
      <c r="F309" s="18"/>
      <c r="R309" s="5"/>
    </row>
    <row r="310" spans="1:18" x14ac:dyDescent="0.2">
      <c r="A310" s="5"/>
      <c r="B310" s="5"/>
      <c r="C310" s="5"/>
      <c r="D310" s="5"/>
      <c r="F310" s="18"/>
      <c r="R310" s="5"/>
    </row>
    <row r="311" spans="1:18" x14ac:dyDescent="0.2">
      <c r="A311" s="5"/>
      <c r="B311" s="5"/>
      <c r="C311" s="5"/>
      <c r="D311" s="5"/>
      <c r="F311" s="18"/>
      <c r="R311" s="5"/>
    </row>
    <row r="312" spans="1:18" x14ac:dyDescent="0.2">
      <c r="A312" s="5"/>
      <c r="B312" s="5"/>
      <c r="C312" s="5"/>
      <c r="D312" s="5"/>
      <c r="F312" s="18"/>
      <c r="R312" s="5"/>
    </row>
    <row r="313" spans="1:18" x14ac:dyDescent="0.2">
      <c r="A313" s="5"/>
      <c r="B313" s="5"/>
      <c r="C313" s="5"/>
      <c r="D313" s="5"/>
      <c r="F313" s="18"/>
      <c r="R313" s="5"/>
    </row>
    <row r="314" spans="1:18" x14ac:dyDescent="0.2">
      <c r="A314" s="5"/>
      <c r="B314" s="5"/>
      <c r="C314" s="5"/>
      <c r="D314" s="5"/>
      <c r="F314" s="18"/>
      <c r="R314" s="5"/>
    </row>
    <row r="315" spans="1:18" x14ac:dyDescent="0.2">
      <c r="A315" s="5"/>
      <c r="B315" s="5"/>
      <c r="C315" s="5"/>
      <c r="D315" s="5"/>
      <c r="F315" s="18"/>
      <c r="R315" s="5"/>
    </row>
    <row r="316" spans="1:18" x14ac:dyDescent="0.2">
      <c r="A316" s="5"/>
      <c r="B316" s="5"/>
      <c r="C316" s="5"/>
      <c r="D316" s="5"/>
      <c r="F316" s="18"/>
      <c r="R316" s="5"/>
    </row>
    <row r="317" spans="1:18" x14ac:dyDescent="0.2">
      <c r="A317" s="5"/>
      <c r="B317" s="5"/>
      <c r="C317" s="5"/>
      <c r="D317" s="5"/>
      <c r="F317" s="18"/>
      <c r="R317" s="5"/>
    </row>
    <row r="318" spans="1:18" x14ac:dyDescent="0.2">
      <c r="A318" s="5"/>
      <c r="B318" s="5"/>
      <c r="C318" s="5"/>
      <c r="D318" s="5"/>
      <c r="F318" s="18"/>
      <c r="R318" s="5"/>
    </row>
    <row r="319" spans="1:18" x14ac:dyDescent="0.2">
      <c r="A319" s="5"/>
      <c r="B319" s="5"/>
      <c r="C319" s="5"/>
      <c r="D319" s="5"/>
      <c r="F319" s="18"/>
      <c r="R319" s="5"/>
    </row>
    <row r="320" spans="1:18" x14ac:dyDescent="0.2">
      <c r="A320" s="5"/>
      <c r="B320" s="5"/>
      <c r="C320" s="5"/>
      <c r="D320" s="5"/>
      <c r="F320" s="18"/>
      <c r="R320" s="5"/>
    </row>
    <row r="321" spans="1:18" x14ac:dyDescent="0.2">
      <c r="A321" s="5"/>
      <c r="B321" s="5"/>
      <c r="C321" s="5"/>
      <c r="D321" s="5"/>
      <c r="F321" s="18"/>
      <c r="R321" s="5"/>
    </row>
    <row r="322" spans="1:18" x14ac:dyDescent="0.2">
      <c r="A322" s="5"/>
      <c r="B322" s="5"/>
      <c r="C322" s="5"/>
      <c r="D322" s="5"/>
      <c r="F322" s="18"/>
      <c r="R322" s="5"/>
    </row>
    <row r="323" spans="1:18" x14ac:dyDescent="0.2">
      <c r="A323" s="5"/>
      <c r="B323" s="5"/>
      <c r="C323" s="5"/>
      <c r="D323" s="5"/>
      <c r="F323" s="18"/>
      <c r="R323" s="5"/>
    </row>
    <row r="324" spans="1:18" x14ac:dyDescent="0.2">
      <c r="A324" s="5"/>
      <c r="B324" s="5"/>
      <c r="C324" s="5"/>
      <c r="D324" s="5"/>
      <c r="F324" s="18"/>
      <c r="R324" s="5"/>
    </row>
    <row r="325" spans="1:18" x14ac:dyDescent="0.2">
      <c r="A325" s="5"/>
      <c r="B325" s="5"/>
      <c r="C325" s="5"/>
      <c r="D325" s="5"/>
      <c r="F325" s="18"/>
      <c r="R325" s="5"/>
    </row>
    <row r="326" spans="1:18" x14ac:dyDescent="0.2">
      <c r="A326" s="5"/>
      <c r="B326" s="5"/>
      <c r="C326" s="5"/>
      <c r="D326" s="5"/>
      <c r="F326" s="18"/>
      <c r="R326" s="5"/>
    </row>
    <row r="327" spans="1:18" x14ac:dyDescent="0.2">
      <c r="A327" s="5"/>
      <c r="B327" s="5"/>
      <c r="C327" s="5"/>
      <c r="D327" s="5"/>
      <c r="F327" s="18"/>
      <c r="R327" s="5"/>
    </row>
    <row r="328" spans="1:18" x14ac:dyDescent="0.2">
      <c r="A328" s="5"/>
      <c r="B328" s="5"/>
      <c r="C328" s="5"/>
      <c r="D328" s="5"/>
      <c r="F328" s="18"/>
      <c r="R328" s="5"/>
    </row>
    <row r="329" spans="1:18" x14ac:dyDescent="0.2">
      <c r="A329" s="5"/>
      <c r="B329" s="5"/>
      <c r="C329" s="5"/>
      <c r="D329" s="5"/>
      <c r="F329" s="18"/>
      <c r="R329" s="5"/>
    </row>
    <row r="330" spans="1:18" x14ac:dyDescent="0.2">
      <c r="A330" s="5"/>
      <c r="B330" s="5"/>
      <c r="C330" s="5"/>
      <c r="D330" s="5"/>
      <c r="F330" s="18"/>
      <c r="R330" s="5"/>
    </row>
    <row r="331" spans="1:18" x14ac:dyDescent="0.2">
      <c r="A331" s="5"/>
      <c r="B331" s="5"/>
      <c r="C331" s="5"/>
      <c r="D331" s="5"/>
      <c r="F331" s="18"/>
      <c r="R331" s="5"/>
    </row>
    <row r="332" spans="1:18" x14ac:dyDescent="0.2">
      <c r="A332" s="5"/>
      <c r="B332" s="5"/>
      <c r="C332" s="5"/>
      <c r="D332" s="5"/>
      <c r="F332" s="18"/>
      <c r="R332" s="5"/>
    </row>
    <row r="333" spans="1:18" x14ac:dyDescent="0.2">
      <c r="A333" s="5"/>
      <c r="B333" s="5"/>
      <c r="C333" s="5"/>
      <c r="D333" s="5"/>
      <c r="F333" s="18"/>
      <c r="R333" s="5"/>
    </row>
    <row r="334" spans="1:18" x14ac:dyDescent="0.2">
      <c r="A334" s="5"/>
      <c r="B334" s="5"/>
      <c r="C334" s="5"/>
      <c r="D334" s="5"/>
      <c r="F334" s="18"/>
      <c r="R334" s="5"/>
    </row>
    <row r="335" spans="1:18" x14ac:dyDescent="0.2">
      <c r="A335" s="5"/>
      <c r="B335" s="5"/>
      <c r="C335" s="5"/>
      <c r="D335" s="5"/>
      <c r="F335" s="18"/>
      <c r="R335" s="5"/>
    </row>
    <row r="336" spans="1:18" x14ac:dyDescent="0.2">
      <c r="A336" s="5"/>
      <c r="B336" s="5"/>
      <c r="C336" s="5"/>
      <c r="D336" s="5"/>
      <c r="F336" s="18"/>
      <c r="R336" s="5"/>
    </row>
    <row r="337" spans="1:18" x14ac:dyDescent="0.2">
      <c r="A337" s="5"/>
      <c r="B337" s="5"/>
      <c r="C337" s="5"/>
      <c r="D337" s="5"/>
      <c r="F337" s="18"/>
      <c r="R337" s="5"/>
    </row>
    <row r="338" spans="1:18" x14ac:dyDescent="0.2">
      <c r="A338" s="5"/>
      <c r="B338" s="5"/>
      <c r="C338" s="5"/>
      <c r="D338" s="5"/>
      <c r="F338" s="18"/>
      <c r="R338" s="5"/>
    </row>
    <row r="339" spans="1:18" x14ac:dyDescent="0.2">
      <c r="A339" s="5"/>
      <c r="B339" s="5"/>
      <c r="C339" s="5"/>
      <c r="D339" s="5"/>
      <c r="F339" s="18"/>
      <c r="R339" s="5"/>
    </row>
    <row r="340" spans="1:18" x14ac:dyDescent="0.2">
      <c r="A340" s="5"/>
      <c r="B340" s="5"/>
      <c r="C340" s="5"/>
      <c r="D340" s="5"/>
      <c r="F340" s="18"/>
      <c r="R340" s="5"/>
    </row>
    <row r="341" spans="1:18" x14ac:dyDescent="0.2">
      <c r="A341" s="5"/>
      <c r="B341" s="5"/>
      <c r="C341" s="5"/>
      <c r="D341" s="5"/>
      <c r="F341" s="18"/>
      <c r="R341" s="5"/>
    </row>
    <row r="342" spans="1:18" x14ac:dyDescent="0.2">
      <c r="A342" s="5"/>
      <c r="B342" s="5"/>
      <c r="C342" s="5"/>
      <c r="D342" s="5"/>
      <c r="F342" s="18"/>
      <c r="R342" s="5"/>
    </row>
    <row r="343" spans="1:18" x14ac:dyDescent="0.2">
      <c r="A343" s="5"/>
      <c r="B343" s="5"/>
      <c r="C343" s="5"/>
      <c r="D343" s="5"/>
      <c r="F343" s="18"/>
      <c r="R343" s="5"/>
    </row>
    <row r="344" spans="1:18" x14ac:dyDescent="0.2">
      <c r="A344" s="5"/>
      <c r="B344" s="5"/>
      <c r="C344" s="5"/>
      <c r="D344" s="5"/>
      <c r="F344" s="18"/>
      <c r="R344" s="5"/>
    </row>
    <row r="345" spans="1:18" x14ac:dyDescent="0.2">
      <c r="A345" s="5"/>
      <c r="B345" s="5"/>
      <c r="C345" s="5"/>
      <c r="D345" s="5"/>
      <c r="F345" s="18"/>
      <c r="R345" s="5"/>
    </row>
    <row r="346" spans="1:18" x14ac:dyDescent="0.2">
      <c r="A346" s="5"/>
      <c r="B346" s="5"/>
      <c r="C346" s="5"/>
      <c r="D346" s="5"/>
      <c r="F346" s="18"/>
      <c r="R346" s="5"/>
    </row>
    <row r="347" spans="1:18" x14ac:dyDescent="0.2">
      <c r="A347" s="5"/>
      <c r="B347" s="5"/>
      <c r="C347" s="5"/>
      <c r="D347" s="5"/>
      <c r="F347" s="18"/>
      <c r="R347" s="5"/>
    </row>
    <row r="348" spans="1:18" x14ac:dyDescent="0.2">
      <c r="A348" s="5"/>
      <c r="B348" s="5"/>
      <c r="C348" s="5"/>
      <c r="D348" s="5"/>
      <c r="F348" s="18"/>
      <c r="R348" s="5"/>
    </row>
    <row r="349" spans="1:18" x14ac:dyDescent="0.2">
      <c r="A349" s="5"/>
      <c r="B349" s="5"/>
      <c r="C349" s="5"/>
      <c r="D349" s="5"/>
      <c r="F349" s="18"/>
      <c r="R349" s="5"/>
    </row>
    <row r="350" spans="1:18" x14ac:dyDescent="0.2">
      <c r="A350" s="5"/>
      <c r="B350" s="5"/>
      <c r="C350" s="5"/>
      <c r="D350" s="5"/>
      <c r="F350" s="18"/>
      <c r="R350" s="5"/>
    </row>
    <row r="351" spans="1:18" x14ac:dyDescent="0.2">
      <c r="A351" s="5"/>
      <c r="B351" s="5"/>
      <c r="C351" s="5"/>
      <c r="D351" s="5"/>
      <c r="F351" s="18"/>
      <c r="R351" s="5"/>
    </row>
    <row r="352" spans="1:18" x14ac:dyDescent="0.2">
      <c r="A352" s="5"/>
      <c r="B352" s="5"/>
      <c r="C352" s="5"/>
      <c r="D352" s="5"/>
      <c r="F352" s="18"/>
      <c r="R352" s="5"/>
    </row>
    <row r="353" spans="1:18" x14ac:dyDescent="0.2">
      <c r="A353" s="5"/>
      <c r="B353" s="5"/>
      <c r="C353" s="5"/>
      <c r="D353" s="5"/>
      <c r="F353" s="18"/>
      <c r="R353" s="5"/>
    </row>
    <row r="354" spans="1:18" x14ac:dyDescent="0.2">
      <c r="A354" s="5"/>
      <c r="B354" s="5"/>
      <c r="C354" s="5"/>
      <c r="D354" s="5"/>
      <c r="F354" s="18"/>
      <c r="R354" s="5"/>
    </row>
    <row r="355" spans="1:18" x14ac:dyDescent="0.2">
      <c r="A355" s="5"/>
      <c r="B355" s="5"/>
      <c r="C355" s="5"/>
      <c r="D355" s="5"/>
      <c r="F355" s="18"/>
      <c r="R355" s="5"/>
    </row>
    <row r="356" spans="1:18" x14ac:dyDescent="0.2">
      <c r="A356" s="5"/>
      <c r="B356" s="5"/>
      <c r="C356" s="5"/>
      <c r="D356" s="5"/>
      <c r="F356" s="18"/>
      <c r="R356" s="5"/>
    </row>
    <row r="357" spans="1:18" x14ac:dyDescent="0.2">
      <c r="A357" s="5"/>
      <c r="B357" s="5"/>
      <c r="C357" s="5"/>
      <c r="D357" s="5"/>
      <c r="F357" s="18"/>
      <c r="R357" s="5"/>
    </row>
    <row r="358" spans="1:18" x14ac:dyDescent="0.2">
      <c r="A358" s="5"/>
      <c r="B358" s="5"/>
      <c r="C358" s="5"/>
      <c r="D358" s="5"/>
      <c r="F358" s="18"/>
      <c r="R358" s="5"/>
    </row>
    <row r="359" spans="1:18" x14ac:dyDescent="0.2">
      <c r="A359" s="5"/>
      <c r="B359" s="5"/>
      <c r="C359" s="5"/>
      <c r="D359" s="5"/>
      <c r="F359" s="18"/>
      <c r="R359" s="5"/>
    </row>
    <row r="360" spans="1:18" x14ac:dyDescent="0.2">
      <c r="A360" s="5"/>
      <c r="B360" s="5"/>
      <c r="C360" s="5"/>
      <c r="D360" s="5"/>
      <c r="F360" s="18"/>
      <c r="R360" s="5"/>
    </row>
    <row r="361" spans="1:18" x14ac:dyDescent="0.2">
      <c r="A361" s="5"/>
      <c r="B361" s="5"/>
      <c r="C361" s="5"/>
      <c r="D361" s="5"/>
      <c r="F361" s="18"/>
      <c r="R361" s="5"/>
    </row>
    <row r="362" spans="1:18" x14ac:dyDescent="0.2">
      <c r="A362" s="5"/>
      <c r="B362" s="5"/>
      <c r="C362" s="5"/>
      <c r="D362" s="5"/>
      <c r="F362" s="18"/>
      <c r="R362" s="5"/>
    </row>
    <row r="363" spans="1:18" x14ac:dyDescent="0.2">
      <c r="A363" s="5"/>
      <c r="B363" s="5"/>
      <c r="C363" s="5"/>
      <c r="D363" s="5"/>
      <c r="F363" s="18"/>
      <c r="R363" s="5"/>
    </row>
    <row r="364" spans="1:18" x14ac:dyDescent="0.2">
      <c r="A364" s="5"/>
      <c r="B364" s="5"/>
      <c r="C364" s="5"/>
      <c r="D364" s="5"/>
      <c r="F364" s="18"/>
      <c r="R364" s="5"/>
    </row>
    <row r="365" spans="1:18" x14ac:dyDescent="0.2">
      <c r="A365" s="5"/>
      <c r="B365" s="5"/>
      <c r="C365" s="5"/>
      <c r="D365" s="5"/>
      <c r="F365" s="18"/>
      <c r="R365" s="5"/>
    </row>
    <row r="366" spans="1:18" x14ac:dyDescent="0.2">
      <c r="A366" s="5"/>
      <c r="B366" s="5"/>
      <c r="C366" s="5"/>
      <c r="D366" s="5"/>
      <c r="F366" s="18"/>
      <c r="R366" s="5"/>
    </row>
    <row r="367" spans="1:18" x14ac:dyDescent="0.2">
      <c r="A367" s="5"/>
      <c r="B367" s="5"/>
      <c r="C367" s="5"/>
      <c r="D367" s="5"/>
      <c r="F367" s="18"/>
      <c r="R367" s="5"/>
    </row>
    <row r="368" spans="1:18" x14ac:dyDescent="0.2">
      <c r="A368" s="5"/>
      <c r="B368" s="5"/>
      <c r="C368" s="5"/>
      <c r="D368" s="5"/>
      <c r="F368" s="18"/>
      <c r="R368" s="5"/>
    </row>
    <row r="369" spans="1:18" x14ac:dyDescent="0.2">
      <c r="A369" s="5"/>
      <c r="B369" s="5"/>
      <c r="C369" s="5"/>
      <c r="D369" s="5"/>
      <c r="F369" s="18"/>
      <c r="R369" s="5"/>
    </row>
    <row r="370" spans="1:18" x14ac:dyDescent="0.2">
      <c r="A370" s="5"/>
      <c r="B370" s="5"/>
      <c r="C370" s="5"/>
      <c r="D370" s="5"/>
      <c r="F370" s="18"/>
      <c r="R370" s="5"/>
    </row>
    <row r="371" spans="1:18" x14ac:dyDescent="0.2">
      <c r="A371" s="5"/>
      <c r="B371" s="5"/>
      <c r="C371" s="5"/>
      <c r="D371" s="5"/>
      <c r="F371" s="18"/>
      <c r="R371" s="5"/>
    </row>
    <row r="372" spans="1:18" x14ac:dyDescent="0.2">
      <c r="A372" s="5"/>
      <c r="B372" s="5"/>
      <c r="C372" s="5"/>
      <c r="D372" s="5"/>
      <c r="F372" s="18"/>
      <c r="R372" s="5"/>
    </row>
    <row r="373" spans="1:18" x14ac:dyDescent="0.2">
      <c r="A373" s="5"/>
      <c r="B373" s="5"/>
      <c r="C373" s="5"/>
      <c r="D373" s="5"/>
      <c r="F373" s="18"/>
      <c r="R373" s="5"/>
    </row>
    <row r="374" spans="1:18" x14ac:dyDescent="0.2">
      <c r="A374" s="5"/>
      <c r="B374" s="5"/>
      <c r="C374" s="5"/>
      <c r="D374" s="5"/>
      <c r="F374" s="18"/>
      <c r="R374" s="5"/>
    </row>
    <row r="375" spans="1:18" x14ac:dyDescent="0.2">
      <c r="A375" s="5"/>
      <c r="B375" s="5"/>
      <c r="C375" s="5"/>
      <c r="D375" s="5"/>
      <c r="F375" s="18"/>
      <c r="R375" s="5"/>
    </row>
    <row r="376" spans="1:18" x14ac:dyDescent="0.2">
      <c r="A376" s="5"/>
      <c r="B376" s="5"/>
      <c r="C376" s="5"/>
      <c r="D376" s="5"/>
      <c r="F376" s="18"/>
      <c r="R376" s="5"/>
    </row>
    <row r="377" spans="1:18" x14ac:dyDescent="0.2">
      <c r="A377" s="5"/>
      <c r="B377" s="5"/>
      <c r="C377" s="5"/>
      <c r="D377" s="5"/>
      <c r="F377" s="18"/>
      <c r="R377" s="5"/>
    </row>
    <row r="378" spans="1:18" x14ac:dyDescent="0.2">
      <c r="A378" s="5"/>
      <c r="B378" s="5"/>
      <c r="C378" s="5"/>
      <c r="D378" s="5"/>
      <c r="F378" s="18"/>
      <c r="R378" s="5"/>
    </row>
    <row r="379" spans="1:18" x14ac:dyDescent="0.2">
      <c r="A379" s="5"/>
      <c r="B379" s="5"/>
      <c r="C379" s="5"/>
      <c r="D379" s="5"/>
      <c r="F379" s="18"/>
      <c r="R379" s="5"/>
    </row>
    <row r="380" spans="1:18" x14ac:dyDescent="0.2">
      <c r="A380" s="5"/>
      <c r="B380" s="5"/>
      <c r="C380" s="5"/>
      <c r="D380" s="5"/>
      <c r="F380" s="18"/>
      <c r="R380" s="5"/>
    </row>
    <row r="381" spans="1:18" x14ac:dyDescent="0.2">
      <c r="A381" s="5"/>
      <c r="B381" s="5"/>
      <c r="C381" s="5"/>
      <c r="D381" s="5"/>
      <c r="F381" s="18"/>
      <c r="R381" s="5"/>
    </row>
    <row r="382" spans="1:18" x14ac:dyDescent="0.2">
      <c r="A382" s="5"/>
      <c r="B382" s="5"/>
      <c r="C382" s="5"/>
      <c r="D382" s="5"/>
      <c r="F382" s="18"/>
      <c r="R382" s="5"/>
    </row>
    <row r="383" spans="1:18" x14ac:dyDescent="0.2">
      <c r="A383" s="5"/>
      <c r="B383" s="5"/>
      <c r="C383" s="5"/>
      <c r="D383" s="5"/>
      <c r="F383" s="18"/>
      <c r="R383" s="5"/>
    </row>
    <row r="384" spans="1:18" x14ac:dyDescent="0.2">
      <c r="A384" s="5"/>
      <c r="B384" s="5"/>
      <c r="C384" s="5"/>
      <c r="D384" s="5"/>
      <c r="F384" s="18"/>
      <c r="R384" s="5"/>
    </row>
    <row r="385" spans="1:18" x14ac:dyDescent="0.2">
      <c r="A385" s="5"/>
      <c r="B385" s="5"/>
      <c r="C385" s="5"/>
      <c r="D385" s="5"/>
      <c r="F385" s="18"/>
      <c r="R385" s="5"/>
    </row>
    <row r="386" spans="1:18" x14ac:dyDescent="0.2">
      <c r="A386" s="5"/>
      <c r="B386" s="5"/>
      <c r="C386" s="5"/>
      <c r="D386" s="5"/>
      <c r="F386" s="18"/>
      <c r="R386" s="5"/>
    </row>
    <row r="387" spans="1:18" x14ac:dyDescent="0.2">
      <c r="A387" s="5"/>
      <c r="B387" s="5"/>
      <c r="C387" s="5"/>
      <c r="D387" s="5"/>
      <c r="F387" s="18"/>
      <c r="R387" s="5"/>
    </row>
    <row r="388" spans="1:18" x14ac:dyDescent="0.2">
      <c r="A388" s="5"/>
      <c r="B388" s="5"/>
      <c r="C388" s="5"/>
      <c r="D388" s="5"/>
      <c r="F388" s="18"/>
      <c r="R388" s="5"/>
    </row>
    <row r="389" spans="1:18" x14ac:dyDescent="0.2">
      <c r="A389" s="5"/>
      <c r="B389" s="5"/>
      <c r="C389" s="5"/>
      <c r="D389" s="5"/>
      <c r="F389" s="18"/>
      <c r="R389" s="5"/>
    </row>
    <row r="390" spans="1:18" x14ac:dyDescent="0.2">
      <c r="A390" s="5"/>
      <c r="B390" s="5"/>
      <c r="C390" s="5"/>
      <c r="D390" s="5"/>
      <c r="F390" s="18"/>
      <c r="R390" s="5"/>
    </row>
    <row r="391" spans="1:18" x14ac:dyDescent="0.2">
      <c r="A391" s="5"/>
      <c r="B391" s="5"/>
      <c r="C391" s="5"/>
      <c r="D391" s="5"/>
      <c r="F391" s="18"/>
      <c r="R391" s="5"/>
    </row>
    <row r="392" spans="1:18" x14ac:dyDescent="0.2">
      <c r="A392" s="5"/>
      <c r="B392" s="5"/>
      <c r="C392" s="5"/>
      <c r="D392" s="5"/>
      <c r="F392" s="18"/>
      <c r="R392" s="5"/>
    </row>
    <row r="393" spans="1:18" x14ac:dyDescent="0.2">
      <c r="A393" s="5"/>
      <c r="B393" s="5"/>
      <c r="C393" s="5"/>
      <c r="D393" s="5"/>
      <c r="F393" s="18"/>
      <c r="R393" s="5"/>
    </row>
    <row r="394" spans="1:18" x14ac:dyDescent="0.2">
      <c r="A394" s="5"/>
      <c r="B394" s="5"/>
      <c r="C394" s="5"/>
      <c r="D394" s="5"/>
      <c r="F394" s="18"/>
      <c r="R394" s="5"/>
    </row>
    <row r="395" spans="1:18" x14ac:dyDescent="0.2">
      <c r="A395" s="5"/>
      <c r="B395" s="5"/>
      <c r="C395" s="5"/>
      <c r="D395" s="5"/>
      <c r="F395" s="18"/>
      <c r="R395" s="5"/>
    </row>
    <row r="396" spans="1:18" x14ac:dyDescent="0.2">
      <c r="A396" s="5"/>
      <c r="B396" s="5"/>
      <c r="C396" s="5"/>
      <c r="D396" s="5"/>
      <c r="F396" s="18"/>
      <c r="R396" s="5"/>
    </row>
    <row r="397" spans="1:18" x14ac:dyDescent="0.2">
      <c r="A397" s="5"/>
      <c r="B397" s="5"/>
      <c r="C397" s="5"/>
      <c r="D397" s="5"/>
      <c r="F397" s="18"/>
      <c r="R397" s="5"/>
    </row>
    <row r="398" spans="1:18" x14ac:dyDescent="0.2">
      <c r="A398" s="5"/>
      <c r="B398" s="5"/>
      <c r="C398" s="5"/>
      <c r="D398" s="5"/>
      <c r="F398" s="18"/>
      <c r="R398" s="5"/>
    </row>
    <row r="399" spans="1:18" x14ac:dyDescent="0.2">
      <c r="A399" s="5"/>
      <c r="B399" s="5"/>
      <c r="C399" s="5"/>
      <c r="D399" s="5"/>
      <c r="F399" s="18"/>
      <c r="R399" s="5"/>
    </row>
    <row r="400" spans="1:18" x14ac:dyDescent="0.2">
      <c r="A400" s="5"/>
      <c r="B400" s="5"/>
      <c r="C400" s="5"/>
      <c r="D400" s="5"/>
      <c r="F400" s="18"/>
      <c r="R400" s="5"/>
    </row>
    <row r="401" spans="1:18" x14ac:dyDescent="0.2">
      <c r="A401" s="5"/>
      <c r="B401" s="5"/>
      <c r="C401" s="5"/>
      <c r="D401" s="5"/>
      <c r="F401" s="18"/>
      <c r="R401" s="5"/>
    </row>
    <row r="402" spans="1:18" x14ac:dyDescent="0.2">
      <c r="A402" s="5"/>
      <c r="B402" s="5"/>
      <c r="C402" s="5"/>
      <c r="D402" s="5"/>
      <c r="F402" s="18"/>
      <c r="R402" s="5"/>
    </row>
    <row r="403" spans="1:18" x14ac:dyDescent="0.2">
      <c r="A403" s="5"/>
      <c r="B403" s="5"/>
      <c r="C403" s="5"/>
      <c r="D403" s="5"/>
      <c r="F403" s="18"/>
      <c r="R403" s="5"/>
    </row>
    <row r="404" spans="1:18" x14ac:dyDescent="0.2">
      <c r="A404" s="5"/>
      <c r="B404" s="5"/>
      <c r="C404" s="5"/>
      <c r="D404" s="5"/>
      <c r="F404" s="18"/>
      <c r="R404" s="5"/>
    </row>
    <row r="405" spans="1:18" x14ac:dyDescent="0.2">
      <c r="A405" s="5"/>
      <c r="B405" s="5"/>
      <c r="C405" s="5"/>
      <c r="D405" s="5"/>
      <c r="F405" s="18"/>
      <c r="R405" s="5"/>
    </row>
    <row r="406" spans="1:18" x14ac:dyDescent="0.2">
      <c r="A406" s="5"/>
      <c r="B406" s="5"/>
      <c r="C406" s="5"/>
      <c r="D406" s="5"/>
      <c r="F406" s="18"/>
      <c r="R406" s="5"/>
    </row>
    <row r="407" spans="1:18" x14ac:dyDescent="0.2">
      <c r="A407" s="5"/>
      <c r="B407" s="5"/>
      <c r="C407" s="5"/>
      <c r="D407" s="5"/>
      <c r="F407" s="18"/>
      <c r="R407" s="5"/>
    </row>
    <row r="408" spans="1:18" x14ac:dyDescent="0.2">
      <c r="A408" s="5"/>
      <c r="B408" s="5"/>
      <c r="C408" s="5"/>
      <c r="D408" s="5"/>
      <c r="F408" s="18"/>
      <c r="R408" s="5"/>
    </row>
    <row r="409" spans="1:18" x14ac:dyDescent="0.2">
      <c r="A409" s="5"/>
      <c r="B409" s="5"/>
      <c r="C409" s="5"/>
      <c r="D409" s="5"/>
      <c r="F409" s="18"/>
      <c r="R409" s="5"/>
    </row>
    <row r="410" spans="1:18" x14ac:dyDescent="0.2">
      <c r="A410" s="5"/>
      <c r="B410" s="5"/>
      <c r="C410" s="5"/>
      <c r="D410" s="5"/>
      <c r="F410" s="18"/>
      <c r="R410" s="5"/>
    </row>
    <row r="411" spans="1:18" x14ac:dyDescent="0.2">
      <c r="A411" s="5"/>
      <c r="B411" s="5"/>
      <c r="C411" s="5"/>
      <c r="D411" s="5"/>
      <c r="F411" s="18"/>
      <c r="R411" s="5"/>
    </row>
    <row r="412" spans="1:18" x14ac:dyDescent="0.2">
      <c r="A412" s="5"/>
      <c r="B412" s="5"/>
      <c r="C412" s="5"/>
      <c r="D412" s="5"/>
      <c r="F412" s="18"/>
      <c r="R412" s="5"/>
    </row>
    <row r="413" spans="1:18" x14ac:dyDescent="0.2">
      <c r="A413" s="5"/>
      <c r="B413" s="5"/>
      <c r="C413" s="5"/>
      <c r="D413" s="5"/>
      <c r="F413" s="18"/>
      <c r="R413" s="5"/>
    </row>
    <row r="414" spans="1:18" x14ac:dyDescent="0.2">
      <c r="A414" s="5"/>
      <c r="B414" s="5"/>
      <c r="C414" s="5"/>
      <c r="D414" s="5"/>
      <c r="F414" s="18"/>
      <c r="R414" s="5"/>
    </row>
    <row r="415" spans="1:18" x14ac:dyDescent="0.2">
      <c r="A415" s="5"/>
      <c r="B415" s="5"/>
      <c r="C415" s="5"/>
      <c r="D415" s="5"/>
      <c r="F415" s="18"/>
      <c r="R415" s="5"/>
    </row>
    <row r="416" spans="1:18" x14ac:dyDescent="0.2">
      <c r="A416" s="5"/>
      <c r="B416" s="5"/>
      <c r="C416" s="5"/>
      <c r="D416" s="5"/>
      <c r="F416" s="18"/>
      <c r="R416" s="5"/>
    </row>
    <row r="417" spans="1:18" x14ac:dyDescent="0.2">
      <c r="A417" s="5"/>
      <c r="B417" s="5"/>
      <c r="C417" s="5"/>
      <c r="D417" s="5"/>
      <c r="F417" s="18"/>
      <c r="R417" s="5"/>
    </row>
    <row r="418" spans="1:18" x14ac:dyDescent="0.2">
      <c r="A418" s="5"/>
      <c r="B418" s="5"/>
      <c r="C418" s="5"/>
      <c r="D418" s="5"/>
      <c r="F418" s="18"/>
      <c r="R418" s="5"/>
    </row>
    <row r="419" spans="1:18" x14ac:dyDescent="0.2">
      <c r="A419" s="5"/>
      <c r="B419" s="5"/>
      <c r="C419" s="5"/>
      <c r="D419" s="5"/>
      <c r="F419" s="18"/>
      <c r="R419" s="5"/>
    </row>
    <row r="420" spans="1:18" x14ac:dyDescent="0.2">
      <c r="A420" s="5"/>
      <c r="B420" s="5"/>
      <c r="C420" s="5"/>
      <c r="D420" s="5"/>
      <c r="F420" s="18"/>
      <c r="R420" s="5"/>
    </row>
    <row r="421" spans="1:18" x14ac:dyDescent="0.2">
      <c r="A421" s="5"/>
      <c r="B421" s="5"/>
      <c r="C421" s="5"/>
      <c r="D421" s="5"/>
      <c r="F421" s="18"/>
      <c r="R421" s="5"/>
    </row>
    <row r="422" spans="1:18" x14ac:dyDescent="0.2">
      <c r="A422" s="5"/>
      <c r="B422" s="5"/>
      <c r="C422" s="5"/>
      <c r="D422" s="5"/>
      <c r="F422" s="18"/>
      <c r="R422" s="5"/>
    </row>
    <row r="423" spans="1:18" x14ac:dyDescent="0.2">
      <c r="A423" s="5"/>
      <c r="B423" s="5"/>
      <c r="C423" s="5"/>
      <c r="D423" s="5"/>
      <c r="F423" s="18"/>
      <c r="R423" s="5"/>
    </row>
    <row r="424" spans="1:18" x14ac:dyDescent="0.2">
      <c r="A424" s="5"/>
      <c r="B424" s="5"/>
      <c r="C424" s="5"/>
      <c r="D424" s="5"/>
      <c r="F424" s="18"/>
      <c r="R424" s="5"/>
    </row>
    <row r="425" spans="1:18" x14ac:dyDescent="0.2">
      <c r="A425" s="5"/>
      <c r="B425" s="5"/>
      <c r="C425" s="5"/>
      <c r="D425" s="5"/>
      <c r="F425" s="18"/>
      <c r="R425" s="5"/>
    </row>
    <row r="426" spans="1:18" x14ac:dyDescent="0.2">
      <c r="A426" s="5"/>
      <c r="B426" s="5"/>
      <c r="C426" s="5"/>
      <c r="D426" s="5"/>
      <c r="F426" s="18"/>
      <c r="R426" s="5"/>
    </row>
    <row r="427" spans="1:18" x14ac:dyDescent="0.2">
      <c r="A427" s="5"/>
      <c r="B427" s="5"/>
      <c r="C427" s="5"/>
      <c r="D427" s="5"/>
      <c r="F427" s="18"/>
      <c r="R427" s="5"/>
    </row>
    <row r="428" spans="1:18" x14ac:dyDescent="0.2">
      <c r="A428" s="5"/>
      <c r="B428" s="5"/>
      <c r="C428" s="5"/>
      <c r="D428" s="5"/>
      <c r="F428" s="18"/>
      <c r="R428" s="5"/>
    </row>
    <row r="429" spans="1:18" x14ac:dyDescent="0.2">
      <c r="A429" s="5"/>
      <c r="B429" s="5"/>
      <c r="C429" s="5"/>
      <c r="D429" s="5"/>
      <c r="F429" s="18"/>
      <c r="R429" s="5"/>
    </row>
    <row r="430" spans="1:18" x14ac:dyDescent="0.2">
      <c r="A430" s="5"/>
      <c r="B430" s="5"/>
      <c r="C430" s="5"/>
      <c r="D430" s="5"/>
      <c r="F430" s="18"/>
      <c r="R430" s="5"/>
    </row>
    <row r="431" spans="1:18" x14ac:dyDescent="0.2">
      <c r="A431" s="5"/>
      <c r="B431" s="5"/>
      <c r="C431" s="5"/>
      <c r="D431" s="5"/>
      <c r="F431" s="18"/>
      <c r="R431" s="5"/>
    </row>
    <row r="432" spans="1:18" x14ac:dyDescent="0.2">
      <c r="A432" s="5"/>
      <c r="B432" s="5"/>
      <c r="C432" s="5"/>
      <c r="D432" s="5"/>
      <c r="F432" s="18"/>
      <c r="R432" s="5"/>
    </row>
    <row r="433" spans="1:18" x14ac:dyDescent="0.2">
      <c r="A433" s="5"/>
      <c r="B433" s="5"/>
      <c r="C433" s="5"/>
      <c r="D433" s="5"/>
      <c r="F433" s="18"/>
      <c r="R433" s="5"/>
    </row>
    <row r="434" spans="1:18" x14ac:dyDescent="0.2">
      <c r="A434" s="5"/>
      <c r="B434" s="5"/>
      <c r="C434" s="5"/>
      <c r="D434" s="5"/>
      <c r="F434" s="18"/>
      <c r="R434" s="5"/>
    </row>
    <row r="435" spans="1:18" x14ac:dyDescent="0.2">
      <c r="A435" s="5"/>
      <c r="B435" s="5"/>
      <c r="C435" s="5"/>
      <c r="D435" s="5"/>
      <c r="F435" s="18"/>
      <c r="R435" s="5"/>
    </row>
    <row r="436" spans="1:18" x14ac:dyDescent="0.2">
      <c r="A436" s="5"/>
      <c r="B436" s="5"/>
      <c r="C436" s="5"/>
      <c r="D436" s="5"/>
      <c r="F436" s="18"/>
      <c r="R436" s="5"/>
    </row>
    <row r="437" spans="1:18" x14ac:dyDescent="0.2">
      <c r="A437" s="5"/>
      <c r="B437" s="5"/>
      <c r="C437" s="5"/>
      <c r="D437" s="5"/>
      <c r="F437" s="18"/>
      <c r="R437" s="5"/>
    </row>
    <row r="438" spans="1:18" x14ac:dyDescent="0.2">
      <c r="A438" s="5"/>
      <c r="B438" s="5"/>
      <c r="C438" s="5"/>
      <c r="D438" s="5"/>
      <c r="F438" s="18"/>
      <c r="R438" s="5"/>
    </row>
    <row r="439" spans="1:18" x14ac:dyDescent="0.2">
      <c r="A439" s="5"/>
      <c r="B439" s="5"/>
      <c r="C439" s="5"/>
      <c r="D439" s="5"/>
      <c r="F439" s="18"/>
      <c r="R439" s="5"/>
    </row>
    <row r="440" spans="1:18" x14ac:dyDescent="0.2">
      <c r="A440" s="5"/>
      <c r="B440" s="5"/>
      <c r="C440" s="5"/>
      <c r="D440" s="5"/>
      <c r="F440" s="18"/>
      <c r="R440" s="5"/>
    </row>
    <row r="441" spans="1:18" x14ac:dyDescent="0.2">
      <c r="A441" s="5"/>
      <c r="B441" s="5"/>
      <c r="C441" s="5"/>
      <c r="D441" s="5"/>
      <c r="F441" s="18"/>
      <c r="R441" s="5"/>
    </row>
    <row r="442" spans="1:18" x14ac:dyDescent="0.2">
      <c r="A442" s="5"/>
      <c r="B442" s="5"/>
      <c r="C442" s="5"/>
      <c r="D442" s="5"/>
      <c r="F442" s="18"/>
      <c r="R442" s="5"/>
    </row>
    <row r="443" spans="1:18" x14ac:dyDescent="0.2">
      <c r="A443" s="5"/>
      <c r="B443" s="5"/>
      <c r="C443" s="5"/>
      <c r="D443" s="5"/>
      <c r="F443" s="18"/>
      <c r="R443" s="5"/>
    </row>
    <row r="444" spans="1:18" x14ac:dyDescent="0.2">
      <c r="A444" s="5"/>
      <c r="B444" s="5"/>
      <c r="C444" s="5"/>
      <c r="D444" s="5"/>
      <c r="F444" s="18"/>
      <c r="R444" s="5"/>
    </row>
    <row r="445" spans="1:18" x14ac:dyDescent="0.2">
      <c r="A445" s="5"/>
      <c r="B445" s="5"/>
      <c r="C445" s="5"/>
      <c r="D445" s="5"/>
      <c r="F445" s="18"/>
      <c r="R445" s="5"/>
    </row>
    <row r="446" spans="1:18" x14ac:dyDescent="0.2">
      <c r="A446" s="5"/>
      <c r="B446" s="5"/>
      <c r="C446" s="5"/>
      <c r="D446" s="5"/>
      <c r="F446" s="18"/>
      <c r="R446" s="5"/>
    </row>
    <row r="447" spans="1:18" x14ac:dyDescent="0.2">
      <c r="A447" s="5"/>
      <c r="B447" s="5"/>
      <c r="C447" s="5"/>
      <c r="D447" s="5"/>
      <c r="F447" s="18"/>
      <c r="R447" s="5"/>
    </row>
    <row r="448" spans="1:18" x14ac:dyDescent="0.2">
      <c r="A448" s="5"/>
      <c r="B448" s="5"/>
      <c r="C448" s="5"/>
      <c r="D448" s="5"/>
      <c r="F448" s="18"/>
      <c r="R448" s="5"/>
    </row>
    <row r="449" spans="1:18" x14ac:dyDescent="0.2">
      <c r="A449" s="5"/>
      <c r="B449" s="5"/>
      <c r="C449" s="5"/>
      <c r="D449" s="5"/>
      <c r="F449" s="18"/>
      <c r="R449" s="5"/>
    </row>
    <row r="450" spans="1:18" x14ac:dyDescent="0.2">
      <c r="A450" s="5"/>
      <c r="B450" s="5"/>
      <c r="C450" s="5"/>
      <c r="D450" s="5"/>
      <c r="F450" s="18"/>
      <c r="R450" s="5"/>
    </row>
    <row r="451" spans="1:18" x14ac:dyDescent="0.2">
      <c r="A451" s="5"/>
      <c r="B451" s="5"/>
      <c r="C451" s="5"/>
      <c r="D451" s="5"/>
      <c r="F451" s="18"/>
      <c r="R451" s="5"/>
    </row>
    <row r="452" spans="1:18" x14ac:dyDescent="0.2">
      <c r="A452" s="5"/>
      <c r="B452" s="5"/>
      <c r="C452" s="5"/>
      <c r="D452" s="5"/>
      <c r="F452" s="18"/>
      <c r="R452" s="5"/>
    </row>
    <row r="453" spans="1:18" x14ac:dyDescent="0.2">
      <c r="A453" s="5"/>
      <c r="B453" s="5"/>
      <c r="C453" s="5"/>
      <c r="D453" s="5"/>
      <c r="F453" s="18"/>
      <c r="R453" s="5"/>
    </row>
    <row r="454" spans="1:18" x14ac:dyDescent="0.2">
      <c r="A454" s="5"/>
      <c r="B454" s="5"/>
      <c r="C454" s="5"/>
      <c r="D454" s="5"/>
      <c r="F454" s="18"/>
      <c r="R454" s="5"/>
    </row>
    <row r="455" spans="1:18" x14ac:dyDescent="0.2">
      <c r="A455" s="5"/>
      <c r="B455" s="5"/>
      <c r="C455" s="5"/>
      <c r="D455" s="5"/>
      <c r="F455" s="18"/>
      <c r="R455" s="5"/>
    </row>
    <row r="456" spans="1:18" x14ac:dyDescent="0.2">
      <c r="A456" s="5"/>
      <c r="B456" s="5"/>
      <c r="C456" s="5"/>
      <c r="D456" s="5"/>
      <c r="F456" s="18"/>
      <c r="R456" s="5"/>
    </row>
    <row r="457" spans="1:18" x14ac:dyDescent="0.2">
      <c r="A457" s="5"/>
      <c r="B457" s="5"/>
      <c r="C457" s="5"/>
      <c r="D457" s="5"/>
      <c r="F457" s="18"/>
      <c r="R457" s="5"/>
    </row>
    <row r="458" spans="1:18" x14ac:dyDescent="0.2">
      <c r="A458" s="5"/>
      <c r="B458" s="5"/>
      <c r="C458" s="5"/>
      <c r="D458" s="5"/>
      <c r="F458" s="18"/>
      <c r="R458" s="5"/>
    </row>
    <row r="459" spans="1:18" x14ac:dyDescent="0.2">
      <c r="A459" s="5"/>
      <c r="B459" s="5"/>
      <c r="C459" s="5"/>
      <c r="D459" s="5"/>
      <c r="F459" s="18"/>
      <c r="R459" s="5"/>
    </row>
    <row r="460" spans="1:18" x14ac:dyDescent="0.2">
      <c r="A460" s="5"/>
      <c r="B460" s="5"/>
      <c r="C460" s="5"/>
      <c r="D460" s="5"/>
      <c r="F460" s="18"/>
      <c r="R460" s="5"/>
    </row>
    <row r="461" spans="1:18" x14ac:dyDescent="0.2">
      <c r="A461" s="5"/>
      <c r="B461" s="5"/>
      <c r="C461" s="5"/>
      <c r="D461" s="5"/>
      <c r="F461" s="18"/>
      <c r="R461" s="5"/>
    </row>
    <row r="462" spans="1:18" x14ac:dyDescent="0.2">
      <c r="A462" s="5"/>
      <c r="B462" s="5"/>
      <c r="C462" s="5"/>
      <c r="D462" s="5"/>
      <c r="F462" s="18"/>
      <c r="R462" s="5"/>
    </row>
    <row r="463" spans="1:18" x14ac:dyDescent="0.2">
      <c r="A463" s="5"/>
      <c r="B463" s="5"/>
      <c r="C463" s="5"/>
      <c r="D463" s="5"/>
      <c r="F463" s="18"/>
      <c r="R463" s="5"/>
    </row>
    <row r="464" spans="1:18" x14ac:dyDescent="0.2">
      <c r="A464" s="5"/>
      <c r="B464" s="5"/>
      <c r="C464" s="5"/>
      <c r="D464" s="5"/>
      <c r="F464" s="18"/>
      <c r="R464" s="5"/>
    </row>
    <row r="465" spans="1:18" x14ac:dyDescent="0.2">
      <c r="A465" s="5"/>
      <c r="B465" s="5"/>
      <c r="C465" s="5"/>
      <c r="D465" s="5"/>
      <c r="F465" s="18"/>
      <c r="R465" s="5"/>
    </row>
    <row r="466" spans="1:18" x14ac:dyDescent="0.2">
      <c r="A466" s="5"/>
      <c r="B466" s="5"/>
      <c r="C466" s="5"/>
      <c r="D466" s="5"/>
      <c r="F466" s="18"/>
      <c r="R466" s="5"/>
    </row>
    <row r="467" spans="1:18" x14ac:dyDescent="0.2">
      <c r="A467" s="5"/>
      <c r="B467" s="5"/>
      <c r="C467" s="5"/>
      <c r="D467" s="5"/>
      <c r="F467" s="18"/>
      <c r="R467" s="5"/>
    </row>
    <row r="468" spans="1:18" x14ac:dyDescent="0.2">
      <c r="A468" s="5"/>
      <c r="B468" s="5"/>
      <c r="C468" s="5"/>
      <c r="D468" s="5"/>
      <c r="F468" s="18"/>
      <c r="R468" s="5"/>
    </row>
    <row r="469" spans="1:18" x14ac:dyDescent="0.2">
      <c r="A469" s="5"/>
      <c r="B469" s="5"/>
      <c r="C469" s="5"/>
      <c r="D469" s="5"/>
      <c r="F469" s="18"/>
      <c r="R469" s="5"/>
    </row>
    <row r="470" spans="1:18" x14ac:dyDescent="0.2">
      <c r="A470" s="5"/>
      <c r="B470" s="5"/>
      <c r="C470" s="5"/>
      <c r="D470" s="5"/>
      <c r="F470" s="18"/>
      <c r="R470" s="5"/>
    </row>
    <row r="471" spans="1:18" x14ac:dyDescent="0.2">
      <c r="A471" s="5"/>
      <c r="B471" s="5"/>
      <c r="C471" s="5"/>
      <c r="D471" s="5"/>
      <c r="F471" s="18"/>
      <c r="R471" s="5"/>
    </row>
    <row r="472" spans="1:18" x14ac:dyDescent="0.2">
      <c r="A472" s="5"/>
      <c r="B472" s="5"/>
      <c r="C472" s="5"/>
      <c r="D472" s="5"/>
      <c r="F472" s="18"/>
      <c r="R472" s="5"/>
    </row>
    <row r="473" spans="1:18" x14ac:dyDescent="0.2">
      <c r="A473" s="5"/>
      <c r="B473" s="5"/>
      <c r="C473" s="5"/>
      <c r="D473" s="5"/>
      <c r="F473" s="18"/>
      <c r="R473" s="5"/>
    </row>
    <row r="474" spans="1:18" x14ac:dyDescent="0.2">
      <c r="A474" s="5"/>
      <c r="B474" s="5"/>
      <c r="C474" s="5"/>
      <c r="D474" s="5"/>
      <c r="F474" s="18"/>
      <c r="R474" s="5"/>
    </row>
    <row r="475" spans="1:18" x14ac:dyDescent="0.2">
      <c r="A475" s="5"/>
      <c r="B475" s="5"/>
      <c r="C475" s="5"/>
      <c r="D475" s="5"/>
      <c r="F475" s="18"/>
      <c r="R475" s="5"/>
    </row>
    <row r="476" spans="1:18" x14ac:dyDescent="0.2">
      <c r="A476" s="5"/>
      <c r="B476" s="5"/>
      <c r="C476" s="5"/>
      <c r="D476" s="5"/>
      <c r="F476" s="18"/>
      <c r="R476" s="5"/>
    </row>
    <row r="477" spans="1:18" x14ac:dyDescent="0.2">
      <c r="A477" s="5"/>
      <c r="B477" s="5"/>
      <c r="C477" s="5"/>
      <c r="D477" s="5"/>
      <c r="F477" s="18"/>
      <c r="R477" s="5"/>
    </row>
    <row r="478" spans="1:18" x14ac:dyDescent="0.2">
      <c r="A478" s="5"/>
      <c r="B478" s="5"/>
      <c r="C478" s="5"/>
      <c r="D478" s="5"/>
      <c r="F478" s="18"/>
      <c r="R478" s="5"/>
    </row>
    <row r="479" spans="1:18" x14ac:dyDescent="0.2">
      <c r="A479" s="5"/>
      <c r="B479" s="5"/>
      <c r="C479" s="5"/>
      <c r="D479" s="5"/>
      <c r="F479" s="18"/>
      <c r="R479" s="5"/>
    </row>
    <row r="480" spans="1:18" x14ac:dyDescent="0.2">
      <c r="A480" s="5"/>
      <c r="B480" s="5"/>
      <c r="C480" s="5"/>
      <c r="D480" s="5"/>
      <c r="F480" s="18"/>
      <c r="R480" s="5"/>
    </row>
    <row r="481" spans="1:18" x14ac:dyDescent="0.2">
      <c r="A481" s="5"/>
      <c r="B481" s="5"/>
      <c r="C481" s="5"/>
      <c r="D481" s="5"/>
      <c r="F481" s="18"/>
      <c r="R481" s="5"/>
    </row>
    <row r="482" spans="1:18" x14ac:dyDescent="0.2">
      <c r="A482" s="5"/>
      <c r="B482" s="5"/>
      <c r="C482" s="5"/>
      <c r="D482" s="5"/>
      <c r="F482" s="18"/>
      <c r="R482" s="5"/>
    </row>
    <row r="483" spans="1:18" x14ac:dyDescent="0.2">
      <c r="A483" s="5"/>
      <c r="B483" s="5"/>
      <c r="C483" s="5"/>
      <c r="D483" s="5"/>
      <c r="F483" s="18"/>
      <c r="R483" s="5"/>
    </row>
    <row r="484" spans="1:18" x14ac:dyDescent="0.2">
      <c r="A484" s="5"/>
      <c r="B484" s="5"/>
      <c r="C484" s="5"/>
      <c r="D484" s="5"/>
      <c r="F484" s="18"/>
      <c r="R484" s="5"/>
    </row>
    <row r="485" spans="1:18" x14ac:dyDescent="0.2">
      <c r="A485" s="5"/>
      <c r="B485" s="5"/>
      <c r="C485" s="5"/>
      <c r="D485" s="5"/>
      <c r="F485" s="18"/>
      <c r="R485" s="5"/>
    </row>
    <row r="486" spans="1:18" x14ac:dyDescent="0.2">
      <c r="A486" s="5"/>
      <c r="B486" s="5"/>
      <c r="C486" s="5"/>
      <c r="D486" s="5"/>
      <c r="F486" s="18"/>
      <c r="R486" s="5"/>
    </row>
    <row r="487" spans="1:18" x14ac:dyDescent="0.2">
      <c r="A487" s="5"/>
      <c r="B487" s="5"/>
      <c r="C487" s="5"/>
      <c r="D487" s="5"/>
      <c r="F487" s="18"/>
      <c r="R487" s="5"/>
    </row>
    <row r="488" spans="1:18" x14ac:dyDescent="0.2">
      <c r="A488" s="5"/>
      <c r="B488" s="5"/>
      <c r="C488" s="5"/>
      <c r="D488" s="5"/>
      <c r="F488" s="18"/>
      <c r="R488" s="5"/>
    </row>
    <row r="489" spans="1:18" x14ac:dyDescent="0.2">
      <c r="A489" s="5"/>
      <c r="B489" s="5"/>
      <c r="C489" s="5"/>
      <c r="D489" s="5"/>
      <c r="F489" s="18"/>
      <c r="R489" s="5"/>
    </row>
    <row r="490" spans="1:18" x14ac:dyDescent="0.2">
      <c r="A490" s="5"/>
      <c r="B490" s="5"/>
      <c r="C490" s="5"/>
      <c r="D490" s="5"/>
      <c r="F490" s="18"/>
      <c r="R490" s="5"/>
    </row>
    <row r="491" spans="1:18" x14ac:dyDescent="0.2">
      <c r="A491" s="5"/>
      <c r="B491" s="5"/>
      <c r="C491" s="5"/>
      <c r="D491" s="5"/>
      <c r="F491" s="18"/>
      <c r="R491" s="5"/>
    </row>
    <row r="492" spans="1:18" x14ac:dyDescent="0.2">
      <c r="A492" s="5"/>
      <c r="B492" s="5"/>
      <c r="C492" s="5"/>
      <c r="D492" s="5"/>
      <c r="F492" s="18"/>
      <c r="R492" s="5"/>
    </row>
    <row r="493" spans="1:18" x14ac:dyDescent="0.2">
      <c r="A493" s="5"/>
      <c r="B493" s="5"/>
      <c r="C493" s="5"/>
      <c r="D493" s="5"/>
      <c r="F493" s="18"/>
      <c r="R493" s="5"/>
    </row>
    <row r="494" spans="1:18" x14ac:dyDescent="0.2">
      <c r="A494" s="5"/>
      <c r="B494" s="5"/>
      <c r="C494" s="5"/>
      <c r="D494" s="5"/>
      <c r="F494" s="18"/>
      <c r="R494" s="5"/>
    </row>
    <row r="495" spans="1:18" x14ac:dyDescent="0.2">
      <c r="A495" s="5"/>
      <c r="B495" s="5"/>
      <c r="C495" s="5"/>
      <c r="D495" s="5"/>
      <c r="F495" s="18"/>
      <c r="R495" s="5"/>
    </row>
    <row r="496" spans="1:18" x14ac:dyDescent="0.2">
      <c r="A496" s="5"/>
      <c r="B496" s="5"/>
      <c r="C496" s="5"/>
      <c r="D496" s="5"/>
      <c r="F496" s="18"/>
      <c r="R496" s="5"/>
    </row>
    <row r="497" spans="1:18" x14ac:dyDescent="0.2">
      <c r="A497" s="5"/>
      <c r="B497" s="5"/>
      <c r="C497" s="5"/>
      <c r="D497" s="5"/>
      <c r="F497" s="18"/>
      <c r="R497" s="5"/>
    </row>
    <row r="498" spans="1:18" x14ac:dyDescent="0.2">
      <c r="A498" s="5"/>
      <c r="B498" s="5"/>
      <c r="C498" s="5"/>
      <c r="D498" s="5"/>
      <c r="F498" s="18"/>
      <c r="R498" s="5"/>
    </row>
    <row r="499" spans="1:18" x14ac:dyDescent="0.2">
      <c r="A499" s="5"/>
      <c r="B499" s="5"/>
      <c r="C499" s="5"/>
      <c r="D499" s="5"/>
      <c r="F499" s="18"/>
      <c r="R499" s="5"/>
    </row>
    <row r="500" spans="1:18" x14ac:dyDescent="0.2">
      <c r="A500" s="5"/>
      <c r="B500" s="5"/>
      <c r="C500" s="5"/>
      <c r="D500" s="5"/>
      <c r="F500" s="18"/>
      <c r="R500" s="5"/>
    </row>
    <row r="501" spans="1:18" x14ac:dyDescent="0.2">
      <c r="A501" s="5"/>
      <c r="B501" s="5"/>
      <c r="C501" s="5"/>
      <c r="D501" s="5"/>
      <c r="F501" s="18"/>
      <c r="R501" s="5"/>
    </row>
    <row r="502" spans="1:18" x14ac:dyDescent="0.2">
      <c r="A502" s="5"/>
      <c r="B502" s="5"/>
      <c r="C502" s="5"/>
      <c r="D502" s="5"/>
      <c r="F502" s="18"/>
      <c r="R502" s="5"/>
    </row>
    <row r="503" spans="1:18" x14ac:dyDescent="0.2">
      <c r="A503" s="5"/>
      <c r="B503" s="5"/>
      <c r="C503" s="5"/>
      <c r="D503" s="5"/>
      <c r="F503" s="18"/>
      <c r="R503" s="5"/>
    </row>
    <row r="504" spans="1:18" x14ac:dyDescent="0.2">
      <c r="A504" s="5"/>
      <c r="B504" s="5"/>
      <c r="C504" s="5"/>
      <c r="D504" s="5"/>
      <c r="F504" s="18"/>
      <c r="R504" s="5"/>
    </row>
    <row r="505" spans="1:18" x14ac:dyDescent="0.2">
      <c r="A505" s="5"/>
      <c r="B505" s="5"/>
      <c r="C505" s="5"/>
      <c r="D505" s="5"/>
      <c r="F505" s="18"/>
      <c r="R505" s="5"/>
    </row>
    <row r="506" spans="1:18" x14ac:dyDescent="0.2">
      <c r="A506" s="5"/>
      <c r="B506" s="5"/>
      <c r="C506" s="5"/>
      <c r="D506" s="5"/>
      <c r="F506" s="18"/>
      <c r="R506" s="5"/>
    </row>
    <row r="507" spans="1:18" x14ac:dyDescent="0.2">
      <c r="A507" s="5"/>
      <c r="B507" s="5"/>
      <c r="C507" s="5"/>
      <c r="D507" s="5"/>
      <c r="F507" s="18"/>
      <c r="R507" s="5"/>
    </row>
    <row r="508" spans="1:18" x14ac:dyDescent="0.2">
      <c r="A508" s="5"/>
      <c r="B508" s="5"/>
      <c r="C508" s="5"/>
      <c r="D508" s="5"/>
      <c r="F508" s="18"/>
      <c r="R508" s="5"/>
    </row>
    <row r="509" spans="1:18" x14ac:dyDescent="0.2">
      <c r="A509" s="5"/>
      <c r="B509" s="5"/>
      <c r="C509" s="5"/>
      <c r="D509" s="5"/>
      <c r="F509" s="18"/>
      <c r="R509" s="5"/>
    </row>
    <row r="510" spans="1:18" x14ac:dyDescent="0.2">
      <c r="A510" s="5"/>
      <c r="B510" s="5"/>
      <c r="C510" s="5"/>
      <c r="D510" s="5"/>
      <c r="F510" s="18"/>
      <c r="R510" s="5"/>
    </row>
    <row r="511" spans="1:18" x14ac:dyDescent="0.2">
      <c r="A511" s="5"/>
      <c r="B511" s="5"/>
      <c r="C511" s="5"/>
      <c r="D511" s="5"/>
      <c r="F511" s="18"/>
      <c r="R511" s="5"/>
    </row>
    <row r="512" spans="1:18" x14ac:dyDescent="0.2">
      <c r="A512" s="5"/>
      <c r="B512" s="5"/>
      <c r="C512" s="5"/>
      <c r="D512" s="5"/>
      <c r="F512" s="18"/>
      <c r="R512" s="5"/>
    </row>
    <row r="513" spans="1:18" x14ac:dyDescent="0.2">
      <c r="A513" s="5"/>
      <c r="B513" s="5"/>
      <c r="C513" s="5"/>
      <c r="D513" s="5"/>
      <c r="F513" s="18"/>
      <c r="R513" s="5"/>
    </row>
    <row r="514" spans="1:18" x14ac:dyDescent="0.2">
      <c r="A514" s="5"/>
      <c r="B514" s="5"/>
      <c r="C514" s="5"/>
      <c r="D514" s="5"/>
      <c r="F514" s="18"/>
      <c r="R514" s="5"/>
    </row>
    <row r="515" spans="1:18" x14ac:dyDescent="0.2">
      <c r="A515" s="5"/>
      <c r="B515" s="5"/>
      <c r="C515" s="5"/>
      <c r="D515" s="5"/>
      <c r="F515" s="18"/>
      <c r="R515" s="5"/>
    </row>
    <row r="516" spans="1:18" x14ac:dyDescent="0.2">
      <c r="A516" s="5"/>
      <c r="B516" s="5"/>
      <c r="C516" s="5"/>
      <c r="D516" s="5"/>
      <c r="F516" s="18"/>
      <c r="R516" s="5"/>
    </row>
    <row r="517" spans="1:18" x14ac:dyDescent="0.2">
      <c r="A517" s="5"/>
      <c r="B517" s="5"/>
      <c r="C517" s="5"/>
      <c r="D517" s="5"/>
      <c r="F517" s="18"/>
      <c r="R517" s="5"/>
    </row>
    <row r="518" spans="1:18" x14ac:dyDescent="0.2">
      <c r="A518" s="5"/>
      <c r="B518" s="5"/>
      <c r="C518" s="5"/>
      <c r="D518" s="5"/>
      <c r="F518" s="18"/>
      <c r="R518" s="5"/>
    </row>
    <row r="519" spans="1:18" x14ac:dyDescent="0.2">
      <c r="A519" s="5"/>
      <c r="B519" s="5"/>
      <c r="C519" s="5"/>
      <c r="D519" s="5"/>
      <c r="F519" s="18"/>
      <c r="R519" s="5"/>
    </row>
    <row r="520" spans="1:18" x14ac:dyDescent="0.2">
      <c r="A520" s="5"/>
      <c r="B520" s="5"/>
      <c r="C520" s="5"/>
      <c r="D520" s="5"/>
      <c r="F520" s="18"/>
      <c r="R520" s="5"/>
    </row>
    <row r="521" spans="1:18" x14ac:dyDescent="0.2">
      <c r="A521" s="5"/>
      <c r="B521" s="5"/>
      <c r="C521" s="5"/>
      <c r="D521" s="5"/>
      <c r="F521" s="18"/>
      <c r="R521" s="5"/>
    </row>
    <row r="522" spans="1:18" x14ac:dyDescent="0.2">
      <c r="A522" s="5"/>
      <c r="B522" s="5"/>
      <c r="C522" s="5"/>
      <c r="D522" s="5"/>
      <c r="F522" s="18"/>
      <c r="R522" s="5"/>
    </row>
    <row r="523" spans="1:18" x14ac:dyDescent="0.2">
      <c r="A523" s="5"/>
      <c r="B523" s="5"/>
      <c r="C523" s="5"/>
      <c r="D523" s="5"/>
      <c r="F523" s="18"/>
      <c r="R523" s="5"/>
    </row>
    <row r="524" spans="1:18" x14ac:dyDescent="0.2">
      <c r="A524" s="5"/>
      <c r="B524" s="5"/>
      <c r="C524" s="5"/>
      <c r="D524" s="5"/>
      <c r="F524" s="18"/>
      <c r="R524" s="5"/>
    </row>
    <row r="525" spans="1:18" x14ac:dyDescent="0.2">
      <c r="A525" s="5"/>
      <c r="B525" s="5"/>
      <c r="C525" s="5"/>
      <c r="D525" s="5"/>
      <c r="F525" s="18"/>
      <c r="R525" s="5"/>
    </row>
    <row r="526" spans="1:18" x14ac:dyDescent="0.2">
      <c r="A526" s="5"/>
      <c r="B526" s="5"/>
      <c r="C526" s="5"/>
      <c r="D526" s="5"/>
      <c r="F526" s="18"/>
      <c r="R526" s="5"/>
    </row>
    <row r="527" spans="1:18" x14ac:dyDescent="0.2">
      <c r="A527" s="5"/>
      <c r="B527" s="5"/>
      <c r="C527" s="5"/>
      <c r="D527" s="5"/>
      <c r="F527" s="18"/>
      <c r="R527" s="5"/>
    </row>
    <row r="528" spans="1:18" x14ac:dyDescent="0.2">
      <c r="A528" s="5"/>
      <c r="B528" s="5"/>
      <c r="C528" s="5"/>
      <c r="D528" s="5"/>
      <c r="F528" s="18"/>
      <c r="R528" s="5"/>
    </row>
    <row r="529" spans="1:18" x14ac:dyDescent="0.2">
      <c r="A529" s="5"/>
      <c r="B529" s="5"/>
      <c r="C529" s="5"/>
      <c r="D529" s="5"/>
      <c r="F529" s="18"/>
      <c r="R529" s="5"/>
    </row>
    <row r="530" spans="1:18" x14ac:dyDescent="0.2">
      <c r="A530" s="5"/>
      <c r="B530" s="5"/>
      <c r="C530" s="5"/>
      <c r="D530" s="5"/>
      <c r="F530" s="18"/>
      <c r="R530" s="5"/>
    </row>
    <row r="531" spans="1:18" x14ac:dyDescent="0.2">
      <c r="A531" s="5"/>
      <c r="B531" s="5"/>
      <c r="C531" s="5"/>
      <c r="D531" s="5"/>
      <c r="F531" s="18"/>
      <c r="R531" s="5"/>
    </row>
    <row r="532" spans="1:18" x14ac:dyDescent="0.2">
      <c r="A532" s="5"/>
      <c r="B532" s="5"/>
      <c r="C532" s="5"/>
      <c r="D532" s="5"/>
      <c r="F532" s="18"/>
      <c r="R532" s="5"/>
    </row>
    <row r="533" spans="1:18" x14ac:dyDescent="0.2">
      <c r="A533" s="5"/>
      <c r="B533" s="5"/>
      <c r="C533" s="5"/>
      <c r="D533" s="5"/>
      <c r="F533" s="18"/>
      <c r="R533" s="5"/>
    </row>
    <row r="534" spans="1:18" x14ac:dyDescent="0.2">
      <c r="A534" s="5"/>
      <c r="B534" s="5"/>
      <c r="C534" s="5"/>
      <c r="D534" s="5"/>
      <c r="F534" s="18"/>
      <c r="R534" s="5"/>
    </row>
    <row r="535" spans="1:18" x14ac:dyDescent="0.2">
      <c r="A535" s="5"/>
      <c r="B535" s="5"/>
      <c r="C535" s="5"/>
      <c r="D535" s="5"/>
      <c r="F535" s="18"/>
      <c r="R535" s="5"/>
    </row>
    <row r="536" spans="1:18" x14ac:dyDescent="0.2">
      <c r="A536" s="5"/>
      <c r="B536" s="5"/>
      <c r="C536" s="5"/>
      <c r="D536" s="5"/>
      <c r="F536" s="18"/>
      <c r="R536" s="5"/>
    </row>
    <row r="537" spans="1:18" x14ac:dyDescent="0.2">
      <c r="A537" s="5"/>
      <c r="B537" s="5"/>
      <c r="C537" s="5"/>
      <c r="D537" s="5"/>
      <c r="F537" s="18"/>
      <c r="R537" s="5"/>
    </row>
    <row r="538" spans="1:18" x14ac:dyDescent="0.2">
      <c r="A538" s="5"/>
      <c r="B538" s="5"/>
      <c r="C538" s="5"/>
      <c r="D538" s="5"/>
      <c r="F538" s="18"/>
      <c r="R538" s="5"/>
    </row>
    <row r="539" spans="1:18" x14ac:dyDescent="0.2">
      <c r="A539" s="5"/>
      <c r="B539" s="5"/>
      <c r="C539" s="5"/>
      <c r="D539" s="5"/>
      <c r="F539" s="18"/>
      <c r="R539" s="5"/>
    </row>
    <row r="540" spans="1:18" x14ac:dyDescent="0.2">
      <c r="A540" s="5"/>
      <c r="B540" s="5"/>
      <c r="C540" s="5"/>
      <c r="D540" s="5"/>
      <c r="F540" s="18"/>
      <c r="R540" s="5"/>
    </row>
    <row r="541" spans="1:18" x14ac:dyDescent="0.2">
      <c r="A541" s="5"/>
      <c r="B541" s="5"/>
      <c r="C541" s="5"/>
      <c r="D541" s="5"/>
      <c r="F541" s="18"/>
      <c r="R541" s="5"/>
    </row>
    <row r="542" spans="1:18" x14ac:dyDescent="0.2">
      <c r="A542" s="5"/>
      <c r="B542" s="5"/>
      <c r="C542" s="5"/>
      <c r="D542" s="5"/>
      <c r="F542" s="18"/>
      <c r="R542" s="5"/>
    </row>
    <row r="543" spans="1:18" x14ac:dyDescent="0.2">
      <c r="A543" s="5"/>
      <c r="B543" s="5"/>
      <c r="C543" s="5"/>
      <c r="D543" s="5"/>
      <c r="F543" s="18"/>
      <c r="R543" s="5"/>
    </row>
    <row r="544" spans="1:18" x14ac:dyDescent="0.2">
      <c r="A544" s="5"/>
      <c r="B544" s="5"/>
      <c r="C544" s="5"/>
      <c r="D544" s="5"/>
      <c r="F544" s="18"/>
      <c r="R544" s="5"/>
    </row>
    <row r="545" spans="1:18" x14ac:dyDescent="0.2">
      <c r="A545" s="5"/>
      <c r="B545" s="5"/>
      <c r="C545" s="5"/>
      <c r="D545" s="5"/>
      <c r="F545" s="18"/>
      <c r="R545" s="5"/>
    </row>
    <row r="546" spans="1:18" x14ac:dyDescent="0.2">
      <c r="A546" s="5"/>
      <c r="B546" s="5"/>
      <c r="C546" s="5"/>
      <c r="D546" s="5"/>
      <c r="F546" s="18"/>
      <c r="R546" s="5"/>
    </row>
    <row r="547" spans="1:18" x14ac:dyDescent="0.2">
      <c r="A547" s="5"/>
      <c r="B547" s="5"/>
      <c r="C547" s="5"/>
      <c r="D547" s="5"/>
      <c r="F547" s="18"/>
      <c r="R547" s="5"/>
    </row>
    <row r="548" spans="1:18" x14ac:dyDescent="0.2">
      <c r="A548" s="5"/>
      <c r="B548" s="5"/>
      <c r="C548" s="5"/>
      <c r="D548" s="5"/>
      <c r="F548" s="18"/>
      <c r="R548" s="5"/>
    </row>
    <row r="549" spans="1:18" x14ac:dyDescent="0.2">
      <c r="A549" s="5"/>
      <c r="B549" s="5"/>
      <c r="C549" s="5"/>
      <c r="D549" s="5"/>
      <c r="F549" s="18"/>
      <c r="R549" s="5"/>
    </row>
    <row r="550" spans="1:18" x14ac:dyDescent="0.2">
      <c r="A550" s="5"/>
      <c r="B550" s="5"/>
      <c r="C550" s="5"/>
      <c r="D550" s="5"/>
      <c r="F550" s="18"/>
      <c r="R550" s="5"/>
    </row>
    <row r="551" spans="1:18" x14ac:dyDescent="0.2">
      <c r="A551" s="5"/>
      <c r="B551" s="5"/>
      <c r="C551" s="5"/>
      <c r="D551" s="5"/>
      <c r="F551" s="18"/>
      <c r="R551" s="5"/>
    </row>
    <row r="552" spans="1:18" x14ac:dyDescent="0.2">
      <c r="A552" s="5"/>
      <c r="B552" s="5"/>
      <c r="C552" s="5"/>
      <c r="D552" s="5"/>
      <c r="F552" s="18"/>
      <c r="R552" s="5"/>
    </row>
    <row r="553" spans="1:18" x14ac:dyDescent="0.2">
      <c r="A553" s="5"/>
      <c r="B553" s="5"/>
      <c r="C553" s="5"/>
      <c r="D553" s="5"/>
      <c r="F553" s="18"/>
      <c r="R553" s="5"/>
    </row>
    <row r="554" spans="1:18" x14ac:dyDescent="0.2">
      <c r="A554" s="5"/>
      <c r="B554" s="5"/>
      <c r="C554" s="5"/>
      <c r="D554" s="5"/>
      <c r="F554" s="18"/>
      <c r="R554" s="5"/>
    </row>
    <row r="555" spans="1:18" x14ac:dyDescent="0.2">
      <c r="A555" s="5"/>
      <c r="B555" s="5"/>
      <c r="C555" s="5"/>
      <c r="D555" s="5"/>
      <c r="F555" s="18"/>
      <c r="R555" s="5"/>
    </row>
    <row r="556" spans="1:18" x14ac:dyDescent="0.2">
      <c r="A556" s="5"/>
      <c r="B556" s="5"/>
      <c r="C556" s="5"/>
      <c r="D556" s="5"/>
      <c r="F556" s="18"/>
      <c r="R556" s="5"/>
    </row>
    <row r="557" spans="1:18" x14ac:dyDescent="0.2">
      <c r="A557" s="5"/>
      <c r="B557" s="5"/>
      <c r="C557" s="5"/>
      <c r="D557" s="5"/>
      <c r="F557" s="18"/>
      <c r="R557" s="5"/>
    </row>
    <row r="558" spans="1:18" x14ac:dyDescent="0.2">
      <c r="A558" s="5"/>
      <c r="B558" s="5"/>
      <c r="C558" s="5"/>
      <c r="D558" s="5"/>
      <c r="F558" s="18"/>
      <c r="R558" s="5"/>
    </row>
    <row r="559" spans="1:18" x14ac:dyDescent="0.2">
      <c r="A559" s="5"/>
      <c r="B559" s="5"/>
      <c r="C559" s="5"/>
      <c r="D559" s="5"/>
      <c r="F559" s="18"/>
      <c r="R559" s="5"/>
    </row>
    <row r="560" spans="1:18" x14ac:dyDescent="0.2">
      <c r="A560" s="5"/>
      <c r="B560" s="5"/>
      <c r="C560" s="5"/>
      <c r="D560" s="5"/>
      <c r="F560" s="18"/>
      <c r="R560" s="5"/>
    </row>
    <row r="561" spans="1:18" x14ac:dyDescent="0.2">
      <c r="A561" s="5"/>
      <c r="B561" s="5"/>
      <c r="C561" s="5"/>
      <c r="D561" s="5"/>
      <c r="F561" s="18"/>
      <c r="R561" s="5"/>
    </row>
    <row r="562" spans="1:18" x14ac:dyDescent="0.2">
      <c r="A562" s="5"/>
      <c r="B562" s="5"/>
      <c r="C562" s="5"/>
      <c r="D562" s="5"/>
      <c r="F562" s="18"/>
      <c r="R562" s="5"/>
    </row>
    <row r="563" spans="1:18" x14ac:dyDescent="0.2">
      <c r="A563" s="5"/>
      <c r="B563" s="5"/>
      <c r="C563" s="5"/>
      <c r="D563" s="5"/>
      <c r="F563" s="18"/>
      <c r="R563" s="5"/>
    </row>
    <row r="564" spans="1:18" x14ac:dyDescent="0.2">
      <c r="A564" s="5"/>
      <c r="B564" s="5"/>
      <c r="C564" s="5"/>
      <c r="D564" s="5"/>
      <c r="F564" s="18"/>
      <c r="R564" s="5"/>
    </row>
    <row r="565" spans="1:18" x14ac:dyDescent="0.2">
      <c r="A565" s="5"/>
      <c r="B565" s="5"/>
      <c r="C565" s="5"/>
      <c r="D565" s="5"/>
      <c r="F565" s="18"/>
      <c r="R565" s="5"/>
    </row>
    <row r="566" spans="1:18" x14ac:dyDescent="0.2">
      <c r="A566" s="5"/>
      <c r="B566" s="5"/>
      <c r="C566" s="5"/>
      <c r="D566" s="5"/>
      <c r="F566" s="18"/>
      <c r="R566" s="5"/>
    </row>
    <row r="567" spans="1:18" x14ac:dyDescent="0.2">
      <c r="A567" s="5"/>
      <c r="B567" s="5"/>
      <c r="C567" s="5"/>
      <c r="D567" s="5"/>
      <c r="F567" s="18"/>
      <c r="R567" s="5"/>
    </row>
    <row r="568" spans="1:18" x14ac:dyDescent="0.2">
      <c r="A568" s="5"/>
      <c r="B568" s="5"/>
      <c r="C568" s="5"/>
      <c r="D568" s="5"/>
      <c r="F568" s="18"/>
      <c r="R568" s="5"/>
    </row>
    <row r="569" spans="1:18" x14ac:dyDescent="0.2">
      <c r="A569" s="5"/>
      <c r="B569" s="5"/>
      <c r="C569" s="5"/>
      <c r="D569" s="5"/>
      <c r="F569" s="18"/>
      <c r="R569" s="5"/>
    </row>
    <row r="570" spans="1:18" x14ac:dyDescent="0.2">
      <c r="A570" s="5"/>
      <c r="B570" s="5"/>
      <c r="C570" s="5"/>
      <c r="D570" s="5"/>
      <c r="F570" s="18"/>
      <c r="R570" s="5"/>
    </row>
    <row r="571" spans="1:18" x14ac:dyDescent="0.2">
      <c r="A571" s="5"/>
      <c r="B571" s="5"/>
      <c r="C571" s="5"/>
      <c r="D571" s="5"/>
      <c r="F571" s="18"/>
      <c r="R571" s="5"/>
    </row>
    <row r="572" spans="1:18" x14ac:dyDescent="0.2">
      <c r="A572" s="5"/>
      <c r="B572" s="5"/>
      <c r="C572" s="5"/>
      <c r="D572" s="5"/>
      <c r="F572" s="18"/>
      <c r="R572" s="5"/>
    </row>
    <row r="573" spans="1:18" x14ac:dyDescent="0.2">
      <c r="A573" s="5"/>
      <c r="B573" s="5"/>
      <c r="C573" s="5"/>
      <c r="D573" s="5"/>
      <c r="F573" s="18"/>
      <c r="R573" s="5"/>
    </row>
    <row r="574" spans="1:18" x14ac:dyDescent="0.2">
      <c r="A574" s="5"/>
      <c r="B574" s="5"/>
      <c r="C574" s="5"/>
      <c r="D574" s="5"/>
      <c r="F574" s="18"/>
      <c r="R574" s="5"/>
    </row>
    <row r="575" spans="1:18" x14ac:dyDescent="0.2">
      <c r="A575" s="5"/>
      <c r="B575" s="5"/>
      <c r="C575" s="5"/>
      <c r="D575" s="5"/>
      <c r="F575" s="18"/>
      <c r="R575" s="5"/>
    </row>
    <row r="576" spans="1:18" x14ac:dyDescent="0.2">
      <c r="A576" s="5"/>
      <c r="B576" s="5"/>
      <c r="C576" s="5"/>
      <c r="D576" s="5"/>
      <c r="F576" s="18"/>
      <c r="R576" s="5"/>
    </row>
    <row r="577" spans="1:18" x14ac:dyDescent="0.2">
      <c r="A577" s="5"/>
      <c r="B577" s="5"/>
      <c r="C577" s="5"/>
      <c r="D577" s="5"/>
      <c r="F577" s="18"/>
      <c r="R577" s="5"/>
    </row>
    <row r="578" spans="1:18" x14ac:dyDescent="0.2">
      <c r="A578" s="5"/>
      <c r="B578" s="5"/>
      <c r="C578" s="5"/>
      <c r="D578" s="5"/>
      <c r="F578" s="18"/>
      <c r="R578" s="5"/>
    </row>
    <row r="579" spans="1:18" x14ac:dyDescent="0.2">
      <c r="A579" s="5"/>
      <c r="B579" s="5"/>
      <c r="C579" s="5"/>
      <c r="D579" s="5"/>
      <c r="F579" s="18"/>
      <c r="R579" s="5"/>
    </row>
    <row r="580" spans="1:18" x14ac:dyDescent="0.2">
      <c r="A580" s="5"/>
      <c r="B580" s="5"/>
      <c r="C580" s="5"/>
      <c r="D580" s="5"/>
      <c r="F580" s="18"/>
      <c r="R580" s="5"/>
    </row>
    <row r="581" spans="1:18" x14ac:dyDescent="0.2">
      <c r="A581" s="5"/>
      <c r="B581" s="5"/>
      <c r="C581" s="5"/>
      <c r="D581" s="5"/>
      <c r="F581" s="18"/>
      <c r="R581" s="5"/>
    </row>
    <row r="582" spans="1:18" x14ac:dyDescent="0.2">
      <c r="A582" s="5"/>
      <c r="B582" s="5"/>
      <c r="C582" s="5"/>
      <c r="D582" s="5"/>
      <c r="F582" s="18"/>
      <c r="R582" s="5"/>
    </row>
    <row r="583" spans="1:18" x14ac:dyDescent="0.2">
      <c r="A583" s="5"/>
      <c r="B583" s="5"/>
      <c r="C583" s="5"/>
      <c r="D583" s="5"/>
      <c r="F583" s="18"/>
      <c r="R583" s="5"/>
    </row>
    <row r="584" spans="1:18" x14ac:dyDescent="0.2">
      <c r="A584" s="5"/>
      <c r="B584" s="5"/>
      <c r="C584" s="5"/>
      <c r="D584" s="5"/>
      <c r="F584" s="18"/>
      <c r="R584" s="5"/>
    </row>
    <row r="585" spans="1:18" x14ac:dyDescent="0.2">
      <c r="A585" s="5"/>
      <c r="B585" s="5"/>
      <c r="C585" s="5"/>
      <c r="D585" s="5"/>
      <c r="F585" s="18"/>
      <c r="R585" s="5"/>
    </row>
    <row r="586" spans="1:18" x14ac:dyDescent="0.2">
      <c r="A586" s="5"/>
      <c r="B586" s="5"/>
      <c r="C586" s="5"/>
      <c r="D586" s="5"/>
      <c r="F586" s="18"/>
      <c r="R586" s="5"/>
    </row>
    <row r="587" spans="1:18" x14ac:dyDescent="0.2">
      <c r="A587" s="5"/>
      <c r="B587" s="5"/>
      <c r="C587" s="5"/>
      <c r="D587" s="5"/>
      <c r="F587" s="18"/>
      <c r="R587" s="5"/>
    </row>
    <row r="588" spans="1:18" x14ac:dyDescent="0.2">
      <c r="A588" s="5"/>
      <c r="B588" s="5"/>
      <c r="C588" s="5"/>
      <c r="D588" s="5"/>
      <c r="F588" s="18"/>
      <c r="R588" s="5"/>
    </row>
    <row r="589" spans="1:18" x14ac:dyDescent="0.2">
      <c r="A589" s="5"/>
      <c r="B589" s="5"/>
      <c r="C589" s="5"/>
      <c r="D589" s="5"/>
      <c r="F589" s="18"/>
      <c r="R589" s="5"/>
    </row>
    <row r="590" spans="1:18" x14ac:dyDescent="0.2">
      <c r="A590" s="5"/>
      <c r="B590" s="5"/>
      <c r="C590" s="5"/>
      <c r="D590" s="5"/>
      <c r="F590" s="18"/>
      <c r="R590" s="5"/>
    </row>
    <row r="591" spans="1:18" x14ac:dyDescent="0.2">
      <c r="A591" s="5"/>
      <c r="B591" s="5"/>
      <c r="C591" s="5"/>
      <c r="D591" s="5"/>
      <c r="F591" s="18"/>
      <c r="R591" s="5"/>
    </row>
    <row r="592" spans="1:18" x14ac:dyDescent="0.2">
      <c r="A592" s="5"/>
      <c r="B592" s="5"/>
      <c r="C592" s="5"/>
      <c r="D592" s="5"/>
      <c r="F592" s="18"/>
      <c r="R592" s="5"/>
    </row>
    <row r="593" spans="1:18" x14ac:dyDescent="0.2">
      <c r="A593" s="5"/>
      <c r="B593" s="5"/>
      <c r="C593" s="5"/>
      <c r="D593" s="5"/>
      <c r="F593" s="18"/>
      <c r="R593" s="5"/>
    </row>
    <row r="594" spans="1:18" x14ac:dyDescent="0.2">
      <c r="A594" s="5"/>
      <c r="B594" s="5"/>
      <c r="C594" s="5"/>
      <c r="D594" s="5"/>
      <c r="F594" s="18"/>
      <c r="R594" s="5"/>
    </row>
    <row r="595" spans="1:18" x14ac:dyDescent="0.2">
      <c r="A595" s="5"/>
      <c r="B595" s="5"/>
      <c r="C595" s="5"/>
      <c r="D595" s="5"/>
      <c r="F595" s="18"/>
      <c r="R595" s="5"/>
    </row>
    <row r="596" spans="1:18" x14ac:dyDescent="0.2">
      <c r="A596" s="5"/>
      <c r="B596" s="5"/>
      <c r="C596" s="5"/>
      <c r="D596" s="5"/>
      <c r="F596" s="18"/>
      <c r="R596" s="5"/>
    </row>
    <row r="597" spans="1:18" x14ac:dyDescent="0.2">
      <c r="A597" s="5"/>
      <c r="B597" s="5"/>
      <c r="C597" s="5"/>
      <c r="D597" s="5"/>
      <c r="F597" s="18"/>
      <c r="R597" s="5"/>
    </row>
    <row r="598" spans="1:18" x14ac:dyDescent="0.2">
      <c r="A598" s="5"/>
      <c r="B598" s="5"/>
      <c r="C598" s="5"/>
      <c r="D598" s="5"/>
      <c r="F598" s="18"/>
      <c r="R598" s="5"/>
    </row>
    <row r="599" spans="1:18" x14ac:dyDescent="0.2">
      <c r="A599" s="5"/>
      <c r="B599" s="5"/>
      <c r="C599" s="5"/>
      <c r="D599" s="5"/>
      <c r="F599" s="18"/>
      <c r="R599" s="5"/>
    </row>
    <row r="600" spans="1:18" x14ac:dyDescent="0.2">
      <c r="A600" s="5"/>
      <c r="B600" s="5"/>
      <c r="C600" s="5"/>
      <c r="D600" s="5"/>
      <c r="F600" s="18"/>
      <c r="R600" s="5"/>
    </row>
    <row r="601" spans="1:18" x14ac:dyDescent="0.2">
      <c r="A601" s="5"/>
      <c r="B601" s="5"/>
      <c r="C601" s="5"/>
      <c r="D601" s="5"/>
      <c r="F601" s="18"/>
      <c r="R601" s="5"/>
    </row>
    <row r="602" spans="1:18" x14ac:dyDescent="0.2">
      <c r="A602" s="5"/>
      <c r="B602" s="5"/>
      <c r="C602" s="5"/>
      <c r="D602" s="5"/>
      <c r="F602" s="18"/>
      <c r="R602" s="5"/>
    </row>
    <row r="603" spans="1:18" x14ac:dyDescent="0.2">
      <c r="A603" s="5"/>
      <c r="B603" s="5"/>
      <c r="C603" s="5"/>
      <c r="D603" s="5"/>
      <c r="F603" s="18"/>
      <c r="R603" s="5"/>
    </row>
    <row r="604" spans="1:18" x14ac:dyDescent="0.2">
      <c r="A604" s="5"/>
      <c r="B604" s="5"/>
      <c r="C604" s="5"/>
      <c r="D604" s="5"/>
      <c r="F604" s="18"/>
      <c r="R604" s="5"/>
    </row>
    <row r="605" spans="1:18" x14ac:dyDescent="0.2">
      <c r="A605" s="5"/>
      <c r="B605" s="5"/>
      <c r="C605" s="5"/>
      <c r="D605" s="5"/>
      <c r="F605" s="18"/>
      <c r="R605" s="5"/>
    </row>
    <row r="606" spans="1:18" x14ac:dyDescent="0.2">
      <c r="A606" s="5"/>
      <c r="B606" s="5"/>
      <c r="C606" s="5"/>
      <c r="D606" s="5"/>
      <c r="F606" s="18"/>
      <c r="R606" s="5"/>
    </row>
    <row r="607" spans="1:18" x14ac:dyDescent="0.2">
      <c r="A607" s="5"/>
      <c r="B607" s="5"/>
      <c r="C607" s="5"/>
      <c r="D607" s="5"/>
      <c r="F607" s="18"/>
      <c r="R607" s="5"/>
    </row>
    <row r="608" spans="1:18" x14ac:dyDescent="0.2">
      <c r="A608" s="5"/>
      <c r="B608" s="5"/>
      <c r="C608" s="5"/>
      <c r="D608" s="5"/>
      <c r="F608" s="18"/>
      <c r="R608" s="5"/>
    </row>
    <row r="609" spans="1:18" x14ac:dyDescent="0.2">
      <c r="A609" s="5"/>
      <c r="B609" s="5"/>
      <c r="C609" s="5"/>
      <c r="D609" s="5"/>
      <c r="F609" s="18"/>
      <c r="R609" s="5"/>
    </row>
    <row r="610" spans="1:18" x14ac:dyDescent="0.2">
      <c r="A610" s="5"/>
      <c r="B610" s="5"/>
      <c r="C610" s="5"/>
      <c r="D610" s="5"/>
      <c r="F610" s="18"/>
      <c r="R610" s="5"/>
    </row>
    <row r="611" spans="1:18" x14ac:dyDescent="0.2">
      <c r="A611" s="5"/>
      <c r="B611" s="5"/>
      <c r="C611" s="5"/>
      <c r="D611" s="5"/>
      <c r="F611" s="18"/>
      <c r="R611" s="5"/>
    </row>
    <row r="612" spans="1:18" x14ac:dyDescent="0.2">
      <c r="A612" s="5"/>
      <c r="B612" s="5"/>
      <c r="C612" s="5"/>
      <c r="D612" s="5"/>
      <c r="F612" s="18"/>
      <c r="R612" s="5"/>
    </row>
    <row r="613" spans="1:18" x14ac:dyDescent="0.2">
      <c r="A613" s="5"/>
      <c r="B613" s="5"/>
      <c r="C613" s="5"/>
      <c r="D613" s="5"/>
      <c r="F613" s="18"/>
      <c r="R613" s="5"/>
    </row>
    <row r="614" spans="1:18" x14ac:dyDescent="0.2">
      <c r="A614" s="5"/>
      <c r="B614" s="5"/>
      <c r="C614" s="5"/>
      <c r="D614" s="5"/>
      <c r="F614" s="18"/>
      <c r="R614" s="5"/>
    </row>
    <row r="615" spans="1:18" x14ac:dyDescent="0.2">
      <c r="A615" s="5"/>
      <c r="B615" s="5"/>
      <c r="C615" s="5"/>
      <c r="D615" s="5"/>
      <c r="F615" s="18"/>
      <c r="R615" s="5"/>
    </row>
    <row r="616" spans="1:18" x14ac:dyDescent="0.2">
      <c r="A616" s="5"/>
      <c r="B616" s="5"/>
      <c r="C616" s="5"/>
      <c r="D616" s="5"/>
      <c r="F616" s="18"/>
      <c r="R616" s="5"/>
    </row>
    <row r="617" spans="1:18" x14ac:dyDescent="0.2">
      <c r="A617" s="5"/>
      <c r="B617" s="5"/>
      <c r="C617" s="5"/>
      <c r="D617" s="5"/>
      <c r="F617" s="18"/>
      <c r="R617" s="5"/>
    </row>
    <row r="618" spans="1:18" x14ac:dyDescent="0.2">
      <c r="A618" s="5"/>
      <c r="B618" s="5"/>
      <c r="C618" s="5"/>
      <c r="D618" s="5"/>
      <c r="F618" s="18"/>
      <c r="R618" s="5"/>
    </row>
    <row r="619" spans="1:18" x14ac:dyDescent="0.2">
      <c r="A619" s="5"/>
      <c r="B619" s="5"/>
      <c r="C619" s="5"/>
      <c r="D619" s="5"/>
      <c r="F619" s="18"/>
      <c r="R619" s="5"/>
    </row>
    <row r="620" spans="1:18" x14ac:dyDescent="0.2">
      <c r="A620" s="5"/>
      <c r="B620" s="5"/>
      <c r="C620" s="5"/>
      <c r="D620" s="5"/>
      <c r="F620" s="18"/>
      <c r="R620" s="5"/>
    </row>
    <row r="621" spans="1:18" x14ac:dyDescent="0.2">
      <c r="A621" s="5"/>
      <c r="B621" s="5"/>
      <c r="C621" s="5"/>
      <c r="D621" s="5"/>
      <c r="F621" s="18"/>
      <c r="R621" s="5"/>
    </row>
    <row r="622" spans="1:18" x14ac:dyDescent="0.2">
      <c r="A622" s="5"/>
      <c r="B622" s="5"/>
      <c r="C622" s="5"/>
      <c r="D622" s="5"/>
      <c r="F622" s="18"/>
      <c r="R622" s="5"/>
    </row>
    <row r="623" spans="1:18" x14ac:dyDescent="0.2">
      <c r="A623" s="5"/>
      <c r="B623" s="5"/>
      <c r="C623" s="5"/>
      <c r="D623" s="5"/>
      <c r="F623" s="18"/>
      <c r="R623" s="5"/>
    </row>
    <row r="624" spans="1:18" x14ac:dyDescent="0.2">
      <c r="A624" s="5"/>
      <c r="B624" s="5"/>
      <c r="C624" s="5"/>
      <c r="D624" s="5"/>
      <c r="F624" s="18"/>
      <c r="R624" s="5"/>
    </row>
    <row r="625" spans="1:18" x14ac:dyDescent="0.2">
      <c r="A625" s="5"/>
      <c r="B625" s="5"/>
      <c r="C625" s="5"/>
      <c r="D625" s="5"/>
      <c r="F625" s="18"/>
      <c r="R625" s="5"/>
    </row>
    <row r="626" spans="1:18" x14ac:dyDescent="0.2">
      <c r="A626" s="5"/>
      <c r="B626" s="5"/>
      <c r="C626" s="5"/>
      <c r="D626" s="5"/>
      <c r="F626" s="18"/>
      <c r="R626" s="5"/>
    </row>
    <row r="627" spans="1:18" x14ac:dyDescent="0.2">
      <c r="A627" s="5"/>
      <c r="B627" s="5"/>
      <c r="C627" s="5"/>
      <c r="D627" s="5"/>
      <c r="F627" s="18"/>
      <c r="R627" s="5"/>
    </row>
    <row r="628" spans="1:18" x14ac:dyDescent="0.2">
      <c r="A628" s="5"/>
      <c r="B628" s="5"/>
      <c r="C628" s="5"/>
      <c r="D628" s="5"/>
      <c r="F628" s="18"/>
      <c r="R628" s="5"/>
    </row>
    <row r="629" spans="1:18" x14ac:dyDescent="0.2">
      <c r="A629" s="5"/>
      <c r="B629" s="5"/>
      <c r="C629" s="5"/>
      <c r="D629" s="5"/>
      <c r="F629" s="18"/>
      <c r="R629" s="5"/>
    </row>
    <row r="630" spans="1:18" x14ac:dyDescent="0.2">
      <c r="A630" s="5"/>
      <c r="B630" s="5"/>
      <c r="C630" s="5"/>
      <c r="D630" s="5"/>
      <c r="F630" s="18"/>
      <c r="R630" s="5"/>
    </row>
    <row r="631" spans="1:18" x14ac:dyDescent="0.2">
      <c r="A631" s="5"/>
      <c r="B631" s="5"/>
      <c r="C631" s="5"/>
      <c r="D631" s="5"/>
      <c r="F631" s="18"/>
      <c r="R631" s="5"/>
    </row>
    <row r="632" spans="1:18" x14ac:dyDescent="0.2">
      <c r="A632" s="5"/>
      <c r="B632" s="5"/>
      <c r="C632" s="5"/>
      <c r="D632" s="5"/>
      <c r="F632" s="18"/>
      <c r="R632" s="5"/>
    </row>
    <row r="633" spans="1:18" x14ac:dyDescent="0.2">
      <c r="A633" s="5"/>
      <c r="B633" s="5"/>
      <c r="C633" s="5"/>
      <c r="D633" s="5"/>
      <c r="F633" s="18"/>
      <c r="R633" s="5"/>
    </row>
    <row r="634" spans="1:18" x14ac:dyDescent="0.2">
      <c r="A634" s="5"/>
      <c r="B634" s="5"/>
      <c r="C634" s="5"/>
      <c r="D634" s="5"/>
      <c r="F634" s="18"/>
      <c r="R634" s="5"/>
    </row>
    <row r="635" spans="1:18" x14ac:dyDescent="0.2">
      <c r="A635" s="5"/>
      <c r="B635" s="5"/>
      <c r="C635" s="5"/>
      <c r="D635" s="5"/>
      <c r="F635" s="18"/>
      <c r="R635" s="5"/>
    </row>
    <row r="636" spans="1:18" x14ac:dyDescent="0.2">
      <c r="A636" s="5"/>
      <c r="B636" s="5"/>
      <c r="C636" s="5"/>
      <c r="D636" s="5"/>
      <c r="F636" s="18"/>
      <c r="R636" s="5"/>
    </row>
    <row r="637" spans="1:18" x14ac:dyDescent="0.2">
      <c r="A637" s="5"/>
      <c r="B637" s="5"/>
      <c r="C637" s="5"/>
      <c r="D637" s="5"/>
      <c r="F637" s="18"/>
      <c r="R637" s="5"/>
    </row>
    <row r="638" spans="1:18" x14ac:dyDescent="0.2">
      <c r="A638" s="5"/>
      <c r="B638" s="5"/>
      <c r="C638" s="5"/>
      <c r="D638" s="5"/>
      <c r="F638" s="18"/>
      <c r="R638" s="5"/>
    </row>
    <row r="639" spans="1:18" x14ac:dyDescent="0.2">
      <c r="A639" s="5"/>
      <c r="B639" s="5"/>
      <c r="C639" s="5"/>
      <c r="D639" s="5"/>
      <c r="F639" s="18"/>
      <c r="R639" s="5"/>
    </row>
    <row r="640" spans="1:18" x14ac:dyDescent="0.2">
      <c r="A640" s="5"/>
      <c r="B640" s="5"/>
      <c r="C640" s="5"/>
      <c r="D640" s="5"/>
      <c r="F640" s="18"/>
      <c r="R640" s="5"/>
    </row>
    <row r="641" spans="1:18" x14ac:dyDescent="0.2">
      <c r="A641" s="5"/>
      <c r="B641" s="5"/>
      <c r="C641" s="5"/>
      <c r="D641" s="5"/>
      <c r="F641" s="18"/>
      <c r="R641" s="5"/>
    </row>
    <row r="642" spans="1:18" x14ac:dyDescent="0.2">
      <c r="A642" s="5"/>
      <c r="B642" s="5"/>
      <c r="C642" s="5"/>
      <c r="D642" s="5"/>
      <c r="F642" s="18"/>
      <c r="R642" s="5"/>
    </row>
    <row r="643" spans="1:18" x14ac:dyDescent="0.2">
      <c r="A643" s="5"/>
      <c r="B643" s="5"/>
      <c r="C643" s="5"/>
      <c r="D643" s="5"/>
      <c r="F643" s="18"/>
      <c r="R643" s="5"/>
    </row>
    <row r="644" spans="1:18" x14ac:dyDescent="0.2">
      <c r="A644" s="5"/>
      <c r="B644" s="5"/>
      <c r="C644" s="5"/>
      <c r="D644" s="5"/>
      <c r="F644" s="18"/>
      <c r="R644" s="5"/>
    </row>
    <row r="645" spans="1:18" x14ac:dyDescent="0.2">
      <c r="A645" s="5"/>
      <c r="B645" s="5"/>
      <c r="C645" s="5"/>
      <c r="D645" s="5"/>
      <c r="F645" s="18"/>
      <c r="R645" s="5"/>
    </row>
    <row r="646" spans="1:18" x14ac:dyDescent="0.2">
      <c r="A646" s="5"/>
      <c r="B646" s="5"/>
      <c r="C646" s="5"/>
      <c r="D646" s="5"/>
      <c r="F646" s="18"/>
      <c r="R646" s="5"/>
    </row>
    <row r="647" spans="1:18" x14ac:dyDescent="0.2">
      <c r="A647" s="5"/>
      <c r="B647" s="5"/>
      <c r="C647" s="5"/>
      <c r="D647" s="5"/>
      <c r="F647" s="18"/>
      <c r="R647" s="5"/>
    </row>
    <row r="648" spans="1:18" x14ac:dyDescent="0.2">
      <c r="A648" s="5"/>
      <c r="B648" s="5"/>
      <c r="C648" s="5"/>
      <c r="D648" s="5"/>
      <c r="F648" s="18"/>
      <c r="R648" s="5"/>
    </row>
    <row r="649" spans="1:18" x14ac:dyDescent="0.2">
      <c r="A649" s="5"/>
      <c r="B649" s="5"/>
      <c r="C649" s="5"/>
      <c r="D649" s="5"/>
      <c r="F649" s="18"/>
      <c r="R649" s="5"/>
    </row>
    <row r="650" spans="1:18" x14ac:dyDescent="0.2">
      <c r="A650" s="5"/>
      <c r="B650" s="5"/>
      <c r="C650" s="5"/>
      <c r="D650" s="5"/>
      <c r="F650" s="18"/>
      <c r="R650" s="5"/>
    </row>
    <row r="651" spans="1:18" x14ac:dyDescent="0.2">
      <c r="A651" s="5"/>
      <c r="B651" s="5"/>
      <c r="C651" s="5"/>
      <c r="D651" s="5"/>
      <c r="F651" s="18"/>
      <c r="R651" s="5"/>
    </row>
    <row r="652" spans="1:18" x14ac:dyDescent="0.2">
      <c r="A652" s="5"/>
      <c r="B652" s="5"/>
      <c r="C652" s="5"/>
      <c r="D652" s="5"/>
      <c r="F652" s="18"/>
      <c r="R652" s="5"/>
    </row>
    <row r="653" spans="1:18" x14ac:dyDescent="0.2">
      <c r="A653" s="5"/>
      <c r="B653" s="5"/>
      <c r="C653" s="5"/>
      <c r="D653" s="5"/>
      <c r="F653" s="18"/>
      <c r="R653" s="5"/>
    </row>
    <row r="654" spans="1:18" x14ac:dyDescent="0.2">
      <c r="A654" s="5"/>
      <c r="B654" s="5"/>
      <c r="C654" s="5"/>
      <c r="D654" s="5"/>
      <c r="F654" s="18"/>
      <c r="R654" s="5"/>
    </row>
    <row r="655" spans="1:18" x14ac:dyDescent="0.2">
      <c r="A655" s="5"/>
      <c r="B655" s="5"/>
      <c r="C655" s="5"/>
      <c r="D655" s="5"/>
      <c r="F655" s="18"/>
      <c r="R655" s="5"/>
    </row>
    <row r="656" spans="1:18" x14ac:dyDescent="0.2">
      <c r="A656" s="5"/>
      <c r="B656" s="5"/>
      <c r="C656" s="5"/>
      <c r="D656" s="5"/>
      <c r="F656" s="18"/>
      <c r="R656" s="5"/>
    </row>
    <row r="657" spans="1:18" x14ac:dyDescent="0.2">
      <c r="A657" s="5"/>
      <c r="B657" s="5"/>
      <c r="C657" s="5"/>
      <c r="D657" s="5"/>
      <c r="F657" s="18"/>
      <c r="R657" s="5"/>
    </row>
    <row r="658" spans="1:18" x14ac:dyDescent="0.2">
      <c r="A658" s="5"/>
      <c r="B658" s="5"/>
      <c r="C658" s="5"/>
      <c r="D658" s="5"/>
      <c r="F658" s="18"/>
      <c r="R658" s="5"/>
    </row>
    <row r="659" spans="1:18" x14ac:dyDescent="0.2">
      <c r="A659" s="5"/>
      <c r="B659" s="5"/>
      <c r="C659" s="5"/>
      <c r="D659" s="5"/>
      <c r="F659" s="18"/>
      <c r="R659" s="5"/>
    </row>
    <row r="660" spans="1:18" x14ac:dyDescent="0.2">
      <c r="A660" s="5"/>
      <c r="B660" s="5"/>
      <c r="C660" s="5"/>
      <c r="D660" s="5"/>
      <c r="F660" s="18"/>
      <c r="R660" s="5"/>
    </row>
    <row r="661" spans="1:18" x14ac:dyDescent="0.2">
      <c r="A661" s="5"/>
      <c r="B661" s="5"/>
      <c r="C661" s="5"/>
      <c r="D661" s="5"/>
      <c r="F661" s="18"/>
      <c r="R661" s="5"/>
    </row>
    <row r="662" spans="1:18" x14ac:dyDescent="0.2">
      <c r="A662" s="5"/>
      <c r="B662" s="5"/>
      <c r="C662" s="5"/>
      <c r="D662" s="5"/>
      <c r="F662" s="18"/>
      <c r="R662" s="5"/>
    </row>
    <row r="663" spans="1:18" x14ac:dyDescent="0.2">
      <c r="A663" s="5"/>
      <c r="B663" s="5"/>
      <c r="C663" s="5"/>
      <c r="D663" s="5"/>
      <c r="F663" s="18"/>
      <c r="R663" s="5"/>
    </row>
    <row r="664" spans="1:18" x14ac:dyDescent="0.2">
      <c r="A664" s="5"/>
      <c r="B664" s="5"/>
      <c r="C664" s="5"/>
      <c r="D664" s="5"/>
      <c r="F664" s="18"/>
      <c r="R664" s="5"/>
    </row>
    <row r="665" spans="1:18" x14ac:dyDescent="0.2">
      <c r="A665" s="5"/>
      <c r="B665" s="5"/>
      <c r="C665" s="5"/>
      <c r="D665" s="5"/>
      <c r="F665" s="18"/>
      <c r="R665" s="5"/>
    </row>
    <row r="666" spans="1:18" x14ac:dyDescent="0.2">
      <c r="A666" s="5"/>
      <c r="B666" s="5"/>
      <c r="C666" s="5"/>
      <c r="D666" s="5"/>
      <c r="F666" s="18"/>
      <c r="R666" s="5"/>
    </row>
    <row r="667" spans="1:18" x14ac:dyDescent="0.2">
      <c r="A667" s="5"/>
      <c r="B667" s="5"/>
      <c r="C667" s="5"/>
      <c r="D667" s="5"/>
      <c r="F667" s="18"/>
      <c r="R667" s="5"/>
    </row>
    <row r="668" spans="1:18" x14ac:dyDescent="0.2">
      <c r="A668" s="5"/>
      <c r="B668" s="5"/>
      <c r="C668" s="5"/>
      <c r="D668" s="5"/>
      <c r="F668" s="18"/>
      <c r="R668" s="5"/>
    </row>
    <row r="669" spans="1:18" x14ac:dyDescent="0.2">
      <c r="A669" s="5"/>
      <c r="B669" s="5"/>
      <c r="C669" s="5"/>
      <c r="D669" s="5"/>
      <c r="F669" s="18"/>
      <c r="R669" s="5"/>
    </row>
    <row r="670" spans="1:18" x14ac:dyDescent="0.2">
      <c r="A670" s="5"/>
      <c r="B670" s="5"/>
      <c r="C670" s="5"/>
      <c r="D670" s="5"/>
      <c r="F670" s="18"/>
      <c r="R670" s="5"/>
    </row>
    <row r="671" spans="1:18" x14ac:dyDescent="0.2">
      <c r="A671" s="5"/>
      <c r="B671" s="5"/>
      <c r="C671" s="5"/>
      <c r="D671" s="5"/>
      <c r="F671" s="18"/>
      <c r="R671" s="5"/>
    </row>
    <row r="672" spans="1:18" x14ac:dyDescent="0.2">
      <c r="A672" s="5"/>
      <c r="B672" s="5"/>
      <c r="C672" s="5"/>
      <c r="D672" s="5"/>
      <c r="F672" s="18"/>
      <c r="R672" s="5"/>
    </row>
    <row r="673" spans="1:18" x14ac:dyDescent="0.2">
      <c r="A673" s="5"/>
      <c r="B673" s="5"/>
      <c r="C673" s="5"/>
      <c r="D673" s="5"/>
      <c r="F673" s="18"/>
      <c r="R673" s="5"/>
    </row>
    <row r="674" spans="1:18" x14ac:dyDescent="0.2">
      <c r="A674" s="5"/>
      <c r="B674" s="5"/>
      <c r="C674" s="5"/>
      <c r="D674" s="5"/>
      <c r="F674" s="18"/>
      <c r="R674" s="5"/>
    </row>
    <row r="675" spans="1:18" x14ac:dyDescent="0.2">
      <c r="A675" s="5"/>
      <c r="B675" s="5"/>
      <c r="C675" s="5"/>
      <c r="D675" s="5"/>
      <c r="F675" s="18"/>
      <c r="R675" s="5"/>
    </row>
    <row r="676" spans="1:18" x14ac:dyDescent="0.2">
      <c r="A676" s="5"/>
      <c r="B676" s="5"/>
      <c r="C676" s="5"/>
      <c r="D676" s="5"/>
      <c r="F676" s="18"/>
      <c r="R676" s="5"/>
    </row>
    <row r="677" spans="1:18" x14ac:dyDescent="0.2">
      <c r="A677" s="5"/>
      <c r="B677" s="5"/>
      <c r="C677" s="5"/>
      <c r="D677" s="5"/>
      <c r="F677" s="18"/>
      <c r="R677" s="5"/>
    </row>
    <row r="678" spans="1:18" x14ac:dyDescent="0.2">
      <c r="A678" s="5"/>
      <c r="B678" s="5"/>
      <c r="C678" s="5"/>
      <c r="D678" s="5"/>
      <c r="F678" s="18"/>
      <c r="R678" s="5"/>
    </row>
    <row r="679" spans="1:18" x14ac:dyDescent="0.2">
      <c r="A679" s="5"/>
      <c r="B679" s="5"/>
      <c r="C679" s="5"/>
      <c r="D679" s="5"/>
      <c r="F679" s="18"/>
      <c r="R679" s="5"/>
    </row>
    <row r="680" spans="1:18" x14ac:dyDescent="0.2">
      <c r="A680" s="5"/>
      <c r="B680" s="5"/>
      <c r="C680" s="5"/>
      <c r="D680" s="5"/>
      <c r="F680" s="18"/>
      <c r="R680" s="5"/>
    </row>
    <row r="681" spans="1:18" x14ac:dyDescent="0.2">
      <c r="A681" s="5"/>
      <c r="B681" s="5"/>
      <c r="C681" s="5"/>
      <c r="D681" s="5"/>
      <c r="F681" s="18"/>
      <c r="R681" s="5"/>
    </row>
    <row r="682" spans="1:18" x14ac:dyDescent="0.2">
      <c r="A682" s="5"/>
      <c r="B682" s="5"/>
      <c r="C682" s="5"/>
      <c r="D682" s="5"/>
      <c r="F682" s="18"/>
      <c r="R682" s="5"/>
    </row>
    <row r="683" spans="1:18" x14ac:dyDescent="0.2">
      <c r="A683" s="5"/>
      <c r="B683" s="5"/>
      <c r="C683" s="5"/>
      <c r="D683" s="5"/>
      <c r="F683" s="18"/>
      <c r="R683" s="5"/>
    </row>
    <row r="684" spans="1:18" x14ac:dyDescent="0.2">
      <c r="A684" s="5"/>
      <c r="B684" s="5"/>
      <c r="C684" s="5"/>
      <c r="D684" s="5"/>
      <c r="F684" s="18"/>
      <c r="R684" s="5"/>
    </row>
    <row r="685" spans="1:18" x14ac:dyDescent="0.2">
      <c r="A685" s="5"/>
      <c r="B685" s="5"/>
      <c r="C685" s="5"/>
      <c r="D685" s="5"/>
      <c r="F685" s="18"/>
      <c r="R685" s="5"/>
    </row>
    <row r="686" spans="1:18" x14ac:dyDescent="0.2">
      <c r="A686" s="5"/>
      <c r="B686" s="5"/>
      <c r="C686" s="5"/>
      <c r="D686" s="5"/>
      <c r="F686" s="18"/>
      <c r="R686" s="5"/>
    </row>
    <row r="687" spans="1:18" x14ac:dyDescent="0.2">
      <c r="A687" s="5"/>
      <c r="B687" s="5"/>
      <c r="C687" s="5"/>
      <c r="D687" s="5"/>
      <c r="F687" s="18"/>
      <c r="R687" s="5"/>
    </row>
    <row r="688" spans="1:18" x14ac:dyDescent="0.2">
      <c r="A688" s="5"/>
      <c r="B688" s="5"/>
      <c r="C688" s="5"/>
      <c r="D688" s="5"/>
      <c r="F688" s="18"/>
      <c r="R688" s="5"/>
    </row>
    <row r="689" spans="1:18" x14ac:dyDescent="0.2">
      <c r="A689" s="5"/>
      <c r="B689" s="5"/>
      <c r="C689" s="5"/>
      <c r="D689" s="5"/>
      <c r="F689" s="18"/>
      <c r="R689" s="5"/>
    </row>
    <row r="690" spans="1:18" x14ac:dyDescent="0.2">
      <c r="A690" s="5"/>
      <c r="B690" s="5"/>
      <c r="C690" s="5"/>
      <c r="D690" s="5"/>
      <c r="F690" s="18"/>
      <c r="R690" s="5"/>
    </row>
    <row r="691" spans="1:18" x14ac:dyDescent="0.2">
      <c r="A691" s="5"/>
      <c r="B691" s="5"/>
      <c r="C691" s="5"/>
      <c r="D691" s="5"/>
      <c r="F691" s="18"/>
      <c r="R691" s="5"/>
    </row>
    <row r="692" spans="1:18" x14ac:dyDescent="0.2">
      <c r="A692" s="5"/>
      <c r="B692" s="5"/>
      <c r="C692" s="5"/>
      <c r="D692" s="5"/>
      <c r="F692" s="18"/>
      <c r="R692" s="5"/>
    </row>
    <row r="693" spans="1:18" x14ac:dyDescent="0.2">
      <c r="A693" s="5"/>
      <c r="B693" s="5"/>
      <c r="C693" s="5"/>
      <c r="D693" s="5"/>
      <c r="F693" s="18"/>
      <c r="R693" s="5"/>
    </row>
    <row r="694" spans="1:18" x14ac:dyDescent="0.2">
      <c r="A694" s="5"/>
      <c r="B694" s="5"/>
      <c r="C694" s="5"/>
      <c r="D694" s="5"/>
      <c r="F694" s="18"/>
      <c r="R694" s="5"/>
    </row>
    <row r="695" spans="1:18" x14ac:dyDescent="0.2">
      <c r="A695" s="5"/>
      <c r="B695" s="5"/>
      <c r="C695" s="5"/>
      <c r="D695" s="5"/>
      <c r="F695" s="18"/>
      <c r="R695" s="5"/>
    </row>
    <row r="696" spans="1:18" x14ac:dyDescent="0.2">
      <c r="A696" s="5"/>
      <c r="B696" s="5"/>
      <c r="C696" s="5"/>
      <c r="D696" s="5"/>
      <c r="F696" s="18"/>
      <c r="R696" s="5"/>
    </row>
    <row r="697" spans="1:18" x14ac:dyDescent="0.2">
      <c r="A697" s="5"/>
      <c r="B697" s="5"/>
      <c r="C697" s="5"/>
      <c r="D697" s="5"/>
      <c r="F697" s="18"/>
      <c r="R697" s="5"/>
    </row>
    <row r="698" spans="1:18" x14ac:dyDescent="0.2">
      <c r="A698" s="5"/>
      <c r="B698" s="5"/>
      <c r="C698" s="5"/>
      <c r="D698" s="5"/>
      <c r="F698" s="18"/>
      <c r="R698" s="5"/>
    </row>
    <row r="699" spans="1:18" x14ac:dyDescent="0.2">
      <c r="A699" s="5"/>
      <c r="B699" s="5"/>
      <c r="C699" s="5"/>
      <c r="D699" s="5"/>
      <c r="F699" s="18"/>
      <c r="R699" s="5"/>
    </row>
    <row r="700" spans="1:18" x14ac:dyDescent="0.2">
      <c r="A700" s="5"/>
      <c r="B700" s="5"/>
      <c r="C700" s="5"/>
      <c r="D700" s="5"/>
      <c r="F700" s="18"/>
      <c r="R700" s="5"/>
    </row>
    <row r="701" spans="1:18" x14ac:dyDescent="0.2">
      <c r="A701" s="5"/>
      <c r="B701" s="5"/>
      <c r="C701" s="5"/>
      <c r="D701" s="5"/>
      <c r="F701" s="18"/>
      <c r="R701" s="5"/>
    </row>
    <row r="702" spans="1:18" x14ac:dyDescent="0.2">
      <c r="A702" s="5"/>
      <c r="B702" s="5"/>
      <c r="C702" s="5"/>
      <c r="D702" s="5"/>
      <c r="F702" s="18"/>
      <c r="R702" s="5"/>
    </row>
    <row r="703" spans="1:18" x14ac:dyDescent="0.2">
      <c r="A703" s="5"/>
      <c r="B703" s="5"/>
      <c r="C703" s="5"/>
      <c r="D703" s="5"/>
      <c r="F703" s="18"/>
      <c r="R703" s="5"/>
    </row>
    <row r="704" spans="1:18" x14ac:dyDescent="0.2">
      <c r="A704" s="5"/>
      <c r="B704" s="5"/>
      <c r="C704" s="5"/>
      <c r="D704" s="5"/>
      <c r="F704" s="18"/>
      <c r="R704" s="5"/>
    </row>
    <row r="705" spans="1:18" x14ac:dyDescent="0.2">
      <c r="A705" s="5"/>
      <c r="B705" s="5"/>
      <c r="C705" s="5"/>
      <c r="D705" s="5"/>
      <c r="F705" s="18"/>
      <c r="R705" s="5"/>
    </row>
    <row r="706" spans="1:18" x14ac:dyDescent="0.2">
      <c r="A706" s="5"/>
      <c r="B706" s="5"/>
      <c r="C706" s="5"/>
      <c r="D706" s="5"/>
      <c r="F706" s="18"/>
      <c r="R706" s="5"/>
    </row>
    <row r="707" spans="1:18" x14ac:dyDescent="0.2">
      <c r="A707" s="5"/>
      <c r="B707" s="5"/>
      <c r="C707" s="5"/>
      <c r="D707" s="5"/>
      <c r="F707" s="18"/>
      <c r="R707" s="5"/>
    </row>
    <row r="708" spans="1:18" x14ac:dyDescent="0.2">
      <c r="A708" s="5"/>
      <c r="B708" s="5"/>
      <c r="C708" s="5"/>
      <c r="D708" s="5"/>
      <c r="F708" s="18"/>
      <c r="R708" s="5"/>
    </row>
    <row r="709" spans="1:18" x14ac:dyDescent="0.2">
      <c r="A709" s="5"/>
      <c r="B709" s="5"/>
      <c r="C709" s="5"/>
      <c r="D709" s="5"/>
      <c r="F709" s="18"/>
      <c r="R709" s="5"/>
    </row>
    <row r="710" spans="1:18" x14ac:dyDescent="0.2">
      <c r="A710" s="5"/>
      <c r="B710" s="5"/>
      <c r="C710" s="5"/>
      <c r="D710" s="5"/>
      <c r="F710" s="18"/>
      <c r="R710" s="5"/>
    </row>
    <row r="711" spans="1:18" x14ac:dyDescent="0.2">
      <c r="A711" s="5"/>
      <c r="B711" s="5"/>
      <c r="C711" s="5"/>
      <c r="D711" s="5"/>
      <c r="F711" s="18"/>
      <c r="R711" s="5"/>
    </row>
    <row r="712" spans="1:18" x14ac:dyDescent="0.2">
      <c r="A712" s="5"/>
      <c r="B712" s="5"/>
      <c r="C712" s="5"/>
      <c r="D712" s="5"/>
      <c r="F712" s="18"/>
      <c r="R712" s="5"/>
    </row>
    <row r="713" spans="1:18" x14ac:dyDescent="0.2">
      <c r="A713" s="5"/>
      <c r="B713" s="5"/>
      <c r="C713" s="5"/>
      <c r="D713" s="5"/>
      <c r="F713" s="18"/>
      <c r="R713" s="5"/>
    </row>
    <row r="714" spans="1:18" x14ac:dyDescent="0.2">
      <c r="A714" s="5"/>
      <c r="B714" s="5"/>
      <c r="C714" s="5"/>
      <c r="D714" s="5"/>
      <c r="F714" s="18"/>
      <c r="R714" s="5"/>
    </row>
    <row r="715" spans="1:18" x14ac:dyDescent="0.2">
      <c r="A715" s="5"/>
      <c r="B715" s="5"/>
      <c r="C715" s="5"/>
      <c r="D715" s="5"/>
      <c r="F715" s="18"/>
      <c r="R715" s="5"/>
    </row>
    <row r="716" spans="1:18" x14ac:dyDescent="0.2">
      <c r="A716" s="5"/>
      <c r="B716" s="5"/>
      <c r="C716" s="5"/>
      <c r="D716" s="5"/>
      <c r="F716" s="18"/>
      <c r="R716" s="5"/>
    </row>
    <row r="717" spans="1:18" x14ac:dyDescent="0.2">
      <c r="A717" s="5"/>
      <c r="B717" s="5"/>
      <c r="C717" s="5"/>
      <c r="D717" s="5"/>
      <c r="F717" s="18"/>
      <c r="R717" s="5"/>
    </row>
    <row r="718" spans="1:18" x14ac:dyDescent="0.2">
      <c r="A718" s="5"/>
      <c r="B718" s="5"/>
      <c r="C718" s="5"/>
      <c r="D718" s="5"/>
      <c r="F718" s="18"/>
      <c r="R718" s="5"/>
    </row>
    <row r="719" spans="1:18" x14ac:dyDescent="0.2">
      <c r="A719" s="5"/>
      <c r="B719" s="5"/>
      <c r="C719" s="5"/>
      <c r="D719" s="5"/>
      <c r="F719" s="18"/>
      <c r="R719" s="5"/>
    </row>
    <row r="720" spans="1:18" x14ac:dyDescent="0.2">
      <c r="A720" s="5"/>
      <c r="B720" s="5"/>
      <c r="C720" s="5"/>
      <c r="D720" s="5"/>
      <c r="F720" s="18"/>
      <c r="R720" s="5"/>
    </row>
    <row r="721" spans="1:18" x14ac:dyDescent="0.2">
      <c r="A721" s="5"/>
      <c r="B721" s="5"/>
      <c r="C721" s="5"/>
      <c r="D721" s="5"/>
      <c r="F721" s="18"/>
      <c r="R721" s="5"/>
    </row>
    <row r="722" spans="1:18" x14ac:dyDescent="0.2">
      <c r="A722" s="5"/>
      <c r="B722" s="5"/>
      <c r="C722" s="5"/>
      <c r="D722" s="5"/>
      <c r="F722" s="18"/>
      <c r="R722" s="5"/>
    </row>
    <row r="723" spans="1:18" x14ac:dyDescent="0.2">
      <c r="A723" s="5"/>
      <c r="B723" s="5"/>
      <c r="C723" s="5"/>
      <c r="D723" s="5"/>
      <c r="F723" s="18"/>
      <c r="R723" s="5"/>
    </row>
    <row r="724" spans="1:18" x14ac:dyDescent="0.2">
      <c r="A724" s="5"/>
      <c r="B724" s="5"/>
      <c r="C724" s="5"/>
      <c r="D724" s="5"/>
      <c r="F724" s="18"/>
      <c r="R724" s="5"/>
    </row>
    <row r="725" spans="1:18" x14ac:dyDescent="0.2">
      <c r="A725" s="5"/>
      <c r="B725" s="5"/>
      <c r="C725" s="5"/>
      <c r="D725" s="5"/>
      <c r="F725" s="18"/>
      <c r="R725" s="5"/>
    </row>
    <row r="726" spans="1:18" x14ac:dyDescent="0.2">
      <c r="A726" s="5"/>
      <c r="B726" s="5"/>
      <c r="C726" s="5"/>
      <c r="D726" s="5"/>
      <c r="F726" s="18"/>
      <c r="R726" s="5"/>
    </row>
    <row r="727" spans="1:18" x14ac:dyDescent="0.2">
      <c r="A727" s="5"/>
      <c r="B727" s="5"/>
      <c r="C727" s="5"/>
      <c r="D727" s="5"/>
      <c r="F727" s="18"/>
      <c r="R727" s="5"/>
    </row>
    <row r="728" spans="1:18" x14ac:dyDescent="0.2">
      <c r="A728" s="5"/>
      <c r="B728" s="5"/>
      <c r="C728" s="5"/>
      <c r="D728" s="5"/>
      <c r="F728" s="18"/>
      <c r="R728" s="5"/>
    </row>
    <row r="729" spans="1:18" x14ac:dyDescent="0.2">
      <c r="A729" s="5"/>
      <c r="B729" s="5"/>
      <c r="C729" s="5"/>
      <c r="D729" s="5"/>
      <c r="F729" s="18"/>
      <c r="R729" s="5"/>
    </row>
    <row r="730" spans="1:18" x14ac:dyDescent="0.2">
      <c r="A730" s="5"/>
      <c r="B730" s="5"/>
      <c r="C730" s="5"/>
      <c r="D730" s="5"/>
      <c r="F730" s="18"/>
      <c r="R730" s="5"/>
    </row>
    <row r="731" spans="1:18" x14ac:dyDescent="0.2">
      <c r="A731" s="5"/>
      <c r="B731" s="5"/>
      <c r="C731" s="5"/>
      <c r="D731" s="5"/>
      <c r="F731" s="18"/>
      <c r="R731" s="5"/>
    </row>
    <row r="732" spans="1:18" x14ac:dyDescent="0.2">
      <c r="A732" s="5"/>
      <c r="B732" s="5"/>
      <c r="C732" s="5"/>
      <c r="D732" s="5"/>
      <c r="F732" s="18"/>
      <c r="R732" s="5"/>
    </row>
    <row r="733" spans="1:18" x14ac:dyDescent="0.2">
      <c r="A733" s="5"/>
      <c r="B733" s="5"/>
      <c r="C733" s="5"/>
      <c r="D733" s="5"/>
      <c r="F733" s="18"/>
      <c r="R733" s="5"/>
    </row>
    <row r="734" spans="1:18" x14ac:dyDescent="0.2">
      <c r="A734" s="5"/>
      <c r="B734" s="5"/>
      <c r="C734" s="5"/>
      <c r="D734" s="5"/>
      <c r="F734" s="18"/>
      <c r="R734" s="5"/>
    </row>
    <row r="735" spans="1:18" x14ac:dyDescent="0.2">
      <c r="A735" s="5"/>
      <c r="B735" s="5"/>
      <c r="C735" s="5"/>
      <c r="D735" s="5"/>
      <c r="F735" s="18"/>
      <c r="R735" s="5"/>
    </row>
    <row r="736" spans="1:18" x14ac:dyDescent="0.2">
      <c r="A736" s="5"/>
      <c r="B736" s="5"/>
      <c r="C736" s="5"/>
      <c r="D736" s="5"/>
      <c r="F736" s="18"/>
      <c r="R736" s="5"/>
    </row>
    <row r="737" spans="1:18" x14ac:dyDescent="0.2">
      <c r="A737" s="5"/>
      <c r="B737" s="5"/>
      <c r="C737" s="5"/>
      <c r="D737" s="5"/>
      <c r="F737" s="18"/>
      <c r="R737" s="5"/>
    </row>
    <row r="738" spans="1:18" x14ac:dyDescent="0.2">
      <c r="A738" s="5"/>
      <c r="B738" s="5"/>
      <c r="C738" s="5"/>
      <c r="D738" s="5"/>
      <c r="F738" s="18"/>
      <c r="R738" s="5"/>
    </row>
    <row r="739" spans="1:18" x14ac:dyDescent="0.2">
      <c r="A739" s="5"/>
      <c r="B739" s="5"/>
      <c r="C739" s="5"/>
      <c r="D739" s="5"/>
      <c r="F739" s="18"/>
      <c r="R739" s="5"/>
    </row>
    <row r="740" spans="1:18" x14ac:dyDescent="0.2">
      <c r="D740" s="5"/>
      <c r="F740" s="18"/>
      <c r="R740" s="5"/>
    </row>
    <row r="741" spans="1:18" x14ac:dyDescent="0.2">
      <c r="D741" s="5"/>
      <c r="F741" s="18"/>
      <c r="R741" s="5"/>
    </row>
    <row r="742" spans="1:18" x14ac:dyDescent="0.2">
      <c r="D742" s="5"/>
      <c r="F742" s="18"/>
      <c r="R742" s="5"/>
    </row>
    <row r="743" spans="1:18" x14ac:dyDescent="0.2">
      <c r="D743" s="5"/>
      <c r="F743" s="18"/>
      <c r="R743" s="5"/>
    </row>
    <row r="744" spans="1:18" x14ac:dyDescent="0.2">
      <c r="D744" s="5"/>
      <c r="F744" s="18"/>
      <c r="R744" s="5"/>
    </row>
    <row r="745" spans="1:18" x14ac:dyDescent="0.2">
      <c r="D745" s="5"/>
      <c r="F745" s="18"/>
      <c r="R745" s="5"/>
    </row>
    <row r="746" spans="1:18" x14ac:dyDescent="0.2">
      <c r="D746" s="5"/>
      <c r="F746" s="18"/>
      <c r="R746" s="5"/>
    </row>
  </sheetData>
  <sortState ref="A58:C85">
    <sortCondition ref="A58:A85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:AI77"/>
  <sheetViews>
    <sheetView zoomScale="70" zoomScaleNormal="70" zoomScalePageLayoutView="70" workbookViewId="0">
      <selection activeCell="AB2" sqref="AB2:AB21"/>
    </sheetView>
  </sheetViews>
  <sheetFormatPr baseColWidth="10" defaultColWidth="8.83203125" defaultRowHeight="15" x14ac:dyDescent="0.2"/>
  <cols>
    <col min="5" max="5" width="14.83203125" bestFit="1" customWidth="1"/>
  </cols>
  <sheetData>
    <row r="1" spans="1:35" ht="16" thickBot="1" x14ac:dyDescent="0.25">
      <c r="A1" s="1"/>
      <c r="B1" s="1" t="s">
        <v>55</v>
      </c>
      <c r="C1" s="1"/>
      <c r="D1" s="1"/>
      <c r="E1" s="2">
        <v>1</v>
      </c>
      <c r="F1" s="2">
        <v>3</v>
      </c>
      <c r="G1" s="2">
        <v>5</v>
      </c>
      <c r="H1" s="2">
        <v>15</v>
      </c>
      <c r="I1" s="2">
        <v>24</v>
      </c>
      <c r="J1" s="2">
        <v>22</v>
      </c>
      <c r="K1" s="2">
        <v>23</v>
      </c>
      <c r="L1" s="2">
        <v>6</v>
      </c>
      <c r="M1" s="2">
        <v>20</v>
      </c>
      <c r="N1" s="2">
        <v>7</v>
      </c>
      <c r="O1" s="2">
        <v>27</v>
      </c>
      <c r="P1" s="2">
        <v>2</v>
      </c>
      <c r="Q1" s="2">
        <v>4</v>
      </c>
      <c r="R1" s="2">
        <v>19</v>
      </c>
      <c r="S1" s="2">
        <v>21</v>
      </c>
      <c r="T1" s="2">
        <v>28</v>
      </c>
      <c r="U1" s="2">
        <v>26</v>
      </c>
      <c r="V1" s="2">
        <v>25</v>
      </c>
      <c r="W1" s="2">
        <v>12</v>
      </c>
      <c r="X1" s="2">
        <v>9</v>
      </c>
      <c r="Y1" s="2">
        <v>17</v>
      </c>
      <c r="Z1" s="2">
        <v>29</v>
      </c>
      <c r="AA1" s="2">
        <v>14</v>
      </c>
      <c r="AB1" s="2">
        <v>8</v>
      </c>
      <c r="AC1" s="2">
        <v>10</v>
      </c>
      <c r="AD1" s="2">
        <v>16</v>
      </c>
      <c r="AE1" s="2">
        <v>11</v>
      </c>
      <c r="AF1" s="2">
        <v>18</v>
      </c>
      <c r="AG1" s="2">
        <v>13</v>
      </c>
      <c r="AH1" s="1"/>
      <c r="AI1" s="1"/>
    </row>
    <row r="2" spans="1:35" ht="16" thickBot="1" x14ac:dyDescent="0.25">
      <c r="A2" s="4"/>
      <c r="B2" s="4" t="s">
        <v>20</v>
      </c>
      <c r="C2" s="4" t="s">
        <v>21</v>
      </c>
      <c r="D2" s="4" t="s">
        <v>51</v>
      </c>
      <c r="E2" s="6" t="s">
        <v>22</v>
      </c>
      <c r="F2" s="6" t="s">
        <v>24</v>
      </c>
      <c r="G2" s="6" t="s">
        <v>26</v>
      </c>
      <c r="H2" s="6" t="s">
        <v>36</v>
      </c>
      <c r="I2" s="6" t="s">
        <v>45</v>
      </c>
      <c r="J2" s="6" t="s">
        <v>43</v>
      </c>
      <c r="K2" s="6" t="s">
        <v>44</v>
      </c>
      <c r="L2" s="6" t="s">
        <v>27</v>
      </c>
      <c r="M2" s="6" t="s">
        <v>41</v>
      </c>
      <c r="N2" s="6" t="s">
        <v>28</v>
      </c>
      <c r="O2" s="6" t="s">
        <v>48</v>
      </c>
      <c r="P2" s="6" t="s">
        <v>23</v>
      </c>
      <c r="Q2" s="6" t="s">
        <v>25</v>
      </c>
      <c r="R2" s="6" t="s">
        <v>40</v>
      </c>
      <c r="S2" s="6" t="s">
        <v>42</v>
      </c>
      <c r="T2" s="6" t="s">
        <v>49</v>
      </c>
      <c r="U2" s="6" t="s">
        <v>47</v>
      </c>
      <c r="V2" s="6" t="s">
        <v>46</v>
      </c>
      <c r="W2" s="6" t="s">
        <v>33</v>
      </c>
      <c r="X2" s="6" t="s">
        <v>30</v>
      </c>
      <c r="Y2" s="6" t="s">
        <v>38</v>
      </c>
      <c r="Z2" s="6" t="s">
        <v>50</v>
      </c>
      <c r="AA2" s="6" t="s">
        <v>35</v>
      </c>
      <c r="AB2" s="6" t="s">
        <v>29</v>
      </c>
      <c r="AC2" s="6" t="s">
        <v>31</v>
      </c>
      <c r="AD2" s="6" t="s">
        <v>37</v>
      </c>
      <c r="AE2" s="6" t="s">
        <v>32</v>
      </c>
      <c r="AF2" s="6" t="s">
        <v>39</v>
      </c>
      <c r="AG2" s="6" t="s">
        <v>34</v>
      </c>
      <c r="AH2" s="4" t="s">
        <v>52</v>
      </c>
      <c r="AI2" s="4" t="s">
        <v>53</v>
      </c>
    </row>
    <row r="3" spans="1:35" x14ac:dyDescent="0.2">
      <c r="A3" s="3"/>
      <c r="B3" s="3" t="s">
        <v>0</v>
      </c>
      <c r="C3" s="3">
        <v>1</v>
      </c>
      <c r="D3" s="3">
        <v>1</v>
      </c>
      <c r="E3" s="21">
        <v>0.280000001</v>
      </c>
      <c r="F3" s="2">
        <v>0.920000017</v>
      </c>
      <c r="G3" s="2">
        <v>0.310000002</v>
      </c>
      <c r="H3" s="2">
        <v>0.810000002</v>
      </c>
      <c r="I3" s="2">
        <v>1</v>
      </c>
      <c r="J3" s="2">
        <v>0.790000021</v>
      </c>
      <c r="K3" s="2">
        <v>1</v>
      </c>
      <c r="L3" s="2">
        <v>0.790000021</v>
      </c>
      <c r="M3" s="2">
        <v>0</v>
      </c>
      <c r="N3" s="2">
        <v>0.61000001400000003</v>
      </c>
      <c r="O3" s="2">
        <v>2.9999998999999999E-2</v>
      </c>
      <c r="P3" s="2">
        <v>5.0000001000000002E-2</v>
      </c>
      <c r="Q3" s="2">
        <v>0.310000002</v>
      </c>
      <c r="R3" s="2">
        <v>0.540000021</v>
      </c>
      <c r="S3" s="2">
        <v>0.20000000300000001</v>
      </c>
      <c r="T3" s="2">
        <v>0.02</v>
      </c>
      <c r="U3" s="2">
        <v>9.0000003999999995E-2</v>
      </c>
      <c r="V3" s="2">
        <v>0.30000001199999998</v>
      </c>
      <c r="W3" s="2">
        <v>0.01</v>
      </c>
      <c r="X3" s="2">
        <v>0.01</v>
      </c>
      <c r="Y3" s="2">
        <v>0.37000000500000002</v>
      </c>
      <c r="Z3" s="2">
        <v>0</v>
      </c>
      <c r="AA3" s="2">
        <v>0.01</v>
      </c>
      <c r="AB3" s="21">
        <v>0</v>
      </c>
      <c r="AC3" s="2">
        <v>0.01</v>
      </c>
      <c r="AD3" s="2">
        <v>0.209999993</v>
      </c>
      <c r="AE3" s="2">
        <v>0.01</v>
      </c>
      <c r="AF3" s="2">
        <v>0</v>
      </c>
      <c r="AG3" s="2">
        <v>0.01</v>
      </c>
      <c r="AH3" s="3"/>
      <c r="AI3" s="3"/>
    </row>
    <row r="4" spans="1:35" x14ac:dyDescent="0.2">
      <c r="A4" s="3"/>
      <c r="B4" s="3" t="s">
        <v>1</v>
      </c>
      <c r="C4" s="3">
        <v>2</v>
      </c>
      <c r="D4" s="3">
        <v>2</v>
      </c>
      <c r="E4" s="21">
        <v>0.63</v>
      </c>
      <c r="F4" s="13">
        <v>0.83</v>
      </c>
      <c r="G4" s="13">
        <v>0.6</v>
      </c>
      <c r="H4" s="13">
        <v>0.21</v>
      </c>
      <c r="I4" s="13">
        <v>0.98</v>
      </c>
      <c r="J4" s="13">
        <v>0.38</v>
      </c>
      <c r="K4" s="13">
        <v>0.98</v>
      </c>
      <c r="L4" s="13">
        <v>0.86</v>
      </c>
      <c r="M4" s="13">
        <v>0.69</v>
      </c>
      <c r="N4" s="13">
        <v>0.61</v>
      </c>
      <c r="O4" s="13">
        <v>0.93</v>
      </c>
      <c r="P4" s="13">
        <v>0.21</v>
      </c>
      <c r="Q4" s="13">
        <v>0.18</v>
      </c>
      <c r="R4" s="13">
        <v>0</v>
      </c>
      <c r="S4" s="13">
        <v>0.61</v>
      </c>
      <c r="T4" s="13">
        <v>0.7</v>
      </c>
      <c r="U4" s="13">
        <v>0.05</v>
      </c>
      <c r="V4" s="13">
        <v>0.44</v>
      </c>
      <c r="W4" s="13">
        <v>0.91</v>
      </c>
      <c r="X4" s="13">
        <v>0.12</v>
      </c>
      <c r="Y4" s="13">
        <v>0.32</v>
      </c>
      <c r="Z4" s="13">
        <v>0.08</v>
      </c>
      <c r="AA4" s="13">
        <v>0.38</v>
      </c>
      <c r="AB4" s="21">
        <v>0.49</v>
      </c>
      <c r="AC4" s="13">
        <v>0.45</v>
      </c>
      <c r="AD4" s="13">
        <v>0.21</v>
      </c>
      <c r="AE4" s="13">
        <v>0.2</v>
      </c>
      <c r="AF4" s="13">
        <v>0</v>
      </c>
      <c r="AG4" s="13">
        <v>0</v>
      </c>
      <c r="AH4" s="3"/>
      <c r="AI4" s="3"/>
    </row>
    <row r="5" spans="1:35" x14ac:dyDescent="0.2">
      <c r="A5" s="3"/>
      <c r="B5" s="3" t="s">
        <v>2</v>
      </c>
      <c r="C5" s="3">
        <v>1</v>
      </c>
      <c r="D5" s="3">
        <v>1</v>
      </c>
      <c r="E5" s="21">
        <v>0.25</v>
      </c>
      <c r="F5" s="13">
        <v>0.06</v>
      </c>
      <c r="G5" s="13">
        <v>0.09</v>
      </c>
      <c r="H5" s="13">
        <v>0.02</v>
      </c>
      <c r="I5" s="13">
        <v>0</v>
      </c>
      <c r="J5" s="13">
        <v>0</v>
      </c>
      <c r="K5" s="13">
        <v>0</v>
      </c>
      <c r="L5" s="13">
        <v>0.12</v>
      </c>
      <c r="M5" s="13">
        <v>0</v>
      </c>
      <c r="N5" s="13">
        <v>0.12</v>
      </c>
      <c r="O5" s="13">
        <v>0</v>
      </c>
      <c r="P5" s="13">
        <v>0.12</v>
      </c>
      <c r="Q5" s="13">
        <v>0</v>
      </c>
      <c r="R5" s="13">
        <v>0.56000000000000005</v>
      </c>
      <c r="S5" s="13">
        <v>0</v>
      </c>
      <c r="T5" s="13">
        <v>0</v>
      </c>
      <c r="U5" s="13">
        <v>0</v>
      </c>
      <c r="V5" s="13">
        <v>0</v>
      </c>
      <c r="W5" s="13">
        <v>0.01</v>
      </c>
      <c r="X5" s="13">
        <v>0.45</v>
      </c>
      <c r="Y5" s="13">
        <v>7.0000000000000007E-2</v>
      </c>
      <c r="Z5" s="13">
        <v>0</v>
      </c>
      <c r="AA5" s="13">
        <v>0.01</v>
      </c>
      <c r="AB5" s="21">
        <v>0</v>
      </c>
      <c r="AC5" s="13">
        <v>0.02</v>
      </c>
      <c r="AD5" s="13">
        <v>0.02</v>
      </c>
      <c r="AE5" s="13">
        <v>0.22</v>
      </c>
      <c r="AF5" s="13">
        <v>0.01</v>
      </c>
      <c r="AG5" s="13">
        <v>0.02</v>
      </c>
      <c r="AH5" s="3"/>
      <c r="AI5" s="3"/>
    </row>
    <row r="6" spans="1:35" x14ac:dyDescent="0.2">
      <c r="A6" s="3"/>
      <c r="B6" s="3" t="s">
        <v>3</v>
      </c>
      <c r="C6" s="3">
        <v>2</v>
      </c>
      <c r="D6" s="3">
        <v>2</v>
      </c>
      <c r="E6" s="21">
        <v>0.560000002</v>
      </c>
      <c r="F6" s="18">
        <v>0.560000002</v>
      </c>
      <c r="G6" s="18">
        <v>0.980000019</v>
      </c>
      <c r="H6" s="18">
        <v>1</v>
      </c>
      <c r="I6" s="18">
        <v>1</v>
      </c>
      <c r="J6" s="18">
        <v>1</v>
      </c>
      <c r="K6" s="18">
        <v>1</v>
      </c>
      <c r="L6" s="18">
        <v>0.709999979</v>
      </c>
      <c r="M6" s="18">
        <v>0.579999983</v>
      </c>
      <c r="N6" s="18">
        <v>1</v>
      </c>
      <c r="O6" s="18">
        <v>1</v>
      </c>
      <c r="P6" s="18">
        <v>0.560000002</v>
      </c>
      <c r="Q6" s="18">
        <v>0.52999997099999996</v>
      </c>
      <c r="R6" s="18">
        <v>0.280000001</v>
      </c>
      <c r="S6" s="18">
        <v>0.85000002399999997</v>
      </c>
      <c r="T6" s="18">
        <v>1</v>
      </c>
      <c r="U6" s="18">
        <v>1</v>
      </c>
      <c r="V6" s="18">
        <v>0.41999998700000002</v>
      </c>
      <c r="W6" s="18">
        <v>0.63999998599999997</v>
      </c>
      <c r="X6" s="18">
        <v>0.47999998900000002</v>
      </c>
      <c r="Y6" s="18">
        <v>0.94999998799999996</v>
      </c>
      <c r="Z6" s="18">
        <v>0</v>
      </c>
      <c r="AA6" s="18">
        <v>0</v>
      </c>
      <c r="AB6" s="21">
        <v>0</v>
      </c>
      <c r="AC6" s="18">
        <v>0</v>
      </c>
      <c r="AD6" s="18">
        <v>0</v>
      </c>
      <c r="AE6" s="18">
        <v>0</v>
      </c>
      <c r="AF6" s="18">
        <v>0.01</v>
      </c>
      <c r="AG6" s="18">
        <v>0</v>
      </c>
      <c r="AH6" s="3"/>
      <c r="AI6" s="3"/>
    </row>
    <row r="7" spans="1:35" x14ac:dyDescent="0.2">
      <c r="A7" s="3"/>
      <c r="B7" s="3" t="s">
        <v>4</v>
      </c>
      <c r="C7" s="3">
        <v>1</v>
      </c>
      <c r="D7" s="3">
        <v>1</v>
      </c>
      <c r="E7" s="21">
        <v>0.64999997600000003</v>
      </c>
      <c r="F7" s="18">
        <v>0.77999997099999996</v>
      </c>
      <c r="G7" s="18">
        <v>0.83999997400000004</v>
      </c>
      <c r="H7" s="18">
        <v>0.730000019</v>
      </c>
      <c r="I7" s="18">
        <v>0.62000000499999997</v>
      </c>
      <c r="J7" s="18">
        <v>0.689999998</v>
      </c>
      <c r="K7" s="18">
        <v>0.85000002399999997</v>
      </c>
      <c r="L7" s="18">
        <v>0.75999998999999996</v>
      </c>
      <c r="M7" s="18">
        <v>0.56999999300000004</v>
      </c>
      <c r="N7" s="18">
        <v>0.730000019</v>
      </c>
      <c r="O7" s="18">
        <v>0.72000002900000004</v>
      </c>
      <c r="P7" s="18">
        <v>0.72000002900000004</v>
      </c>
      <c r="Q7" s="18">
        <v>0.60000002399999997</v>
      </c>
      <c r="R7" s="18">
        <v>0.310000002</v>
      </c>
      <c r="S7" s="18">
        <v>0.25999999000000001</v>
      </c>
      <c r="T7" s="18">
        <v>0.75</v>
      </c>
      <c r="U7" s="18">
        <v>0.69999998799999996</v>
      </c>
      <c r="V7" s="18">
        <v>0.23999999499999999</v>
      </c>
      <c r="W7" s="18">
        <v>0.280000001</v>
      </c>
      <c r="X7" s="18">
        <v>0.56999999300000004</v>
      </c>
      <c r="Y7" s="18">
        <v>0.280000001</v>
      </c>
      <c r="Z7" s="18">
        <v>0.81999999300000004</v>
      </c>
      <c r="AA7" s="18">
        <v>0.41999998700000002</v>
      </c>
      <c r="AB7" s="21">
        <v>0.15000000599999999</v>
      </c>
      <c r="AC7" s="18">
        <v>0.33000001299999998</v>
      </c>
      <c r="AD7" s="18">
        <v>0.40999999599999998</v>
      </c>
      <c r="AE7" s="18">
        <v>0.12999999500000001</v>
      </c>
      <c r="AF7" s="18">
        <v>0.23999999499999999</v>
      </c>
      <c r="AG7" s="18">
        <v>0.119999997</v>
      </c>
      <c r="AH7" s="3"/>
      <c r="AI7" s="3"/>
    </row>
    <row r="8" spans="1:35" x14ac:dyDescent="0.2">
      <c r="A8" s="3"/>
      <c r="B8" s="3" t="s">
        <v>5</v>
      </c>
      <c r="C8" s="3">
        <v>2</v>
      </c>
      <c r="D8" s="3">
        <v>2</v>
      </c>
      <c r="E8" s="21">
        <v>0.52</v>
      </c>
      <c r="F8" s="18">
        <v>0.8</v>
      </c>
      <c r="G8" s="18">
        <v>0.14000000000000001</v>
      </c>
      <c r="H8" s="18">
        <v>0.22</v>
      </c>
      <c r="I8" s="18">
        <v>0.64</v>
      </c>
      <c r="J8" s="18">
        <v>7.0000000000000007E-2</v>
      </c>
      <c r="K8" s="18">
        <v>0.67</v>
      </c>
      <c r="L8" s="18">
        <v>0.12</v>
      </c>
      <c r="M8" s="18">
        <v>0.56999999999999995</v>
      </c>
      <c r="N8" s="18">
        <v>0.12</v>
      </c>
      <c r="O8" s="18">
        <v>7.0000000000000007E-2</v>
      </c>
      <c r="P8" s="18">
        <v>0.61</v>
      </c>
      <c r="Q8" s="18">
        <v>0.17</v>
      </c>
      <c r="R8" s="18">
        <v>0.42</v>
      </c>
      <c r="S8" s="18">
        <v>0.27</v>
      </c>
      <c r="T8" s="18">
        <v>7.0000000000000007E-2</v>
      </c>
      <c r="U8" s="18">
        <v>7.0000000000000007E-2</v>
      </c>
      <c r="V8" s="18">
        <v>7.0000000000000007E-2</v>
      </c>
      <c r="W8" s="18">
        <v>0.12</v>
      </c>
      <c r="X8" s="18">
        <v>0.12</v>
      </c>
      <c r="Y8" s="18">
        <v>0.04</v>
      </c>
      <c r="Z8" s="18">
        <v>7.0000000000000007E-2</v>
      </c>
      <c r="AA8" s="18">
        <v>0.12</v>
      </c>
      <c r="AB8" s="21">
        <v>0.12</v>
      </c>
      <c r="AC8" s="18">
        <v>0.12</v>
      </c>
      <c r="AD8" s="18">
        <v>0.04</v>
      </c>
      <c r="AE8" s="18">
        <v>0.12</v>
      </c>
      <c r="AF8" s="18">
        <v>0.04</v>
      </c>
      <c r="AG8" s="18">
        <v>0.12</v>
      </c>
      <c r="AH8" s="3"/>
      <c r="AI8" s="3"/>
    </row>
    <row r="9" spans="1:35" x14ac:dyDescent="0.2">
      <c r="A9" s="3"/>
      <c r="B9" s="3" t="s">
        <v>6</v>
      </c>
      <c r="C9" s="3">
        <v>1</v>
      </c>
      <c r="D9" s="3">
        <v>1</v>
      </c>
      <c r="E9" s="21">
        <v>0.17</v>
      </c>
      <c r="F9" s="18">
        <v>0.06</v>
      </c>
      <c r="G9" s="18">
        <v>0.2</v>
      </c>
      <c r="H9" s="18">
        <v>1</v>
      </c>
      <c r="I9" s="18">
        <v>0.31</v>
      </c>
      <c r="J9" s="18">
        <v>0.06</v>
      </c>
      <c r="K9" s="18">
        <v>0.01</v>
      </c>
      <c r="L9" s="18">
        <v>0.11</v>
      </c>
      <c r="M9" s="18">
        <v>0.15</v>
      </c>
      <c r="N9" s="18">
        <v>0.14000000000000001</v>
      </c>
      <c r="O9" s="18">
        <v>0</v>
      </c>
      <c r="P9" s="18">
        <v>0.06</v>
      </c>
      <c r="Q9" s="18">
        <v>0.18</v>
      </c>
      <c r="R9" s="18">
        <v>0.48</v>
      </c>
      <c r="S9" s="18">
        <v>0.12</v>
      </c>
      <c r="T9" s="18">
        <v>0</v>
      </c>
      <c r="U9" s="18">
        <v>0</v>
      </c>
      <c r="V9" s="18">
        <v>0</v>
      </c>
      <c r="W9" s="18">
        <v>0.34</v>
      </c>
      <c r="X9" s="18">
        <v>0.33</v>
      </c>
      <c r="Y9" s="18">
        <v>0</v>
      </c>
      <c r="Z9" s="18">
        <v>0</v>
      </c>
      <c r="AA9" s="18">
        <v>0</v>
      </c>
      <c r="AB9" s="21">
        <v>0.03</v>
      </c>
      <c r="AC9" s="18">
        <v>0.28999999999999998</v>
      </c>
      <c r="AD9" s="18">
        <v>0</v>
      </c>
      <c r="AE9" s="18">
        <v>0.01</v>
      </c>
      <c r="AF9" s="18">
        <v>0</v>
      </c>
      <c r="AG9" s="18">
        <v>0</v>
      </c>
      <c r="AH9" s="3"/>
      <c r="AI9" s="3"/>
    </row>
    <row r="10" spans="1:35" x14ac:dyDescent="0.2">
      <c r="A10" s="3"/>
      <c r="B10" s="3" t="s">
        <v>8</v>
      </c>
      <c r="C10" s="3">
        <v>1</v>
      </c>
      <c r="D10" s="3">
        <v>1</v>
      </c>
      <c r="E10" s="21">
        <v>0.74000001000000004</v>
      </c>
      <c r="F10" s="18">
        <v>0.85000002399999997</v>
      </c>
      <c r="G10" s="18">
        <v>1</v>
      </c>
      <c r="H10" s="18">
        <v>1</v>
      </c>
      <c r="I10" s="18">
        <v>0.89999997600000003</v>
      </c>
      <c r="J10" s="18">
        <v>1</v>
      </c>
      <c r="K10" s="18">
        <v>0.52999997099999996</v>
      </c>
      <c r="L10" s="18">
        <v>0.18000000699999999</v>
      </c>
      <c r="M10" s="18">
        <v>0.439999998</v>
      </c>
      <c r="N10" s="18">
        <v>0.18000000699999999</v>
      </c>
      <c r="O10" s="18">
        <v>0.27000001099999998</v>
      </c>
      <c r="P10" s="18">
        <v>0.62000000499999997</v>
      </c>
      <c r="Q10" s="18">
        <v>1</v>
      </c>
      <c r="R10" s="18">
        <v>0</v>
      </c>
      <c r="S10" s="18">
        <v>1</v>
      </c>
      <c r="T10" s="18">
        <v>0</v>
      </c>
      <c r="U10" s="18">
        <v>0.280000001</v>
      </c>
      <c r="V10" s="18">
        <v>0.310000002</v>
      </c>
      <c r="W10" s="18">
        <v>1</v>
      </c>
      <c r="X10" s="18">
        <v>0.119999997</v>
      </c>
      <c r="Y10" s="18">
        <v>0.27000001099999998</v>
      </c>
      <c r="Z10" s="18">
        <v>0</v>
      </c>
      <c r="AA10" s="18">
        <v>0.50999998999999996</v>
      </c>
      <c r="AB10" s="21">
        <v>0.790000021</v>
      </c>
      <c r="AC10" s="18">
        <v>0.01</v>
      </c>
      <c r="AD10" s="18">
        <v>0</v>
      </c>
      <c r="AE10" s="18">
        <v>0</v>
      </c>
      <c r="AF10" s="18">
        <v>0</v>
      </c>
      <c r="AG10" s="18">
        <v>0</v>
      </c>
      <c r="AH10" s="3"/>
      <c r="AI10" s="3"/>
    </row>
    <row r="11" spans="1:35" x14ac:dyDescent="0.2">
      <c r="A11" s="3"/>
      <c r="B11" s="3" t="s">
        <v>9</v>
      </c>
      <c r="C11" s="3">
        <v>2</v>
      </c>
      <c r="D11" s="3">
        <v>2</v>
      </c>
      <c r="E11" s="21">
        <v>0.64</v>
      </c>
      <c r="F11" s="18">
        <v>0.39</v>
      </c>
      <c r="G11" s="18">
        <v>0.59</v>
      </c>
      <c r="H11" s="18">
        <v>0.7</v>
      </c>
      <c r="I11" s="18">
        <v>0.94</v>
      </c>
      <c r="J11" s="18">
        <v>0.08</v>
      </c>
      <c r="K11" s="18">
        <v>0.53</v>
      </c>
      <c r="L11" s="18">
        <v>0.66</v>
      </c>
      <c r="M11" s="18">
        <v>0.46</v>
      </c>
      <c r="N11" s="18">
        <v>0.56999999999999995</v>
      </c>
      <c r="O11" s="18">
        <v>0.33</v>
      </c>
      <c r="P11" s="18">
        <v>0.19</v>
      </c>
      <c r="Q11" s="18">
        <v>0.66</v>
      </c>
      <c r="R11" s="18">
        <v>0.24</v>
      </c>
      <c r="S11" s="18">
        <v>0.41</v>
      </c>
      <c r="T11" s="18">
        <v>0</v>
      </c>
      <c r="U11" s="18">
        <v>0.23</v>
      </c>
      <c r="V11" s="18">
        <v>0.12</v>
      </c>
      <c r="W11" s="18">
        <v>0.19</v>
      </c>
      <c r="X11" s="18">
        <v>0.4</v>
      </c>
      <c r="Y11" s="18">
        <v>0.2</v>
      </c>
      <c r="Z11" s="18">
        <v>0</v>
      </c>
      <c r="AA11" s="18">
        <v>0</v>
      </c>
      <c r="AB11" s="21">
        <v>0</v>
      </c>
      <c r="AC11" s="18">
        <v>0</v>
      </c>
      <c r="AD11" s="18">
        <v>0.52</v>
      </c>
      <c r="AE11" s="18">
        <v>0</v>
      </c>
      <c r="AF11" s="18">
        <v>0</v>
      </c>
      <c r="AG11" s="18">
        <v>0.02</v>
      </c>
      <c r="AH11" s="3"/>
      <c r="AI11" s="3"/>
    </row>
    <row r="12" spans="1:35" x14ac:dyDescent="0.2">
      <c r="A12" s="3"/>
      <c r="B12" s="3" t="s">
        <v>10</v>
      </c>
      <c r="C12" s="3">
        <v>1</v>
      </c>
      <c r="D12" s="3">
        <v>1</v>
      </c>
      <c r="E12" s="21">
        <v>0.40000000600000002</v>
      </c>
      <c r="F12" s="18">
        <v>0.540000021</v>
      </c>
      <c r="G12" s="18">
        <v>0.46000000800000002</v>
      </c>
      <c r="H12" s="18">
        <v>0.58999997400000004</v>
      </c>
      <c r="I12" s="18">
        <v>0.34000000400000002</v>
      </c>
      <c r="J12" s="18">
        <v>0.20000000300000001</v>
      </c>
      <c r="K12" s="18">
        <v>0.560000002</v>
      </c>
      <c r="L12" s="18">
        <v>0.01</v>
      </c>
      <c r="M12" s="18">
        <v>0.62000000499999997</v>
      </c>
      <c r="N12" s="18">
        <v>0.43000000700000002</v>
      </c>
      <c r="O12" s="18">
        <v>0.33000001299999998</v>
      </c>
      <c r="P12" s="18">
        <v>0.579999983</v>
      </c>
      <c r="Q12" s="18">
        <v>0.10000000100000001</v>
      </c>
      <c r="R12" s="18">
        <v>0.20000000300000001</v>
      </c>
      <c r="S12" s="18">
        <v>0.18000000699999999</v>
      </c>
      <c r="T12" s="18">
        <v>0.02</v>
      </c>
      <c r="U12" s="18">
        <v>0.33000001299999998</v>
      </c>
      <c r="V12" s="18">
        <v>0.33000001299999998</v>
      </c>
      <c r="W12" s="18">
        <v>0.709999979</v>
      </c>
      <c r="X12" s="18">
        <v>0.10000000100000001</v>
      </c>
      <c r="Y12" s="18">
        <v>0.25</v>
      </c>
      <c r="Z12" s="18">
        <v>0.15999999600000001</v>
      </c>
      <c r="AA12" s="18">
        <v>0.30000001199999998</v>
      </c>
      <c r="AB12" s="21">
        <v>0.119999997</v>
      </c>
      <c r="AC12" s="18">
        <v>0.02</v>
      </c>
      <c r="AD12" s="18">
        <v>0.01</v>
      </c>
      <c r="AE12" s="18">
        <v>0.02</v>
      </c>
      <c r="AF12" s="18">
        <v>0</v>
      </c>
      <c r="AG12" s="18">
        <v>3.9999999000000001E-2</v>
      </c>
      <c r="AH12" s="3"/>
      <c r="AI12" s="3"/>
    </row>
    <row r="13" spans="1:35" x14ac:dyDescent="0.2">
      <c r="A13" s="3"/>
      <c r="B13" s="3" t="s">
        <v>11</v>
      </c>
      <c r="C13" s="3">
        <v>2</v>
      </c>
      <c r="D13" s="3">
        <v>2</v>
      </c>
      <c r="E13" s="21">
        <v>0.37</v>
      </c>
      <c r="F13" s="18">
        <v>0.75</v>
      </c>
      <c r="G13" s="18">
        <v>0.44</v>
      </c>
      <c r="H13" s="18">
        <v>0.52</v>
      </c>
      <c r="I13" s="18">
        <v>0</v>
      </c>
      <c r="J13" s="18">
        <v>1</v>
      </c>
      <c r="K13" s="18">
        <v>0</v>
      </c>
      <c r="L13" s="18">
        <v>0.43</v>
      </c>
      <c r="M13" s="18">
        <v>0</v>
      </c>
      <c r="N13" s="18">
        <v>0</v>
      </c>
      <c r="O13" s="18">
        <v>0.22</v>
      </c>
      <c r="P13" s="18">
        <v>0.36</v>
      </c>
      <c r="Q13" s="18">
        <v>0</v>
      </c>
      <c r="R13" s="18">
        <v>0.41</v>
      </c>
      <c r="S13" s="18">
        <v>0.26</v>
      </c>
      <c r="T13" s="18">
        <v>0.38</v>
      </c>
      <c r="U13" s="18">
        <v>0</v>
      </c>
      <c r="V13" s="18">
        <v>0.35</v>
      </c>
      <c r="W13" s="18">
        <v>0</v>
      </c>
      <c r="X13" s="18">
        <v>0</v>
      </c>
      <c r="Y13" s="18">
        <v>0.08</v>
      </c>
      <c r="Z13" s="18">
        <v>0.56999999999999995</v>
      </c>
      <c r="AA13" s="18">
        <v>0</v>
      </c>
      <c r="AB13" s="21">
        <v>0</v>
      </c>
      <c r="AC13" s="18">
        <v>0</v>
      </c>
      <c r="AD13" s="18">
        <v>0.22</v>
      </c>
      <c r="AE13" s="18">
        <v>0</v>
      </c>
      <c r="AF13" s="18">
        <v>0</v>
      </c>
      <c r="AG13" s="18">
        <v>0</v>
      </c>
      <c r="AH13" s="3"/>
      <c r="AI13" s="3"/>
    </row>
    <row r="14" spans="1:35" x14ac:dyDescent="0.2">
      <c r="A14" s="3"/>
      <c r="B14" s="3" t="s">
        <v>12</v>
      </c>
      <c r="C14" s="3">
        <v>1</v>
      </c>
      <c r="D14" s="3">
        <v>1</v>
      </c>
      <c r="E14" s="21">
        <v>0.360000014305</v>
      </c>
      <c r="F14" s="18">
        <v>0.439999997616</v>
      </c>
      <c r="G14" s="18">
        <v>0.63999998569500005</v>
      </c>
      <c r="H14" s="18">
        <v>0.14000000059600001</v>
      </c>
      <c r="I14" s="18">
        <v>0.47999998927100002</v>
      </c>
      <c r="J14" s="18">
        <v>0.81999999284699998</v>
      </c>
      <c r="K14" s="18">
        <v>0.43000000715300002</v>
      </c>
      <c r="L14" s="18">
        <v>0.83999997377400004</v>
      </c>
      <c r="M14" s="18">
        <v>0.49000000953700001</v>
      </c>
      <c r="N14" s="18">
        <v>0.40999999642399998</v>
      </c>
      <c r="O14" s="18">
        <v>0</v>
      </c>
      <c r="P14" s="18">
        <v>0.34999999403999998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0.239999994636</v>
      </c>
      <c r="W14" s="18">
        <v>0</v>
      </c>
      <c r="X14" s="18">
        <v>0.68000000715300002</v>
      </c>
      <c r="Y14" s="18">
        <v>0</v>
      </c>
      <c r="Z14" s="18">
        <v>0</v>
      </c>
      <c r="AA14" s="18">
        <v>0</v>
      </c>
      <c r="AB14" s="21">
        <v>0</v>
      </c>
      <c r="AC14" s="18">
        <v>0.12999999523200001</v>
      </c>
      <c r="AD14" s="18">
        <v>0</v>
      </c>
      <c r="AE14" s="18">
        <v>0.40000000596000002</v>
      </c>
      <c r="AF14" s="18">
        <v>0.579999983311</v>
      </c>
      <c r="AG14" s="18">
        <v>0</v>
      </c>
      <c r="AH14" s="3"/>
      <c r="AI14" s="3"/>
    </row>
    <row r="15" spans="1:35" x14ac:dyDescent="0.2">
      <c r="A15" s="3"/>
      <c r="B15" s="3" t="s">
        <v>13</v>
      </c>
      <c r="C15" s="3">
        <v>2</v>
      </c>
      <c r="D15" s="3">
        <v>2</v>
      </c>
      <c r="E15" s="21">
        <v>2.99999993294E-2</v>
      </c>
      <c r="F15" s="18">
        <v>2.99999993294E-2</v>
      </c>
      <c r="G15" s="18">
        <v>0.219999998808</v>
      </c>
      <c r="H15" s="18">
        <v>0</v>
      </c>
      <c r="I15" s="18">
        <v>1.9999999553000001E-2</v>
      </c>
      <c r="J15" s="18">
        <v>1.9999999553000001E-2</v>
      </c>
      <c r="K15" s="18">
        <v>1.9999999553000001E-2</v>
      </c>
      <c r="L15" s="18">
        <v>0.219999998808</v>
      </c>
      <c r="M15" s="18">
        <v>0.15999999642400001</v>
      </c>
      <c r="N15" s="18">
        <v>0</v>
      </c>
      <c r="O15" s="18">
        <v>0.12999999523200001</v>
      </c>
      <c r="P15" s="18">
        <v>2.99999993294E-2</v>
      </c>
      <c r="Q15" s="18">
        <v>2.99999993294E-2</v>
      </c>
      <c r="R15" s="18">
        <v>0.89999997615799998</v>
      </c>
      <c r="S15" s="18">
        <v>1.9999999553000001E-2</v>
      </c>
      <c r="T15" s="18">
        <v>1.9999999553000001E-2</v>
      </c>
      <c r="U15" s="18">
        <v>9.9999997764800008E-3</v>
      </c>
      <c r="V15" s="18">
        <v>9.9999997764800008E-3</v>
      </c>
      <c r="W15" s="18">
        <v>0</v>
      </c>
      <c r="X15" s="18">
        <v>0</v>
      </c>
      <c r="Y15" s="18">
        <v>3.9999999105899998E-2</v>
      </c>
      <c r="Z15" s="18">
        <v>9.9999997764800008E-3</v>
      </c>
      <c r="AA15" s="18">
        <v>0</v>
      </c>
      <c r="AB15" s="21">
        <v>0</v>
      </c>
      <c r="AC15" s="18">
        <v>0</v>
      </c>
      <c r="AD15" s="18">
        <v>5.9999998658900003E-2</v>
      </c>
      <c r="AE15" s="18">
        <v>0</v>
      </c>
      <c r="AF15" s="18">
        <v>3.9999999105899998E-2</v>
      </c>
      <c r="AG15" s="18">
        <v>0</v>
      </c>
      <c r="AH15" s="3"/>
      <c r="AI15" s="3"/>
    </row>
    <row r="16" spans="1:35" x14ac:dyDescent="0.2">
      <c r="A16" s="3"/>
      <c r="B16" s="3" t="s">
        <v>14</v>
      </c>
      <c r="C16" s="3">
        <v>1</v>
      </c>
      <c r="D16" s="3">
        <v>1</v>
      </c>
      <c r="E16" s="21">
        <v>0.20000000300000001</v>
      </c>
      <c r="F16" s="18">
        <v>0.37999999499999998</v>
      </c>
      <c r="G16" s="18">
        <v>0.709999979</v>
      </c>
      <c r="H16" s="18">
        <v>0.540000021</v>
      </c>
      <c r="I16" s="18">
        <v>0.49000000999999999</v>
      </c>
      <c r="J16" s="18">
        <v>0.219999999</v>
      </c>
      <c r="K16" s="18">
        <v>0.55000001200000004</v>
      </c>
      <c r="L16" s="18">
        <v>0.34000000400000002</v>
      </c>
      <c r="M16" s="18">
        <v>0.61000001400000003</v>
      </c>
      <c r="N16" s="18">
        <v>0.209999993</v>
      </c>
      <c r="O16" s="18">
        <v>0.28999999199999998</v>
      </c>
      <c r="P16" s="18">
        <v>0.20000000300000001</v>
      </c>
      <c r="Q16" s="18">
        <v>0.60000002399999997</v>
      </c>
      <c r="R16" s="18">
        <v>0.15999999600000001</v>
      </c>
      <c r="S16" s="18">
        <v>0.61000001400000003</v>
      </c>
      <c r="T16" s="18">
        <v>3.9999999000000001E-2</v>
      </c>
      <c r="U16" s="18">
        <v>0.540000021</v>
      </c>
      <c r="V16" s="18">
        <v>0.49000000999999999</v>
      </c>
      <c r="W16" s="18">
        <v>0.119999997</v>
      </c>
      <c r="X16" s="18">
        <v>0.15999999600000001</v>
      </c>
      <c r="Y16" s="18">
        <v>0.10000000100000001</v>
      </c>
      <c r="Z16" s="18">
        <v>0.310000002</v>
      </c>
      <c r="AA16" s="18">
        <v>0</v>
      </c>
      <c r="AB16" s="21">
        <v>3.9999999000000001E-2</v>
      </c>
      <c r="AC16" s="18">
        <v>0</v>
      </c>
      <c r="AD16" s="18">
        <v>0</v>
      </c>
      <c r="AE16" s="18">
        <v>0.119999997</v>
      </c>
      <c r="AF16" s="18">
        <v>0</v>
      </c>
      <c r="AG16" s="18">
        <v>0</v>
      </c>
      <c r="AH16" s="3"/>
      <c r="AI16" s="3"/>
    </row>
    <row r="17" spans="1:35" x14ac:dyDescent="0.2">
      <c r="A17" s="3"/>
      <c r="B17" s="3" t="s">
        <v>15</v>
      </c>
      <c r="C17" s="3">
        <v>2</v>
      </c>
      <c r="D17" s="3">
        <v>2</v>
      </c>
      <c r="E17" s="21">
        <v>0.62999999500000003</v>
      </c>
      <c r="F17" s="18">
        <v>0.62999999500000003</v>
      </c>
      <c r="G17" s="18">
        <v>0.62999999500000003</v>
      </c>
      <c r="H17" s="18">
        <v>0.41999998700000002</v>
      </c>
      <c r="I17" s="18">
        <v>0.68000000699999996</v>
      </c>
      <c r="J17" s="18">
        <v>0.280000001</v>
      </c>
      <c r="K17" s="18">
        <v>0.670000017</v>
      </c>
      <c r="L17" s="18">
        <v>0.62999999500000003</v>
      </c>
      <c r="M17" s="18">
        <v>0.38999998600000002</v>
      </c>
      <c r="N17" s="18">
        <v>0.60000002399999997</v>
      </c>
      <c r="O17" s="18">
        <v>0.68000000699999996</v>
      </c>
      <c r="P17" s="18">
        <v>0.62999999500000003</v>
      </c>
      <c r="Q17" s="18">
        <v>0.62999999500000003</v>
      </c>
      <c r="R17" s="18">
        <v>0.23000000400000001</v>
      </c>
      <c r="S17" s="18">
        <v>0.25</v>
      </c>
      <c r="T17" s="18">
        <v>0.69999998799999996</v>
      </c>
      <c r="U17" s="18">
        <v>0.68000000699999996</v>
      </c>
      <c r="V17" s="18">
        <v>0.68000000699999996</v>
      </c>
      <c r="W17" s="18">
        <v>0.23000000400000001</v>
      </c>
      <c r="X17" s="18">
        <v>0.560000002</v>
      </c>
      <c r="Y17" s="18">
        <v>0.30000001199999998</v>
      </c>
      <c r="Z17" s="18">
        <v>0.68000000699999996</v>
      </c>
      <c r="AA17" s="18">
        <v>0.20000000300000001</v>
      </c>
      <c r="AB17" s="21">
        <v>0.560000002</v>
      </c>
      <c r="AC17" s="18">
        <v>0.560000002</v>
      </c>
      <c r="AD17" s="18">
        <v>0.209999993</v>
      </c>
      <c r="AE17" s="18">
        <v>0</v>
      </c>
      <c r="AF17" s="18">
        <v>0</v>
      </c>
      <c r="AG17" s="18">
        <v>0</v>
      </c>
      <c r="AH17" s="3"/>
      <c r="AI17" s="3"/>
    </row>
    <row r="18" spans="1:35" x14ac:dyDescent="0.2">
      <c r="A18" s="3"/>
      <c r="B18" s="3" t="s">
        <v>16</v>
      </c>
      <c r="C18" s="3">
        <v>1</v>
      </c>
      <c r="D18" s="3">
        <v>1</v>
      </c>
      <c r="E18" s="21">
        <v>0.87999999500000003</v>
      </c>
      <c r="F18" s="18">
        <v>1</v>
      </c>
      <c r="G18" s="18">
        <v>0.99000001000000004</v>
      </c>
      <c r="H18" s="18">
        <v>0.99000001000000004</v>
      </c>
      <c r="I18" s="18">
        <v>0.5</v>
      </c>
      <c r="J18" s="18">
        <v>0.97000002900000004</v>
      </c>
      <c r="K18" s="18">
        <v>0.80000001200000004</v>
      </c>
      <c r="L18" s="18">
        <v>0.64999997600000003</v>
      </c>
      <c r="M18" s="18">
        <v>0.89999997600000003</v>
      </c>
      <c r="N18" s="18">
        <v>0.20000000300000001</v>
      </c>
      <c r="O18" s="18">
        <v>0.75</v>
      </c>
      <c r="P18" s="18">
        <v>0.5</v>
      </c>
      <c r="Q18" s="18">
        <v>0.88999998599999997</v>
      </c>
      <c r="R18" s="18">
        <v>0.62000000499999997</v>
      </c>
      <c r="S18" s="18">
        <v>0.87999999500000003</v>
      </c>
      <c r="T18" s="18">
        <v>0.980000019</v>
      </c>
      <c r="U18" s="18">
        <v>0.97000002900000004</v>
      </c>
      <c r="V18" s="18">
        <v>0.89999997600000003</v>
      </c>
      <c r="W18" s="18">
        <v>0.209999993</v>
      </c>
      <c r="X18" s="18">
        <v>0.519999981</v>
      </c>
      <c r="Y18" s="18">
        <v>0.980000019</v>
      </c>
      <c r="Z18" s="18">
        <v>0.86000001400000003</v>
      </c>
      <c r="AA18" s="18">
        <v>0.810000002</v>
      </c>
      <c r="AB18" s="21">
        <v>0.50999998999999996</v>
      </c>
      <c r="AC18" s="18">
        <v>0.17000000200000001</v>
      </c>
      <c r="AD18" s="18">
        <v>0.49000000999999999</v>
      </c>
      <c r="AE18" s="18">
        <v>0.56999999300000004</v>
      </c>
      <c r="AF18" s="18">
        <v>2.9999998999999999E-2</v>
      </c>
      <c r="AG18" s="18">
        <v>0.14000000100000001</v>
      </c>
      <c r="AH18" s="3"/>
      <c r="AI18" s="3"/>
    </row>
    <row r="19" spans="1:35" x14ac:dyDescent="0.2">
      <c r="A19" s="3"/>
      <c r="B19" s="3" t="s">
        <v>17</v>
      </c>
      <c r="C19" s="3">
        <v>2</v>
      </c>
      <c r="D19" s="3">
        <v>2</v>
      </c>
      <c r="E19" s="21">
        <v>0.30000001199999998</v>
      </c>
      <c r="F19" s="18">
        <v>0.46000000800000002</v>
      </c>
      <c r="G19" s="18">
        <v>0.33000001299999998</v>
      </c>
      <c r="H19" s="18">
        <v>0.36000001399999998</v>
      </c>
      <c r="I19" s="18">
        <v>0.23999999499999999</v>
      </c>
      <c r="J19" s="18">
        <v>0.81999999300000004</v>
      </c>
      <c r="K19" s="18">
        <v>0.189999998</v>
      </c>
      <c r="L19" s="18">
        <v>0.33000001299999998</v>
      </c>
      <c r="M19" s="18">
        <v>0.23999999499999999</v>
      </c>
      <c r="N19" s="18">
        <v>0.18000000699999999</v>
      </c>
      <c r="O19" s="18">
        <v>0.209999993</v>
      </c>
      <c r="P19" s="18">
        <v>0.23999999499999999</v>
      </c>
      <c r="Q19" s="18">
        <v>0.10000000100000001</v>
      </c>
      <c r="R19" s="18">
        <v>0.689999998</v>
      </c>
      <c r="S19" s="18">
        <v>0.219999999</v>
      </c>
      <c r="T19" s="18">
        <v>0.25999999000000001</v>
      </c>
      <c r="U19" s="18">
        <v>0.23999999499999999</v>
      </c>
      <c r="V19" s="18">
        <v>0.23999999499999999</v>
      </c>
      <c r="W19" s="18">
        <v>0.23000000400000001</v>
      </c>
      <c r="X19" s="18">
        <v>0</v>
      </c>
      <c r="Y19" s="18">
        <v>0.20000000300000001</v>
      </c>
      <c r="Z19" s="18">
        <v>0.18000000699999999</v>
      </c>
      <c r="AA19" s="18">
        <v>0.20000000300000001</v>
      </c>
      <c r="AB19" s="21">
        <v>0</v>
      </c>
      <c r="AC19" s="18">
        <v>0.15000000599999999</v>
      </c>
      <c r="AD19" s="18">
        <v>0.01</v>
      </c>
      <c r="AE19" s="18">
        <v>0</v>
      </c>
      <c r="AF19" s="18">
        <v>0</v>
      </c>
      <c r="AG19" s="18">
        <v>0</v>
      </c>
      <c r="AH19" s="3"/>
      <c r="AI19" s="3"/>
    </row>
    <row r="20" spans="1:35" x14ac:dyDescent="0.2">
      <c r="A20" s="3"/>
      <c r="B20" s="3" t="s">
        <v>18</v>
      </c>
      <c r="C20" s="3">
        <v>1</v>
      </c>
      <c r="D20" s="3">
        <v>1</v>
      </c>
      <c r="E20" s="21">
        <v>0.87</v>
      </c>
      <c r="F20" s="18">
        <v>0.78</v>
      </c>
      <c r="G20" s="18">
        <v>0.77</v>
      </c>
      <c r="H20" s="18">
        <v>0.56999999999999995</v>
      </c>
      <c r="I20" s="18">
        <v>0.64</v>
      </c>
      <c r="J20" s="18">
        <v>0.85</v>
      </c>
      <c r="K20" s="18">
        <v>0.85</v>
      </c>
      <c r="L20" s="18">
        <v>0.85</v>
      </c>
      <c r="M20" s="18">
        <v>0.28999999999999998</v>
      </c>
      <c r="N20" s="18">
        <v>0.82</v>
      </c>
      <c r="O20" s="18">
        <v>0.73</v>
      </c>
      <c r="P20" s="18">
        <v>0.79</v>
      </c>
      <c r="Q20" s="18">
        <v>0.72</v>
      </c>
      <c r="R20" s="18">
        <v>0.72</v>
      </c>
      <c r="S20" s="18">
        <v>0.02</v>
      </c>
      <c r="T20" s="18">
        <v>0.66</v>
      </c>
      <c r="U20" s="18">
        <v>0.47</v>
      </c>
      <c r="V20" s="18">
        <v>0.16</v>
      </c>
      <c r="W20" s="18">
        <v>0.22</v>
      </c>
      <c r="X20" s="18">
        <v>0.31</v>
      </c>
      <c r="Y20" s="18">
        <v>0.2</v>
      </c>
      <c r="Z20" s="18">
        <v>0.3</v>
      </c>
      <c r="AA20" s="18">
        <v>0.02</v>
      </c>
      <c r="AB20" s="21">
        <v>0.48</v>
      </c>
      <c r="AC20" s="18">
        <v>0.03</v>
      </c>
      <c r="AD20" s="18">
        <v>0.02</v>
      </c>
      <c r="AE20" s="18">
        <v>0</v>
      </c>
      <c r="AF20" s="18">
        <v>0</v>
      </c>
      <c r="AG20" s="18">
        <v>0</v>
      </c>
      <c r="AH20" s="3"/>
      <c r="AI20" s="3"/>
    </row>
    <row r="21" spans="1:35" ht="16" thickBot="1" x14ac:dyDescent="0.25">
      <c r="A21" s="3"/>
      <c r="B21" s="3" t="s">
        <v>19</v>
      </c>
      <c r="C21" s="3">
        <v>2</v>
      </c>
      <c r="D21" s="3">
        <v>2</v>
      </c>
      <c r="E21" s="21">
        <v>0.75999999046300004</v>
      </c>
      <c r="F21" s="18">
        <v>0.44999998807899999</v>
      </c>
      <c r="G21" s="18">
        <v>0.69999998807899999</v>
      </c>
      <c r="H21" s="18">
        <v>0.73000001907300005</v>
      </c>
      <c r="I21" s="18">
        <v>0.58999997377400004</v>
      </c>
      <c r="J21" s="18">
        <v>0.98000001907300005</v>
      </c>
      <c r="K21" s="18">
        <v>0.5</v>
      </c>
      <c r="L21" s="18">
        <v>0.63999998569500005</v>
      </c>
      <c r="M21" s="18">
        <v>0.56999999284699998</v>
      </c>
      <c r="N21" s="18">
        <v>0.40999999642399998</v>
      </c>
      <c r="O21" s="18">
        <v>0.64999997615799998</v>
      </c>
      <c r="P21" s="18">
        <v>0.50999999046300004</v>
      </c>
      <c r="Q21" s="18">
        <v>0.439999997616</v>
      </c>
      <c r="R21" s="18">
        <v>0.10000000149</v>
      </c>
      <c r="S21" s="18">
        <v>0.52999997138999999</v>
      </c>
      <c r="T21" s="18">
        <v>0.50999999046300004</v>
      </c>
      <c r="U21" s="18">
        <v>0.389999985695</v>
      </c>
      <c r="V21" s="18">
        <v>0.55000001192100001</v>
      </c>
      <c r="W21" s="18">
        <v>0.61000001430499995</v>
      </c>
      <c r="X21" s="18">
        <v>0.37000000476799999</v>
      </c>
      <c r="Y21" s="18">
        <v>0.50999999046300004</v>
      </c>
      <c r="Z21" s="18">
        <v>0.68999999761599995</v>
      </c>
      <c r="AA21" s="18">
        <v>0.66000002622599996</v>
      </c>
      <c r="AB21" s="21">
        <v>0.28999999165500001</v>
      </c>
      <c r="AC21" s="18">
        <v>0.69999998807899999</v>
      </c>
      <c r="AD21" s="18">
        <v>9.0000003576300003E-2</v>
      </c>
      <c r="AE21" s="18">
        <v>0.119999997318</v>
      </c>
      <c r="AF21" s="18">
        <v>0.15999999642400001</v>
      </c>
      <c r="AG21" s="18">
        <v>0.10000000149</v>
      </c>
      <c r="AH21" s="3"/>
      <c r="AI21" s="3"/>
    </row>
    <row r="22" spans="1:35" ht="16" thickBot="1" x14ac:dyDescent="0.25">
      <c r="A22" s="4"/>
      <c r="B22" s="4" t="s">
        <v>52</v>
      </c>
      <c r="C22" s="4"/>
      <c r="D22" s="4"/>
      <c r="E22" s="6">
        <f t="shared" ref="E22:AG22" si="0">AVERAGE(E3:E21)</f>
        <v>0.48631578968933686</v>
      </c>
      <c r="F22" s="6">
        <f t="shared" si="0"/>
        <v>0.56368421147496839</v>
      </c>
      <c r="G22" s="6">
        <f t="shared" si="0"/>
        <v>0.55999999855694726</v>
      </c>
      <c r="H22" s="6">
        <f t="shared" si="0"/>
        <v>0.55526316035099998</v>
      </c>
      <c r="I22" s="6">
        <f t="shared" si="0"/>
        <v>0.54578947155778945</v>
      </c>
      <c r="J22" s="6">
        <f t="shared" si="0"/>
        <v>0.53842105555121056</v>
      </c>
      <c r="K22" s="6">
        <f t="shared" si="0"/>
        <v>0.53368421277399991</v>
      </c>
      <c r="L22" s="6">
        <f t="shared" si="0"/>
        <v>0.48684210227773689</v>
      </c>
      <c r="M22" s="6">
        <f t="shared" si="0"/>
        <v>0.40684210256884207</v>
      </c>
      <c r="N22" s="6">
        <f t="shared" si="0"/>
        <v>0.38631579299200014</v>
      </c>
      <c r="O22" s="6">
        <f t="shared" si="0"/>
        <v>0.38631579028368424</v>
      </c>
      <c r="P22" s="6">
        <f t="shared" si="0"/>
        <v>0.38578947351749476</v>
      </c>
      <c r="Q22" s="6">
        <f t="shared" si="0"/>
        <v>0.37578947373396843</v>
      </c>
      <c r="R22" s="6">
        <f t="shared" si="0"/>
        <v>0.36105263198147364</v>
      </c>
      <c r="S22" s="6">
        <f t="shared" si="0"/>
        <v>0.35210526331278941</v>
      </c>
      <c r="T22" s="6">
        <f t="shared" si="0"/>
        <v>0.32157894663242104</v>
      </c>
      <c r="U22" s="6">
        <f t="shared" si="0"/>
        <v>0.31842105491955158</v>
      </c>
      <c r="V22" s="6">
        <f t="shared" si="0"/>
        <v>0.30789473701755155</v>
      </c>
      <c r="W22" s="6">
        <f t="shared" si="0"/>
        <v>0.3068421041213158</v>
      </c>
      <c r="X22" s="6">
        <f t="shared" si="0"/>
        <v>0.27894736689057897</v>
      </c>
      <c r="Y22" s="6">
        <f t="shared" si="0"/>
        <v>0.27157894892467899</v>
      </c>
      <c r="Z22" s="6">
        <f t="shared" si="0"/>
        <v>0.24894736928381472</v>
      </c>
      <c r="AA22" s="6">
        <f t="shared" si="0"/>
        <v>0.19157894859084212</v>
      </c>
      <c r="AB22" s="6">
        <f t="shared" si="0"/>
        <v>0.18842105298184211</v>
      </c>
      <c r="AC22" s="6">
        <f t="shared" si="0"/>
        <v>0.15736842138478946</v>
      </c>
      <c r="AD22" s="6">
        <f t="shared" si="0"/>
        <v>0.13263157864395789</v>
      </c>
      <c r="AE22" s="6">
        <f t="shared" si="0"/>
        <v>0.10105263096200001</v>
      </c>
      <c r="AF22" s="6">
        <f t="shared" si="0"/>
        <v>5.842105120215263E-2</v>
      </c>
      <c r="AG22" s="6">
        <f t="shared" si="0"/>
        <v>2.9999999920526318E-2</v>
      </c>
      <c r="AH22" s="4"/>
      <c r="AI22" s="4"/>
    </row>
    <row r="23" spans="1:35" ht="16" thickBot="1" x14ac:dyDescent="0.25">
      <c r="A23" s="4"/>
      <c r="B23" s="4" t="s">
        <v>53</v>
      </c>
      <c r="C23" s="4"/>
      <c r="D23" s="4"/>
      <c r="E23" s="6">
        <f t="shared" ref="E23:AG23" si="1">STDEV(E3:E21)</f>
        <v>0.2472113447528273</v>
      </c>
      <c r="F23" s="6">
        <f t="shared" si="1"/>
        <v>0.29386713939541215</v>
      </c>
      <c r="G23" s="6">
        <f t="shared" si="1"/>
        <v>0.29017236157573306</v>
      </c>
      <c r="H23" s="6">
        <f t="shared" si="1"/>
        <v>0.33228783559645969</v>
      </c>
      <c r="I23" s="6">
        <f t="shared" si="1"/>
        <v>0.33320523733481527</v>
      </c>
      <c r="J23" s="6">
        <f t="shared" si="1"/>
        <v>0.4005033412260105</v>
      </c>
      <c r="K23" s="6">
        <f t="shared" si="1"/>
        <v>0.34809338885274793</v>
      </c>
      <c r="L23" s="6">
        <f t="shared" si="1"/>
        <v>0.29495861132741241</v>
      </c>
      <c r="M23" s="6">
        <f t="shared" si="1"/>
        <v>0.25776933113384676</v>
      </c>
      <c r="N23" s="6">
        <f t="shared" si="1"/>
        <v>0.29032951879331503</v>
      </c>
      <c r="O23" s="6">
        <f t="shared" si="1"/>
        <v>0.33483346767029659</v>
      </c>
      <c r="P23" s="6">
        <f t="shared" si="1"/>
        <v>0.24488808889400146</v>
      </c>
      <c r="Q23" s="6">
        <f t="shared" si="1"/>
        <v>0.32189224839015446</v>
      </c>
      <c r="R23" s="6">
        <f t="shared" si="1"/>
        <v>0.26381590055147686</v>
      </c>
      <c r="S23" s="6">
        <f t="shared" si="1"/>
        <v>0.31101230810020603</v>
      </c>
      <c r="T23" s="6">
        <f t="shared" si="1"/>
        <v>0.36919225990948051</v>
      </c>
      <c r="U23" s="6">
        <f t="shared" si="1"/>
        <v>0.32870559876346883</v>
      </c>
      <c r="V23" s="6">
        <f t="shared" si="1"/>
        <v>0.23794441173598052</v>
      </c>
      <c r="W23" s="6">
        <f t="shared" si="1"/>
        <v>0.31467889364678558</v>
      </c>
      <c r="X23" s="6">
        <f t="shared" si="1"/>
        <v>0.22442258489384639</v>
      </c>
      <c r="Y23" s="6">
        <f t="shared" si="1"/>
        <v>0.27980674272702122</v>
      </c>
      <c r="Z23" s="6">
        <f t="shared" si="1"/>
        <v>0.31210565879311353</v>
      </c>
      <c r="AA23" s="6">
        <f t="shared" si="1"/>
        <v>0.25388674739143507</v>
      </c>
      <c r="AB23" s="6">
        <f t="shared" si="1"/>
        <v>0.25073809381847068</v>
      </c>
      <c r="AC23" s="6">
        <f t="shared" si="1"/>
        <v>0.21254651967108645</v>
      </c>
      <c r="AD23" s="6">
        <f t="shared" si="1"/>
        <v>0.17310376202738809</v>
      </c>
      <c r="AE23" s="6">
        <f t="shared" si="1"/>
        <v>0.15634345096290395</v>
      </c>
      <c r="AF23" s="6">
        <f t="shared" si="1"/>
        <v>0.14123514901617601</v>
      </c>
      <c r="AG23" s="6">
        <f t="shared" si="1"/>
        <v>4.9328828549169236E-2</v>
      </c>
      <c r="AH23" s="4"/>
      <c r="AI23" s="4"/>
    </row>
    <row r="24" spans="1:35" ht="16" thickBot="1" x14ac:dyDescent="0.25">
      <c r="A24" s="4"/>
      <c r="B24" s="4" t="s">
        <v>54</v>
      </c>
      <c r="C24" s="4"/>
      <c r="D24" s="4"/>
      <c r="E24" s="6">
        <f t="shared" ref="E24:AG24" si="2">E23/SQRT(20)</f>
        <v>5.5278137167645777E-2</v>
      </c>
      <c r="F24" s="6">
        <f t="shared" si="2"/>
        <v>6.5710690004154804E-2</v>
      </c>
      <c r="G24" s="6">
        <f t="shared" si="2"/>
        <v>6.4884512567498706E-2</v>
      </c>
      <c r="H24" s="6">
        <f t="shared" si="2"/>
        <v>7.4301818848995824E-2</v>
      </c>
      <c r="I24" s="6">
        <f t="shared" si="2"/>
        <v>7.4506956113959771E-2</v>
      </c>
      <c r="J24" s="6">
        <f t="shared" si="2"/>
        <v>8.9555269619715341E-2</v>
      </c>
      <c r="K24" s="6">
        <f t="shared" si="2"/>
        <v>7.7836047999301189E-2</v>
      </c>
      <c r="L24" s="6">
        <f t="shared" si="2"/>
        <v>6.5954750547703361E-2</v>
      </c>
      <c r="M24" s="6">
        <f t="shared" si="2"/>
        <v>5.7638974692993429E-2</v>
      </c>
      <c r="N24" s="6">
        <f t="shared" si="2"/>
        <v>6.491965398966551E-2</v>
      </c>
      <c r="O24" s="6">
        <f t="shared" si="2"/>
        <v>7.4871039485276125E-2</v>
      </c>
      <c r="P24" s="6">
        <f t="shared" si="2"/>
        <v>5.475864136469985E-2</v>
      </c>
      <c r="Q24" s="6">
        <f t="shared" si="2"/>
        <v>7.1977294883063259E-2</v>
      </c>
      <c r="R24" s="6">
        <f t="shared" si="2"/>
        <v>5.8991028717842647E-2</v>
      </c>
      <c r="S24" s="6">
        <f t="shared" si="2"/>
        <v>6.9544466275116915E-2</v>
      </c>
      <c r="T24" s="6">
        <f t="shared" si="2"/>
        <v>8.2553898992436869E-2</v>
      </c>
      <c r="U24" s="6">
        <f t="shared" si="2"/>
        <v>7.3500806341988703E-2</v>
      </c>
      <c r="V24" s="6">
        <f t="shared" si="2"/>
        <v>5.3205987950785114E-2</v>
      </c>
      <c r="W24" s="6">
        <f t="shared" si="2"/>
        <v>7.036433972786392E-2</v>
      </c>
      <c r="X24" s="6">
        <f t="shared" si="2"/>
        <v>5.0182415550885796E-2</v>
      </c>
      <c r="Y24" s="6">
        <f t="shared" si="2"/>
        <v>6.2566689730041425E-2</v>
      </c>
      <c r="Z24" s="6">
        <f t="shared" si="2"/>
        <v>6.978894692237568E-2</v>
      </c>
      <c r="AA24" s="6">
        <f t="shared" si="2"/>
        <v>5.6770802575356619E-2</v>
      </c>
      <c r="AB24" s="6">
        <f t="shared" si="2"/>
        <v>5.6066742232682022E-2</v>
      </c>
      <c r="AC24" s="6">
        <f t="shared" si="2"/>
        <v>4.752684663655455E-2</v>
      </c>
      <c r="AD24" s="6">
        <f t="shared" si="2"/>
        <v>3.8707177905418652E-2</v>
      </c>
      <c r="AE24" s="6">
        <f t="shared" si="2"/>
        <v>3.4959458418995816E-2</v>
      </c>
      <c r="AF24" s="6">
        <f t="shared" si="2"/>
        <v>3.1581139401248209E-2</v>
      </c>
      <c r="AG24" s="6">
        <f t="shared" si="2"/>
        <v>1.1030261388637474E-2</v>
      </c>
      <c r="AH24" s="4"/>
      <c r="AI24" s="4"/>
    </row>
    <row r="25" spans="1:35" ht="16" thickBo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6" thickBot="1" x14ac:dyDescent="0.25">
      <c r="A26" s="4"/>
      <c r="B26" s="4" t="s">
        <v>56</v>
      </c>
      <c r="C26" s="4"/>
      <c r="D26" s="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4"/>
      <c r="AI26" s="4"/>
    </row>
    <row r="27" spans="1:35" ht="16" thickBot="1" x14ac:dyDescent="0.25">
      <c r="A27" s="4"/>
      <c r="B27" s="4" t="s">
        <v>20</v>
      </c>
      <c r="C27" s="4" t="s">
        <v>21</v>
      </c>
      <c r="D27" s="4" t="s">
        <v>51</v>
      </c>
      <c r="E27" s="6" t="s">
        <v>22</v>
      </c>
      <c r="F27" s="6" t="s">
        <v>24</v>
      </c>
      <c r="G27" s="6" t="s">
        <v>26</v>
      </c>
      <c r="H27" s="6" t="s">
        <v>36</v>
      </c>
      <c r="I27" s="6" t="s">
        <v>45</v>
      </c>
      <c r="J27" s="6" t="s">
        <v>43</v>
      </c>
      <c r="K27" s="6" t="s">
        <v>44</v>
      </c>
      <c r="L27" s="6" t="s">
        <v>27</v>
      </c>
      <c r="M27" s="6" t="s">
        <v>41</v>
      </c>
      <c r="N27" s="6" t="s">
        <v>28</v>
      </c>
      <c r="O27" s="6" t="s">
        <v>48</v>
      </c>
      <c r="P27" s="6" t="s">
        <v>23</v>
      </c>
      <c r="Q27" s="6" t="s">
        <v>25</v>
      </c>
      <c r="R27" s="6" t="s">
        <v>40</v>
      </c>
      <c r="S27" s="6" t="s">
        <v>42</v>
      </c>
      <c r="T27" s="6" t="s">
        <v>49</v>
      </c>
      <c r="U27" s="6" t="s">
        <v>47</v>
      </c>
      <c r="V27" s="6" t="s">
        <v>46</v>
      </c>
      <c r="W27" s="6" t="s">
        <v>33</v>
      </c>
      <c r="X27" s="6" t="s">
        <v>30</v>
      </c>
      <c r="Y27" s="6" t="s">
        <v>38</v>
      </c>
      <c r="Z27" s="6" t="s">
        <v>50</v>
      </c>
      <c r="AA27" s="6" t="s">
        <v>35</v>
      </c>
      <c r="AB27" s="6" t="s">
        <v>29</v>
      </c>
      <c r="AC27" s="6" t="s">
        <v>31</v>
      </c>
      <c r="AD27" s="6" t="s">
        <v>37</v>
      </c>
      <c r="AE27" s="6" t="s">
        <v>32</v>
      </c>
      <c r="AF27" s="6" t="s">
        <v>39</v>
      </c>
      <c r="AG27" s="6" t="s">
        <v>34</v>
      </c>
      <c r="AH27" s="4" t="s">
        <v>52</v>
      </c>
      <c r="AI27" s="4" t="s">
        <v>53</v>
      </c>
    </row>
    <row r="28" spans="1:35" x14ac:dyDescent="0.2">
      <c r="A28" s="3"/>
      <c r="B28" s="3" t="s">
        <v>0</v>
      </c>
      <c r="C28" s="3">
        <v>2</v>
      </c>
      <c r="D28" s="3">
        <v>2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0.99000001000000004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3"/>
      <c r="AI28" s="3"/>
    </row>
    <row r="29" spans="1:35" x14ac:dyDescent="0.2">
      <c r="A29" s="3"/>
      <c r="B29" s="3" t="s">
        <v>1</v>
      </c>
      <c r="C29" s="3">
        <v>1</v>
      </c>
      <c r="D29" s="3">
        <v>1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0.18000000699999999</v>
      </c>
      <c r="N29" s="13">
        <v>0</v>
      </c>
      <c r="O29" s="13">
        <v>0</v>
      </c>
      <c r="P29" s="13">
        <v>0</v>
      </c>
      <c r="Q29" s="13">
        <v>0</v>
      </c>
      <c r="R29" s="13">
        <v>0.790000021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0.12999999500000001</v>
      </c>
      <c r="AE29" s="13">
        <v>0</v>
      </c>
      <c r="AF29" s="13">
        <v>0</v>
      </c>
      <c r="AG29" s="13">
        <v>0</v>
      </c>
      <c r="AH29" s="3"/>
      <c r="AI29" s="3"/>
    </row>
    <row r="30" spans="1:35" x14ac:dyDescent="0.2">
      <c r="A30" s="3"/>
      <c r="B30" s="3" t="s">
        <v>2</v>
      </c>
      <c r="C30" s="3">
        <v>2</v>
      </c>
      <c r="D30" s="3">
        <v>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3"/>
      <c r="AI30" s="3"/>
    </row>
    <row r="31" spans="1:35" x14ac:dyDescent="0.2">
      <c r="A31" s="3"/>
      <c r="B31" s="3" t="s">
        <v>3</v>
      </c>
      <c r="C31" s="3">
        <v>1</v>
      </c>
      <c r="D31" s="3">
        <v>1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1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3"/>
      <c r="AI31" s="3"/>
    </row>
    <row r="32" spans="1:35" x14ac:dyDescent="0.2">
      <c r="A32" s="3"/>
      <c r="B32" s="3" t="s">
        <v>4</v>
      </c>
      <c r="C32" s="3">
        <v>2</v>
      </c>
      <c r="D32" s="3">
        <v>2</v>
      </c>
      <c r="E32" s="18">
        <v>0.01</v>
      </c>
      <c r="F32" s="18">
        <v>0</v>
      </c>
      <c r="G32" s="18">
        <v>0.10000000100000001</v>
      </c>
      <c r="H32" s="18">
        <v>0.25</v>
      </c>
      <c r="I32" s="18">
        <v>0</v>
      </c>
      <c r="J32" s="18">
        <v>0.01</v>
      </c>
      <c r="K32" s="18">
        <v>0</v>
      </c>
      <c r="L32" s="18">
        <v>0.02</v>
      </c>
      <c r="M32" s="18">
        <v>0</v>
      </c>
      <c r="N32" s="18">
        <v>0</v>
      </c>
      <c r="O32" s="18">
        <v>0</v>
      </c>
      <c r="P32" s="18">
        <v>0</v>
      </c>
      <c r="Q32" s="18">
        <v>0.280000001</v>
      </c>
      <c r="R32" s="18">
        <v>0.85000002399999997</v>
      </c>
      <c r="S32" s="18">
        <v>0</v>
      </c>
      <c r="T32" s="18">
        <v>0</v>
      </c>
      <c r="U32" s="18">
        <v>0</v>
      </c>
      <c r="V32" s="18">
        <v>0</v>
      </c>
      <c r="W32" s="18">
        <v>0.02</v>
      </c>
      <c r="X32" s="18">
        <v>0.02</v>
      </c>
      <c r="Y32" s="18">
        <v>0</v>
      </c>
      <c r="Z32" s="18">
        <v>0</v>
      </c>
      <c r="AA32" s="18">
        <v>0</v>
      </c>
      <c r="AB32" s="18">
        <v>0.02</v>
      </c>
      <c r="AC32" s="18">
        <v>0.02</v>
      </c>
      <c r="AD32" s="18">
        <v>0.15999999600000001</v>
      </c>
      <c r="AE32" s="18">
        <v>0.02</v>
      </c>
      <c r="AF32" s="18">
        <v>0</v>
      </c>
      <c r="AG32" s="18">
        <v>0.02</v>
      </c>
      <c r="AH32" s="3"/>
      <c r="AI32" s="3"/>
    </row>
    <row r="33" spans="1:35" x14ac:dyDescent="0.2">
      <c r="A33" s="3"/>
      <c r="B33" s="3" t="s">
        <v>5</v>
      </c>
      <c r="C33" s="3">
        <v>1</v>
      </c>
      <c r="D33" s="3">
        <v>1</v>
      </c>
      <c r="E33" s="18">
        <v>0.04</v>
      </c>
      <c r="F33" s="18">
        <v>0.01</v>
      </c>
      <c r="G33" s="18">
        <v>0.01</v>
      </c>
      <c r="H33" s="18">
        <v>0.12</v>
      </c>
      <c r="I33" s="18">
        <v>0.02</v>
      </c>
      <c r="J33" s="18">
        <v>0.02</v>
      </c>
      <c r="K33" s="18">
        <v>0.02</v>
      </c>
      <c r="L33" s="18">
        <v>0.01</v>
      </c>
      <c r="M33" s="18">
        <v>0.11</v>
      </c>
      <c r="N33" s="18">
        <v>0.01</v>
      </c>
      <c r="O33" s="18">
        <v>0.02</v>
      </c>
      <c r="P33" s="18">
        <v>0.01</v>
      </c>
      <c r="Q33" s="18">
        <v>0.01</v>
      </c>
      <c r="R33" s="18">
        <v>0.93</v>
      </c>
      <c r="S33" s="18">
        <v>0.06</v>
      </c>
      <c r="T33" s="18">
        <v>0.02</v>
      </c>
      <c r="U33" s="18">
        <v>0.02</v>
      </c>
      <c r="V33" s="18">
        <v>0.02</v>
      </c>
      <c r="W33" s="18">
        <v>0.01</v>
      </c>
      <c r="X33" s="18">
        <v>0.01</v>
      </c>
      <c r="Y33" s="18">
        <v>0.01</v>
      </c>
      <c r="Z33" s="18">
        <v>0.02</v>
      </c>
      <c r="AA33" s="18">
        <v>0.01</v>
      </c>
      <c r="AB33" s="18">
        <v>0.01</v>
      </c>
      <c r="AC33" s="18">
        <v>0.01</v>
      </c>
      <c r="AD33" s="18">
        <v>0.01</v>
      </c>
      <c r="AE33" s="18">
        <v>0.01</v>
      </c>
      <c r="AF33" s="18">
        <v>0.01</v>
      </c>
      <c r="AG33" s="18">
        <v>0.01</v>
      </c>
      <c r="AH33" s="3"/>
      <c r="AI33" s="3"/>
    </row>
    <row r="34" spans="1:35" x14ac:dyDescent="0.2">
      <c r="A34" s="3"/>
      <c r="B34" s="3" t="s">
        <v>6</v>
      </c>
      <c r="C34" s="3">
        <v>2</v>
      </c>
      <c r="D34" s="3">
        <v>2</v>
      </c>
      <c r="E34" s="18">
        <v>0</v>
      </c>
      <c r="F34" s="18">
        <v>0</v>
      </c>
      <c r="G34" s="18">
        <v>0</v>
      </c>
      <c r="H34" s="18">
        <v>0.2</v>
      </c>
      <c r="I34" s="18">
        <v>0.01</v>
      </c>
      <c r="J34" s="18">
        <v>0.01</v>
      </c>
      <c r="K34" s="18">
        <v>0.01</v>
      </c>
      <c r="L34" s="18">
        <v>0</v>
      </c>
      <c r="M34" s="18">
        <v>0.01</v>
      </c>
      <c r="N34" s="18">
        <v>0</v>
      </c>
      <c r="O34" s="18">
        <v>0.01</v>
      </c>
      <c r="P34" s="18">
        <v>0</v>
      </c>
      <c r="Q34" s="18">
        <v>0</v>
      </c>
      <c r="R34" s="18">
        <v>1</v>
      </c>
      <c r="S34" s="18">
        <v>0.01</v>
      </c>
      <c r="T34" s="18">
        <v>0.01</v>
      </c>
      <c r="U34" s="18">
        <v>0.01</v>
      </c>
      <c r="V34" s="18">
        <v>0.01</v>
      </c>
      <c r="W34" s="18">
        <v>0</v>
      </c>
      <c r="X34" s="18">
        <v>0</v>
      </c>
      <c r="Y34" s="18">
        <v>0</v>
      </c>
      <c r="Z34" s="18">
        <v>0.01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3"/>
      <c r="AI34" s="3"/>
    </row>
    <row r="35" spans="1:35" x14ac:dyDescent="0.2">
      <c r="A35" s="3"/>
      <c r="B35" s="3" t="s">
        <v>8</v>
      </c>
      <c r="C35" s="3">
        <v>2</v>
      </c>
      <c r="D35" s="3">
        <v>2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1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3"/>
      <c r="AI35" s="3"/>
    </row>
    <row r="36" spans="1:35" x14ac:dyDescent="0.2">
      <c r="A36" s="3"/>
      <c r="B36" s="3" t="s">
        <v>9</v>
      </c>
      <c r="C36" s="3">
        <v>1</v>
      </c>
      <c r="D36" s="3">
        <v>1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1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3"/>
      <c r="AI36" s="3"/>
    </row>
    <row r="37" spans="1:35" x14ac:dyDescent="0.2">
      <c r="A37" s="3"/>
      <c r="B37" s="3" t="s">
        <v>10</v>
      </c>
      <c r="C37" s="3">
        <v>2</v>
      </c>
      <c r="D37" s="3">
        <v>2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0.91000002599999996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3"/>
      <c r="AI37" s="3"/>
    </row>
    <row r="38" spans="1:35" x14ac:dyDescent="0.2">
      <c r="A38" s="3"/>
      <c r="B38" s="3" t="s">
        <v>11</v>
      </c>
      <c r="C38" s="3">
        <v>1</v>
      </c>
      <c r="D38" s="3">
        <v>1</v>
      </c>
      <c r="E38" s="18">
        <v>0</v>
      </c>
      <c r="F38" s="18">
        <v>0.37</v>
      </c>
      <c r="G38" s="18">
        <v>0.35</v>
      </c>
      <c r="H38" s="18">
        <v>0</v>
      </c>
      <c r="I38" s="18">
        <v>0.82</v>
      </c>
      <c r="J38" s="18">
        <v>0</v>
      </c>
      <c r="K38" s="18">
        <v>0.83</v>
      </c>
      <c r="L38" s="18">
        <v>0.43</v>
      </c>
      <c r="M38" s="18">
        <v>0.06</v>
      </c>
      <c r="N38" s="18">
        <v>0.05</v>
      </c>
      <c r="O38" s="18">
        <v>0</v>
      </c>
      <c r="P38" s="18">
        <v>0.08</v>
      </c>
      <c r="Q38" s="18">
        <v>0.13</v>
      </c>
      <c r="R38" s="18">
        <v>0.85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0.01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3"/>
      <c r="AI38" s="3"/>
    </row>
    <row r="39" spans="1:35" x14ac:dyDescent="0.2">
      <c r="A39" s="3"/>
      <c r="B39" s="3" t="s">
        <v>12</v>
      </c>
      <c r="C39" s="3">
        <v>2</v>
      </c>
      <c r="D39" s="3">
        <v>2</v>
      </c>
      <c r="E39" s="18">
        <v>2.99999993294E-2</v>
      </c>
      <c r="F39" s="18">
        <v>2.99999993294E-2</v>
      </c>
      <c r="G39" s="18">
        <v>0.219999998808</v>
      </c>
      <c r="H39" s="18">
        <v>0</v>
      </c>
      <c r="I39" s="18">
        <v>1.9999999553000001E-2</v>
      </c>
      <c r="J39" s="18">
        <v>1.9999999553000001E-2</v>
      </c>
      <c r="K39" s="18">
        <v>1.9999999553000001E-2</v>
      </c>
      <c r="L39" s="18">
        <v>0.219999998808</v>
      </c>
      <c r="M39" s="18">
        <v>0.15999999642400001</v>
      </c>
      <c r="N39" s="18">
        <v>0</v>
      </c>
      <c r="O39" s="18">
        <v>0.12999999523200001</v>
      </c>
      <c r="P39" s="18">
        <v>2.99999993294E-2</v>
      </c>
      <c r="Q39" s="18">
        <v>2.99999993294E-2</v>
      </c>
      <c r="R39" s="18">
        <v>0.89999997615799998</v>
      </c>
      <c r="S39" s="18">
        <v>1.9999999553000001E-2</v>
      </c>
      <c r="T39" s="18">
        <v>1.9999999553000001E-2</v>
      </c>
      <c r="U39" s="18">
        <v>9.9999997764800008E-3</v>
      </c>
      <c r="V39" s="18">
        <v>9.9999997764800008E-3</v>
      </c>
      <c r="W39" s="18">
        <v>0</v>
      </c>
      <c r="X39" s="18">
        <v>0</v>
      </c>
      <c r="Y39" s="18">
        <v>3.9999999105899998E-2</v>
      </c>
      <c r="Z39" s="18">
        <v>9.9999997764800008E-3</v>
      </c>
      <c r="AA39" s="18">
        <v>0</v>
      </c>
      <c r="AB39" s="18">
        <v>0</v>
      </c>
      <c r="AC39" s="18">
        <v>0</v>
      </c>
      <c r="AD39" s="18">
        <v>5.9999998658900003E-2</v>
      </c>
      <c r="AE39" s="18">
        <v>0</v>
      </c>
      <c r="AF39" s="18">
        <v>3.9999999105899998E-2</v>
      </c>
      <c r="AG39" s="18">
        <v>0</v>
      </c>
      <c r="AH39" s="3"/>
      <c r="AI39" s="3"/>
    </row>
    <row r="40" spans="1:35" x14ac:dyDescent="0.2">
      <c r="A40" s="3"/>
      <c r="B40" s="3" t="s">
        <v>13</v>
      </c>
      <c r="C40" s="3">
        <v>1</v>
      </c>
      <c r="D40" s="3">
        <v>1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1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3"/>
      <c r="AI40" s="3"/>
    </row>
    <row r="41" spans="1:35" x14ac:dyDescent="0.2">
      <c r="A41" s="3"/>
      <c r="B41" s="3" t="s">
        <v>14</v>
      </c>
      <c r="C41" s="3">
        <v>2</v>
      </c>
      <c r="D41" s="3">
        <v>2</v>
      </c>
      <c r="E41" s="18">
        <v>0</v>
      </c>
      <c r="F41" s="18">
        <v>0.01</v>
      </c>
      <c r="G41" s="18">
        <v>5.9999998999999998E-2</v>
      </c>
      <c r="H41" s="18">
        <v>0.119999997</v>
      </c>
      <c r="I41" s="18">
        <v>0</v>
      </c>
      <c r="J41" s="18">
        <v>0</v>
      </c>
      <c r="K41" s="18">
        <v>0</v>
      </c>
      <c r="L41" s="18">
        <v>0</v>
      </c>
      <c r="M41" s="18">
        <v>0.01</v>
      </c>
      <c r="N41" s="18">
        <v>0</v>
      </c>
      <c r="O41" s="18">
        <v>0</v>
      </c>
      <c r="P41" s="18">
        <v>0</v>
      </c>
      <c r="Q41" s="18">
        <v>0</v>
      </c>
      <c r="R41" s="17">
        <v>0</v>
      </c>
      <c r="S41" s="18">
        <v>0</v>
      </c>
      <c r="T41" s="18">
        <v>0</v>
      </c>
      <c r="U41" s="18">
        <v>0</v>
      </c>
      <c r="V41" s="18">
        <v>5.0000001000000002E-2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3.9999999000000001E-2</v>
      </c>
      <c r="AE41" s="18">
        <v>3.9999999000000001E-2</v>
      </c>
      <c r="AF41" s="18">
        <v>0</v>
      </c>
      <c r="AG41" s="18">
        <v>0</v>
      </c>
      <c r="AH41" s="3"/>
      <c r="AI41" s="3"/>
    </row>
    <row r="42" spans="1:35" x14ac:dyDescent="0.2">
      <c r="A42" s="3"/>
      <c r="B42" s="3" t="s">
        <v>15</v>
      </c>
      <c r="C42" s="3">
        <v>1</v>
      </c>
      <c r="D42" s="3">
        <v>1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7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3"/>
      <c r="AI42" s="3"/>
    </row>
    <row r="43" spans="1:35" x14ac:dyDescent="0.2">
      <c r="A43" s="3"/>
      <c r="B43" s="3" t="s">
        <v>16</v>
      </c>
      <c r="C43" s="3">
        <v>2</v>
      </c>
      <c r="D43" s="3">
        <v>2</v>
      </c>
      <c r="E43" s="18">
        <v>0</v>
      </c>
      <c r="F43" s="18">
        <v>0.01</v>
      </c>
      <c r="G43" s="18">
        <v>0</v>
      </c>
      <c r="H43" s="18">
        <v>0</v>
      </c>
      <c r="I43" s="18">
        <v>0</v>
      </c>
      <c r="J43" s="18">
        <v>0.02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0.01</v>
      </c>
      <c r="Z43" s="18">
        <v>0</v>
      </c>
      <c r="AA43" s="18">
        <v>0.01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3"/>
      <c r="AI43" s="3"/>
    </row>
    <row r="44" spans="1:35" x14ac:dyDescent="0.2">
      <c r="A44" s="3"/>
      <c r="B44" s="3" t="s">
        <v>17</v>
      </c>
      <c r="C44" s="3">
        <v>1</v>
      </c>
      <c r="D44" s="3">
        <v>1</v>
      </c>
      <c r="E44" s="18">
        <v>0</v>
      </c>
      <c r="F44" s="18">
        <v>0</v>
      </c>
      <c r="G44" s="18">
        <v>0</v>
      </c>
      <c r="H44" s="18">
        <v>0.15000000599999999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0.99000001000000004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0.109999999</v>
      </c>
      <c r="AE44" s="18">
        <v>0</v>
      </c>
      <c r="AF44" s="18">
        <v>0</v>
      </c>
      <c r="AG44" s="18">
        <v>0</v>
      </c>
      <c r="AH44" s="3"/>
      <c r="AI44" s="3"/>
    </row>
    <row r="45" spans="1:35" x14ac:dyDescent="0.2">
      <c r="A45" s="3"/>
      <c r="B45" s="3" t="s">
        <v>18</v>
      </c>
      <c r="C45" s="3">
        <v>2</v>
      </c>
      <c r="D45" s="3">
        <v>2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1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3"/>
      <c r="AI45" s="3"/>
    </row>
    <row r="46" spans="1:35" ht="16" thickBot="1" x14ac:dyDescent="0.25">
      <c r="A46" s="3"/>
      <c r="B46" s="3" t="s">
        <v>19</v>
      </c>
      <c r="C46" s="3">
        <v>1</v>
      </c>
      <c r="D46" s="3">
        <v>1</v>
      </c>
      <c r="E46" s="18">
        <v>0</v>
      </c>
      <c r="F46" s="18">
        <v>0.02</v>
      </c>
      <c r="G46" s="18">
        <v>0.02</v>
      </c>
      <c r="H46" s="18">
        <v>5.9999998999999998E-2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2.9999998999999999E-2</v>
      </c>
      <c r="O46" s="18">
        <v>0.02</v>
      </c>
      <c r="P46" s="18">
        <v>0</v>
      </c>
      <c r="Q46" s="18">
        <v>0.01</v>
      </c>
      <c r="R46" s="18">
        <v>0.97000002900000004</v>
      </c>
      <c r="S46" s="18">
        <v>0</v>
      </c>
      <c r="T46" s="18">
        <v>0</v>
      </c>
      <c r="U46" s="18">
        <v>0.01</v>
      </c>
      <c r="V46" s="18">
        <v>0.02</v>
      </c>
      <c r="W46" s="18">
        <v>0</v>
      </c>
      <c r="X46" s="18">
        <v>0</v>
      </c>
      <c r="Y46" s="18">
        <v>3.9999999000000001E-2</v>
      </c>
      <c r="Z46" s="18">
        <v>0.02</v>
      </c>
      <c r="AA46" s="18">
        <v>0</v>
      </c>
      <c r="AB46" s="18">
        <v>0</v>
      </c>
      <c r="AC46" s="18">
        <v>0.01</v>
      </c>
      <c r="AD46" s="18">
        <v>0</v>
      </c>
      <c r="AE46" s="18">
        <v>0</v>
      </c>
      <c r="AF46" s="18">
        <v>0</v>
      </c>
      <c r="AG46" s="18">
        <v>0</v>
      </c>
      <c r="AH46" s="3"/>
      <c r="AI46" s="3"/>
    </row>
    <row r="47" spans="1:35" ht="16" thickBot="1" x14ac:dyDescent="0.25">
      <c r="A47" s="4"/>
      <c r="B47" s="4" t="s">
        <v>52</v>
      </c>
      <c r="C47" s="4"/>
      <c r="D47" s="4"/>
      <c r="E47" s="6">
        <f t="shared" ref="E47:AG47" si="3">AVERAGE(E28:E46)</f>
        <v>4.2105262804947368E-3</v>
      </c>
      <c r="F47" s="6">
        <f t="shared" si="3"/>
        <v>2.3684210491021054E-2</v>
      </c>
      <c r="G47" s="6">
        <f t="shared" si="3"/>
        <v>3.9999999937263157E-2</v>
      </c>
      <c r="H47" s="6">
        <f t="shared" si="3"/>
        <v>4.7368421157894733E-2</v>
      </c>
      <c r="I47" s="6">
        <f t="shared" si="3"/>
        <v>4.5789473660684213E-2</v>
      </c>
      <c r="J47" s="6">
        <f t="shared" si="3"/>
        <v>4.2105262922631581E-3</v>
      </c>
      <c r="K47" s="6">
        <f t="shared" si="3"/>
        <v>4.6315789450157893E-2</v>
      </c>
      <c r="L47" s="6">
        <f t="shared" si="3"/>
        <v>3.5789473621473687E-2</v>
      </c>
      <c r="M47" s="6">
        <f t="shared" si="3"/>
        <v>2.7894737022315791E-2</v>
      </c>
      <c r="N47" s="6">
        <f t="shared" si="3"/>
        <v>4.7368420526315786E-3</v>
      </c>
      <c r="O47" s="6">
        <f t="shared" si="3"/>
        <v>9.4736839595789477E-3</v>
      </c>
      <c r="P47" s="6">
        <f t="shared" si="3"/>
        <v>6.3157894383894736E-3</v>
      </c>
      <c r="Q47" s="6">
        <f t="shared" si="3"/>
        <v>2.4210526333126318E-2</v>
      </c>
      <c r="R47" s="6">
        <f t="shared" si="3"/>
        <v>0.85157895242936843</v>
      </c>
      <c r="S47" s="6">
        <f t="shared" si="3"/>
        <v>4.7368420817368419E-3</v>
      </c>
      <c r="T47" s="6">
        <f t="shared" si="3"/>
        <v>2.6315789238421051E-3</v>
      </c>
      <c r="U47" s="6">
        <f t="shared" si="3"/>
        <v>2.6315789356042107E-3</v>
      </c>
      <c r="V47" s="6">
        <f t="shared" si="3"/>
        <v>5.7894737250778951E-3</v>
      </c>
      <c r="W47" s="6">
        <f t="shared" si="3"/>
        <v>1.5789473684210526E-3</v>
      </c>
      <c r="X47" s="6">
        <f t="shared" si="3"/>
        <v>1.5789473684210526E-3</v>
      </c>
      <c r="Y47" s="6">
        <f t="shared" si="3"/>
        <v>5.2631577950473683E-3</v>
      </c>
      <c r="Z47" s="6">
        <f t="shared" si="3"/>
        <v>3.1578947250778949E-3</v>
      </c>
      <c r="AA47" s="6">
        <f t="shared" si="3"/>
        <v>1.0526315789473684E-3</v>
      </c>
      <c r="AB47" s="6">
        <f t="shared" si="3"/>
        <v>2.1052631578947368E-3</v>
      </c>
      <c r="AC47" s="6">
        <f t="shared" si="3"/>
        <v>2.1052631578947368E-3</v>
      </c>
      <c r="AD47" s="6">
        <f t="shared" si="3"/>
        <v>2.6842104613626315E-2</v>
      </c>
      <c r="AE47" s="6">
        <f t="shared" si="3"/>
        <v>3.684210473684211E-3</v>
      </c>
      <c r="AF47" s="6">
        <f t="shared" si="3"/>
        <v>2.6315789003105265E-3</v>
      </c>
      <c r="AG47" s="6">
        <f t="shared" si="3"/>
        <v>1.5789473684210526E-3</v>
      </c>
      <c r="AH47" s="4"/>
      <c r="AI47" s="4"/>
    </row>
    <row r="48" spans="1:35" ht="16" thickBot="1" x14ac:dyDescent="0.25">
      <c r="A48" s="4"/>
      <c r="B48" s="4" t="s">
        <v>53</v>
      </c>
      <c r="C48" s="4"/>
      <c r="D48" s="4"/>
      <c r="E48" s="6">
        <f t="shared" ref="E48:AG48" si="4">STDEV(E28:E46)</f>
        <v>1.1212983199418632E-2</v>
      </c>
      <c r="F48" s="6">
        <f t="shared" si="4"/>
        <v>8.42753770731164E-2</v>
      </c>
      <c r="G48" s="6">
        <f t="shared" si="4"/>
        <v>9.267625839174419E-2</v>
      </c>
      <c r="H48" s="6">
        <f t="shared" si="4"/>
        <v>7.9850005852347222E-2</v>
      </c>
      <c r="I48" s="6">
        <f t="shared" si="4"/>
        <v>0.18759636900030763</v>
      </c>
      <c r="J48" s="6">
        <f t="shared" si="4"/>
        <v>7.6853319187377717E-3</v>
      </c>
      <c r="K48" s="6">
        <f t="shared" si="4"/>
        <v>0.18988916435160041</v>
      </c>
      <c r="L48" s="6">
        <f t="shared" si="4"/>
        <v>0.10787419562094308</v>
      </c>
      <c r="M48" s="6">
        <f t="shared" si="4"/>
        <v>5.7308032527125394E-2</v>
      </c>
      <c r="N48" s="6">
        <f t="shared" si="4"/>
        <v>1.3067525822094677E-2</v>
      </c>
      <c r="O48" s="6">
        <f t="shared" si="4"/>
        <v>2.9902374202251291E-2</v>
      </c>
      <c r="P48" s="6">
        <f t="shared" si="4"/>
        <v>1.9209524881903757E-2</v>
      </c>
      <c r="Q48" s="6">
        <f t="shared" si="4"/>
        <v>6.882472036450879E-2</v>
      </c>
      <c r="R48" s="6">
        <f t="shared" si="4"/>
        <v>0.30683443255742743</v>
      </c>
      <c r="S48" s="6">
        <f t="shared" si="4"/>
        <v>1.4286131964019925E-2</v>
      </c>
      <c r="T48" s="6">
        <f t="shared" si="4"/>
        <v>6.5337628987361179E-3</v>
      </c>
      <c r="U48" s="6">
        <f t="shared" si="4"/>
        <v>5.619514853207724E-3</v>
      </c>
      <c r="V48" s="6">
        <f t="shared" si="4"/>
        <v>1.261207089629178E-2</v>
      </c>
      <c r="W48" s="6">
        <f t="shared" si="4"/>
        <v>5.0145985712127901E-3</v>
      </c>
      <c r="X48" s="6">
        <f t="shared" si="4"/>
        <v>5.0145985712127901E-3</v>
      </c>
      <c r="Y48" s="6">
        <f t="shared" si="4"/>
        <v>1.2635233100202634E-2</v>
      </c>
      <c r="Z48" s="6">
        <f t="shared" si="4"/>
        <v>6.7103829694104937E-3</v>
      </c>
      <c r="AA48" s="6">
        <f t="shared" si="4"/>
        <v>3.1530176764230575E-3</v>
      </c>
      <c r="AB48" s="6">
        <f t="shared" si="4"/>
        <v>5.3530337903131085E-3</v>
      </c>
      <c r="AC48" s="6">
        <f t="shared" si="4"/>
        <v>5.3530337903131085E-3</v>
      </c>
      <c r="AD48" s="6">
        <f t="shared" si="4"/>
        <v>5.066805038537036E-2</v>
      </c>
      <c r="AE48" s="6">
        <f t="shared" si="4"/>
        <v>1.0116282778346107E-2</v>
      </c>
      <c r="AF48" s="6">
        <f t="shared" si="4"/>
        <v>9.3345861832023168E-3</v>
      </c>
      <c r="AG48" s="6">
        <f t="shared" si="4"/>
        <v>5.0145985712127901E-3</v>
      </c>
      <c r="AH48" s="4"/>
      <c r="AI48" s="4"/>
    </row>
    <row r="49" spans="1:35" ht="16" thickBot="1" x14ac:dyDescent="0.25">
      <c r="A49" s="4"/>
      <c r="B49" s="4" t="s">
        <v>54</v>
      </c>
      <c r="C49" s="4"/>
      <c r="D49" s="4"/>
      <c r="E49" s="6">
        <f t="shared" ref="E49:AG49" si="5">E48/SQRT(20)</f>
        <v>2.507299266446314E-3</v>
      </c>
      <c r="F49" s="6">
        <f t="shared" si="5"/>
        <v>1.8844547196491552E-2</v>
      </c>
      <c r="G49" s="6">
        <f t="shared" si="5"/>
        <v>2.0723041366427532E-2</v>
      </c>
      <c r="H49" s="6">
        <f t="shared" si="5"/>
        <v>1.7855004108960442E-2</v>
      </c>
      <c r="I49" s="6">
        <f t="shared" si="5"/>
        <v>4.1947823341682212E-2</v>
      </c>
      <c r="J49" s="6">
        <f t="shared" si="5"/>
        <v>1.7184924599946546E-3</v>
      </c>
      <c r="K49" s="6">
        <f t="shared" si="5"/>
        <v>4.2460507968080825E-2</v>
      </c>
      <c r="L49" s="6">
        <f t="shared" si="5"/>
        <v>2.4121403442653885E-2</v>
      </c>
      <c r="M49" s="6">
        <f t="shared" si="5"/>
        <v>1.2814465638742143E-2</v>
      </c>
      <c r="N49" s="6">
        <f t="shared" si="5"/>
        <v>2.9219876035937518E-3</v>
      </c>
      <c r="O49" s="6">
        <f t="shared" si="5"/>
        <v>6.6863741404869928E-3</v>
      </c>
      <c r="P49" s="6">
        <f t="shared" si="5"/>
        <v>4.2953803451410422E-3</v>
      </c>
      <c r="Q49" s="6">
        <f t="shared" si="5"/>
        <v>1.5389675326745575E-2</v>
      </c>
      <c r="R49" s="6">
        <f t="shared" si="5"/>
        <v>6.8610264903598228E-2</v>
      </c>
      <c r="S49" s="6">
        <f t="shared" si="5"/>
        <v>3.1944762207081132E-3</v>
      </c>
      <c r="T49" s="6">
        <f t="shared" si="5"/>
        <v>1.4609937990440033E-3</v>
      </c>
      <c r="U49" s="6">
        <f t="shared" si="5"/>
        <v>1.2565617212342223E-3</v>
      </c>
      <c r="V49" s="6">
        <f t="shared" si="5"/>
        <v>2.8201447861155118E-3</v>
      </c>
      <c r="W49" s="6">
        <f t="shared" si="5"/>
        <v>1.1212983285105117E-3</v>
      </c>
      <c r="X49" s="6">
        <f t="shared" si="5"/>
        <v>1.1212983285105117E-3</v>
      </c>
      <c r="Y49" s="6">
        <f t="shared" si="5"/>
        <v>2.8253240123608499E-3</v>
      </c>
      <c r="Z49" s="6">
        <f t="shared" si="5"/>
        <v>1.5004872474658755E-3</v>
      </c>
      <c r="AA49" s="6">
        <f t="shared" si="5"/>
        <v>7.0503618587403917E-4</v>
      </c>
      <c r="AB49" s="6">
        <f t="shared" si="5"/>
        <v>1.1969747440993465E-3</v>
      </c>
      <c r="AC49" s="6">
        <f t="shared" si="5"/>
        <v>1.1969747440993465E-3</v>
      </c>
      <c r="AD49" s="6">
        <f t="shared" si="5"/>
        <v>1.1329720494907254E-2</v>
      </c>
      <c r="AE49" s="6">
        <f t="shared" si="5"/>
        <v>2.262069597199233E-3</v>
      </c>
      <c r="AF49" s="6">
        <f t="shared" si="5"/>
        <v>2.0872769247470683E-3</v>
      </c>
      <c r="AG49" s="6">
        <f t="shared" si="5"/>
        <v>1.1212983285105117E-3</v>
      </c>
      <c r="AH49" s="4"/>
      <c r="AI49" s="4"/>
    </row>
    <row r="50" spans="1:35" ht="16" thickBot="1" x14ac:dyDescent="0.25">
      <c r="A50" s="4"/>
      <c r="B50" s="4" t="s">
        <v>57</v>
      </c>
      <c r="C50" s="4"/>
      <c r="D50" s="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4"/>
      <c r="AI50" s="4"/>
    </row>
    <row r="51" spans="1:35" ht="16" thickBot="1" x14ac:dyDescent="0.25">
      <c r="A51" s="4"/>
      <c r="B51" s="4" t="s">
        <v>58</v>
      </c>
      <c r="C51" s="4"/>
      <c r="D51" s="4"/>
      <c r="E51" s="6">
        <f>TTEST(E3:E21,E28:E46,2,1)</f>
        <v>1.0481258923196497E-7</v>
      </c>
      <c r="F51" s="6">
        <f t="shared" ref="F51:AG51" si="6">TTEST(F3:F21,F28:F46,2,1)</f>
        <v>2.3232331529360921E-7</v>
      </c>
      <c r="G51" s="6">
        <f t="shared" si="6"/>
        <v>6.1647199933545735E-7</v>
      </c>
      <c r="H51" s="6">
        <f t="shared" si="6"/>
        <v>2.7154772607718357E-6</v>
      </c>
      <c r="I51" s="6">
        <f t="shared" si="6"/>
        <v>1.1017116187713726E-4</v>
      </c>
      <c r="J51" s="6">
        <f t="shared" si="6"/>
        <v>1.6452843212097819E-5</v>
      </c>
      <c r="K51" s="6">
        <f t="shared" si="6"/>
        <v>1.9066792950499987E-4</v>
      </c>
      <c r="L51" s="6">
        <f t="shared" si="6"/>
        <v>4.4216345076248275E-6</v>
      </c>
      <c r="M51" s="6">
        <f t="shared" si="6"/>
        <v>3.6405860197713062E-6</v>
      </c>
      <c r="N51" s="6">
        <f t="shared" si="6"/>
        <v>2.3520893480859162E-5</v>
      </c>
      <c r="O51" s="6">
        <f t="shared" si="6"/>
        <v>1.5682278406281672E-4</v>
      </c>
      <c r="P51" s="6">
        <f t="shared" si="6"/>
        <v>2.6267177328290641E-6</v>
      </c>
      <c r="Q51" s="6">
        <f t="shared" si="6"/>
        <v>1.9539586467199547E-4</v>
      </c>
      <c r="R51" s="6">
        <f t="shared" si="6"/>
        <v>5.4052355925987209E-6</v>
      </c>
      <c r="S51" s="6">
        <f t="shared" si="6"/>
        <v>1.3609396505457458E-4</v>
      </c>
      <c r="T51" s="6">
        <f t="shared" si="6"/>
        <v>1.4897493875322453E-3</v>
      </c>
      <c r="U51" s="6">
        <f t="shared" si="6"/>
        <v>5.826084691760026E-4</v>
      </c>
      <c r="V51" s="6">
        <f t="shared" si="6"/>
        <v>2.8323440200321161E-5</v>
      </c>
      <c r="W51" s="6">
        <f t="shared" si="6"/>
        <v>5.1227486052030286E-4</v>
      </c>
      <c r="X51" s="6">
        <f t="shared" si="6"/>
        <v>3.8463440332099688E-5</v>
      </c>
      <c r="Y51" s="6">
        <f t="shared" si="6"/>
        <v>5.9528880817878032E-4</v>
      </c>
      <c r="Z51" s="6">
        <f t="shared" si="6"/>
        <v>2.9701465202274188E-3</v>
      </c>
      <c r="AA51" s="6">
        <f t="shared" si="6"/>
        <v>4.103010497028642E-3</v>
      </c>
      <c r="AB51" s="6">
        <f t="shared" si="6"/>
        <v>4.658637031715024E-3</v>
      </c>
      <c r="AC51" s="6">
        <f t="shared" si="6"/>
        <v>4.781156675165551E-3</v>
      </c>
      <c r="AD51" s="6">
        <f t="shared" si="6"/>
        <v>1.5219078689336762E-2</v>
      </c>
      <c r="AE51" s="6">
        <f t="shared" si="6"/>
        <v>1.408966392259265E-2</v>
      </c>
      <c r="AF51" s="6">
        <f t="shared" si="6"/>
        <v>8.4492509808673719E-2</v>
      </c>
      <c r="AG51" s="6">
        <f t="shared" si="6"/>
        <v>1.5729936791377221E-2</v>
      </c>
      <c r="AH51" s="4"/>
      <c r="AI51" s="4"/>
    </row>
    <row r="52" spans="1:35" x14ac:dyDescent="0.2">
      <c r="B52" s="188" t="s">
        <v>557</v>
      </c>
      <c r="E52">
        <f>E51*21</f>
        <v>2.2010643738712643E-6</v>
      </c>
      <c r="F52" s="18">
        <f t="shared" ref="F52:AG52" si="7">F51*21</f>
        <v>4.8787896211657933E-6</v>
      </c>
      <c r="G52" s="18">
        <f t="shared" si="7"/>
        <v>1.2945911986044604E-5</v>
      </c>
      <c r="H52" s="18">
        <f t="shared" si="7"/>
        <v>5.7025022476208547E-5</v>
      </c>
      <c r="I52" s="18">
        <f t="shared" si="7"/>
        <v>2.3135943994198826E-3</v>
      </c>
      <c r="J52" s="18">
        <f t="shared" si="7"/>
        <v>3.4550970745405419E-4</v>
      </c>
      <c r="K52" s="18">
        <f t="shared" si="7"/>
        <v>4.004026519604997E-3</v>
      </c>
      <c r="L52" s="18">
        <f t="shared" si="7"/>
        <v>9.285432466012138E-5</v>
      </c>
      <c r="M52" s="18">
        <f t="shared" si="7"/>
        <v>7.6452306415197434E-5</v>
      </c>
      <c r="N52" s="18">
        <f t="shared" si="7"/>
        <v>4.9393876309804241E-4</v>
      </c>
      <c r="O52" s="18">
        <f t="shared" si="7"/>
        <v>3.293278465319151E-3</v>
      </c>
      <c r="P52" s="18">
        <f t="shared" si="7"/>
        <v>5.5161072389410346E-5</v>
      </c>
      <c r="Q52" s="18">
        <f t="shared" si="7"/>
        <v>4.1033131581119046E-3</v>
      </c>
      <c r="R52" s="18">
        <f t="shared" si="7"/>
        <v>1.1350994744457314E-4</v>
      </c>
      <c r="S52" s="18">
        <f t="shared" si="7"/>
        <v>2.8579732661460663E-3</v>
      </c>
      <c r="T52" s="18">
        <f t="shared" si="7"/>
        <v>3.128473713817715E-2</v>
      </c>
      <c r="U52" s="18">
        <f t="shared" si="7"/>
        <v>1.2234777852696055E-2</v>
      </c>
      <c r="V52" s="18">
        <f t="shared" si="7"/>
        <v>5.9479224420674437E-4</v>
      </c>
      <c r="W52" s="18">
        <f t="shared" si="7"/>
        <v>1.0757772070926361E-2</v>
      </c>
      <c r="X52" s="18">
        <f t="shared" si="7"/>
        <v>8.0773224697409344E-4</v>
      </c>
      <c r="Y52" s="18">
        <f t="shared" si="7"/>
        <v>1.2501064971754386E-2</v>
      </c>
      <c r="Z52" s="21">
        <f t="shared" si="7"/>
        <v>6.2373076924775797E-2</v>
      </c>
      <c r="AA52" s="21">
        <f t="shared" si="7"/>
        <v>8.6163220437601482E-2</v>
      </c>
      <c r="AB52" s="21">
        <f t="shared" si="7"/>
        <v>9.7831377666015504E-2</v>
      </c>
      <c r="AC52" s="21">
        <f t="shared" si="7"/>
        <v>0.10040429017847657</v>
      </c>
      <c r="AD52" s="21">
        <f t="shared" si="7"/>
        <v>0.319600652476072</v>
      </c>
      <c r="AE52" s="21">
        <f t="shared" si="7"/>
        <v>0.29588294237444568</v>
      </c>
      <c r="AF52" s="21">
        <f t="shared" si="7"/>
        <v>1.7743427059821482</v>
      </c>
      <c r="AG52" s="21">
        <f t="shared" si="7"/>
        <v>0.33032867261892163</v>
      </c>
    </row>
    <row r="54" spans="1:35" x14ac:dyDescent="0.2">
      <c r="F54" t="s">
        <v>55</v>
      </c>
      <c r="G54" t="s">
        <v>54</v>
      </c>
      <c r="H54" t="s">
        <v>56</v>
      </c>
      <c r="I54" t="s">
        <v>54</v>
      </c>
    </row>
    <row r="55" spans="1:35" x14ac:dyDescent="0.2">
      <c r="D55">
        <v>1</v>
      </c>
      <c r="E55" t="s">
        <v>24</v>
      </c>
      <c r="F55">
        <v>0.56368421147496839</v>
      </c>
      <c r="G55">
        <v>6.5710690004154804E-2</v>
      </c>
      <c r="H55">
        <v>2.2499999966470001E-2</v>
      </c>
      <c r="I55">
        <v>1.8380123703118811E-2</v>
      </c>
      <c r="J55" t="s">
        <v>24</v>
      </c>
    </row>
    <row r="56" spans="1:35" x14ac:dyDescent="0.2">
      <c r="D56">
        <v>2</v>
      </c>
      <c r="E56" t="s">
        <v>26</v>
      </c>
      <c r="F56">
        <v>0.55999999855694726</v>
      </c>
      <c r="G56">
        <v>6.4884512567498706E-2</v>
      </c>
      <c r="H56">
        <v>4.0999999890399999E-2</v>
      </c>
      <c r="I56">
        <v>2.0195100996298454E-2</v>
      </c>
      <c r="J56" t="s">
        <v>26</v>
      </c>
    </row>
    <row r="57" spans="1:35" x14ac:dyDescent="0.2">
      <c r="D57" s="18">
        <v>3</v>
      </c>
      <c r="E57" t="s">
        <v>36</v>
      </c>
      <c r="F57">
        <v>0.55526316035099998</v>
      </c>
      <c r="G57">
        <v>7.4301818848995824E-2</v>
      </c>
      <c r="H57">
        <v>5.0500000050000007E-2</v>
      </c>
      <c r="I57">
        <v>1.7658679142280153E-2</v>
      </c>
      <c r="J57" t="s">
        <v>36</v>
      </c>
    </row>
    <row r="58" spans="1:35" x14ac:dyDescent="0.2">
      <c r="D58" s="18">
        <v>4</v>
      </c>
      <c r="E58" s="18" t="s">
        <v>45</v>
      </c>
      <c r="F58">
        <v>0.54578947155778945</v>
      </c>
      <c r="G58">
        <v>7.4506956113959771E-2</v>
      </c>
      <c r="H58">
        <v>4.5499999927649998E-2</v>
      </c>
      <c r="I58">
        <v>4.0830039252394756E-2</v>
      </c>
      <c r="J58" t="s">
        <v>45</v>
      </c>
    </row>
    <row r="59" spans="1:35" x14ac:dyDescent="0.2">
      <c r="D59" s="18">
        <v>5</v>
      </c>
      <c r="E59" s="18" t="s">
        <v>43</v>
      </c>
      <c r="F59">
        <v>0.53842105555121056</v>
      </c>
      <c r="G59">
        <v>8.9555269619715341E-2</v>
      </c>
      <c r="H59">
        <v>5.4999999276500004E-3</v>
      </c>
      <c r="I59">
        <v>2.1119957747895591E-3</v>
      </c>
      <c r="J59" t="s">
        <v>43</v>
      </c>
    </row>
    <row r="60" spans="1:35" x14ac:dyDescent="0.2">
      <c r="D60" s="18">
        <v>6</v>
      </c>
      <c r="E60" s="18" t="s">
        <v>44</v>
      </c>
      <c r="F60">
        <v>0.53368421277399991</v>
      </c>
      <c r="G60">
        <v>7.7836047999301189E-2</v>
      </c>
      <c r="H60">
        <v>4.5999999927649998E-2</v>
      </c>
      <c r="I60">
        <v>4.1329230131356698E-2</v>
      </c>
      <c r="J60" t="s">
        <v>44</v>
      </c>
    </row>
    <row r="61" spans="1:35" x14ac:dyDescent="0.2">
      <c r="D61" s="18">
        <v>7</v>
      </c>
      <c r="E61" s="18" t="s">
        <v>27</v>
      </c>
      <c r="F61">
        <v>0.48684210227773689</v>
      </c>
      <c r="G61">
        <v>6.5954750547703361E-2</v>
      </c>
      <c r="H61">
        <v>4.3499999840399997E-2</v>
      </c>
      <c r="I61">
        <v>2.4711759346152763E-2</v>
      </c>
      <c r="J61" t="s">
        <v>27</v>
      </c>
    </row>
    <row r="62" spans="1:35" x14ac:dyDescent="0.2">
      <c r="D62" s="18">
        <v>8</v>
      </c>
      <c r="E62" s="18" t="s">
        <v>41</v>
      </c>
      <c r="F62">
        <v>0.40684210256884207</v>
      </c>
      <c r="G62">
        <v>5.7638974692993429E-2</v>
      </c>
      <c r="H62">
        <v>2.8500000121200002E-2</v>
      </c>
      <c r="I62">
        <v>1.248736215429024E-2</v>
      </c>
      <c r="J62" t="s">
        <v>41</v>
      </c>
    </row>
    <row r="63" spans="1:35" x14ac:dyDescent="0.2">
      <c r="D63" s="18">
        <v>9</v>
      </c>
      <c r="E63" s="18" t="s">
        <v>28</v>
      </c>
      <c r="F63">
        <v>0.38631579299200014</v>
      </c>
      <c r="G63">
        <v>6.491965398966551E-2</v>
      </c>
      <c r="H63">
        <v>6.4999999000000001E-3</v>
      </c>
      <c r="I63">
        <v>3.3462468709066638E-3</v>
      </c>
      <c r="J63" t="s">
        <v>28</v>
      </c>
    </row>
    <row r="64" spans="1:35" x14ac:dyDescent="0.2">
      <c r="D64" s="18">
        <v>10</v>
      </c>
      <c r="E64" s="18" t="s">
        <v>23</v>
      </c>
      <c r="F64">
        <v>0.38578947351749476</v>
      </c>
      <c r="G64">
        <v>5.475864136469985E-2</v>
      </c>
      <c r="H64">
        <v>5.9999999664700002E-3</v>
      </c>
      <c r="I64">
        <v>4.1927255197202785E-3</v>
      </c>
      <c r="J64" t="s">
        <v>23</v>
      </c>
    </row>
    <row r="65" spans="4:10" x14ac:dyDescent="0.2">
      <c r="D65" s="18">
        <v>11</v>
      </c>
      <c r="E65" s="18" t="s">
        <v>25</v>
      </c>
      <c r="F65">
        <v>0.37578947373396843</v>
      </c>
      <c r="G65">
        <v>7.1977294883063259E-2</v>
      </c>
      <c r="H65">
        <v>2.3000000016470002E-2</v>
      </c>
      <c r="I65">
        <v>1.5028044004163788E-2</v>
      </c>
      <c r="J65" t="s">
        <v>25</v>
      </c>
    </row>
    <row r="66" spans="4:10" x14ac:dyDescent="0.2">
      <c r="D66" s="18">
        <v>12</v>
      </c>
      <c r="E66" s="18" t="s">
        <v>42</v>
      </c>
      <c r="F66">
        <v>0.35210526331278941</v>
      </c>
      <c r="G66">
        <v>6.9544466275116915E-2</v>
      </c>
      <c r="H66">
        <v>5.9999999276499991E-3</v>
      </c>
      <c r="I66">
        <v>3.3560628324696504E-3</v>
      </c>
      <c r="J66" t="s">
        <v>42</v>
      </c>
    </row>
    <row r="67" spans="4:10" x14ac:dyDescent="0.2">
      <c r="D67" s="18">
        <v>13</v>
      </c>
      <c r="E67" s="18" t="s">
        <v>33</v>
      </c>
      <c r="F67">
        <v>0.3068421041213158</v>
      </c>
      <c r="G67">
        <v>7.036433972786392E-2</v>
      </c>
      <c r="H67">
        <v>2.9999999499999998E-3</v>
      </c>
      <c r="I67">
        <v>1.7917941214559815E-3</v>
      </c>
      <c r="J67" t="s">
        <v>33</v>
      </c>
    </row>
    <row r="68" spans="4:10" x14ac:dyDescent="0.2">
      <c r="D68" s="18">
        <v>14</v>
      </c>
      <c r="E68" s="18" t="s">
        <v>30</v>
      </c>
      <c r="F68">
        <v>0.27894736689057897</v>
      </c>
      <c r="G68">
        <v>5.0182415550885796E-2</v>
      </c>
      <c r="H68">
        <v>3.4999999500000003E-3</v>
      </c>
      <c r="I68">
        <v>2.2094295090052452E-3</v>
      </c>
      <c r="J68" t="s">
        <v>30</v>
      </c>
    </row>
    <row r="69" spans="4:10" x14ac:dyDescent="0.2">
      <c r="D69" s="18">
        <v>15</v>
      </c>
      <c r="E69" s="18" t="s">
        <v>38</v>
      </c>
      <c r="F69">
        <v>0.27157894892467899</v>
      </c>
      <c r="G69">
        <v>6.2566689730041425E-2</v>
      </c>
      <c r="H69">
        <v>4.9999999052950002E-3</v>
      </c>
      <c r="I69">
        <v>2.7625311941144241E-3</v>
      </c>
      <c r="J69" t="s">
        <v>38</v>
      </c>
    </row>
    <row r="70" spans="4:10" x14ac:dyDescent="0.2">
      <c r="D70" s="18">
        <v>16</v>
      </c>
      <c r="E70" s="18" t="s">
        <v>35</v>
      </c>
      <c r="F70">
        <v>0.19157894859084212</v>
      </c>
      <c r="G70">
        <v>5.6770802575356619E-2</v>
      </c>
      <c r="H70">
        <v>2.4999999500000003E-3</v>
      </c>
      <c r="I70">
        <v>1.6018081436137632E-3</v>
      </c>
      <c r="J70" t="s">
        <v>35</v>
      </c>
    </row>
    <row r="71" spans="4:10" x14ac:dyDescent="0.2">
      <c r="D71" s="18">
        <v>17</v>
      </c>
      <c r="E71" s="18" t="s">
        <v>29</v>
      </c>
      <c r="F71">
        <v>0.18842105298184211</v>
      </c>
      <c r="G71">
        <v>5.6066742232682022E-2</v>
      </c>
      <c r="H71">
        <v>3.0000000000000001E-3</v>
      </c>
      <c r="I71">
        <v>1.468977445995038E-3</v>
      </c>
      <c r="J71" t="s">
        <v>29</v>
      </c>
    </row>
    <row r="72" spans="4:10" x14ac:dyDescent="0.2">
      <c r="D72" s="18">
        <v>18</v>
      </c>
      <c r="E72" s="18" t="s">
        <v>31</v>
      </c>
      <c r="F72">
        <v>0.15736842138478946</v>
      </c>
      <c r="G72">
        <v>4.752684663655455E-2</v>
      </c>
      <c r="H72">
        <v>3.0000000000000001E-3</v>
      </c>
      <c r="I72">
        <v>1.468977445995038E-3</v>
      </c>
      <c r="J72" t="s">
        <v>31</v>
      </c>
    </row>
    <row r="73" spans="4:10" x14ac:dyDescent="0.2">
      <c r="D73" s="18">
        <v>19</v>
      </c>
      <c r="E73" s="18" t="s">
        <v>32</v>
      </c>
      <c r="F73">
        <v>0.10105263096200001</v>
      </c>
      <c r="G73">
        <v>3.4959458418995816E-2</v>
      </c>
      <c r="H73">
        <v>6.9999999500000003E-3</v>
      </c>
      <c r="I73">
        <v>3.9802142014562086E-3</v>
      </c>
      <c r="J73" t="s">
        <v>32</v>
      </c>
    </row>
    <row r="74" spans="4:10" x14ac:dyDescent="0.2">
      <c r="D74" s="18">
        <v>20</v>
      </c>
      <c r="E74" s="18" t="s">
        <v>39</v>
      </c>
      <c r="F74">
        <v>5.842105120215263E-2</v>
      </c>
      <c r="G74">
        <v>3.1581139401248209E-2</v>
      </c>
      <c r="H74">
        <v>2.4999999552949999E-3</v>
      </c>
      <c r="I74">
        <v>2.0358626342752498E-3</v>
      </c>
      <c r="J74" t="s">
        <v>39</v>
      </c>
    </row>
    <row r="75" spans="4:10" x14ac:dyDescent="0.2">
      <c r="D75" s="18">
        <v>21</v>
      </c>
      <c r="E75" s="18" t="s">
        <v>34</v>
      </c>
      <c r="F75">
        <v>2.9999999920526318E-2</v>
      </c>
      <c r="G75">
        <v>1.1030261388637474E-2</v>
      </c>
      <c r="H75">
        <v>4.4999999499999999E-3</v>
      </c>
      <c r="I75">
        <v>3.1182822063471186E-3</v>
      </c>
      <c r="J75" t="s">
        <v>34</v>
      </c>
    </row>
    <row r="76" spans="4:10" x14ac:dyDescent="0.2">
      <c r="E76" s="18"/>
    </row>
    <row r="77" spans="4:10" x14ac:dyDescent="0.2">
      <c r="E77" s="18"/>
    </row>
  </sheetData>
  <sortState columnSort="1" ref="F1:AG86">
    <sortCondition descending="1" ref="F22:AG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DZ117"/>
  <sheetViews>
    <sheetView view="pageBreakPreview" zoomScaleSheetLayoutView="70" workbookViewId="0">
      <pane xSplit="1" topLeftCell="CR1" activePane="topRight" state="frozen"/>
      <selection pane="topRight" activeCell="CZ3" sqref="CZ3"/>
    </sheetView>
  </sheetViews>
  <sheetFormatPr baseColWidth="10" defaultColWidth="8.83203125" defaultRowHeight="15" x14ac:dyDescent="0.2"/>
  <cols>
    <col min="99" max="100" width="8.83203125" style="3"/>
    <col min="104" max="104" width="11.83203125" bestFit="1" customWidth="1"/>
  </cols>
  <sheetData>
    <row r="1" spans="1:130" s="21" customFormat="1" ht="16" thickBot="1" x14ac:dyDescent="0.25">
      <c r="A1" s="23"/>
      <c r="B1" s="23" t="s">
        <v>55</v>
      </c>
      <c r="C1" s="23"/>
      <c r="D1" s="23"/>
      <c r="E1" s="144">
        <v>22</v>
      </c>
      <c r="F1" s="144">
        <v>14</v>
      </c>
      <c r="G1" s="21">
        <v>3</v>
      </c>
      <c r="H1" s="144">
        <v>33</v>
      </c>
      <c r="I1" s="139">
        <v>82</v>
      </c>
      <c r="J1" s="140">
        <v>20</v>
      </c>
      <c r="K1" s="140">
        <v>23</v>
      </c>
      <c r="L1" s="21">
        <v>8</v>
      </c>
      <c r="M1" s="140">
        <v>75</v>
      </c>
      <c r="N1" s="21">
        <v>10</v>
      </c>
      <c r="O1" s="139">
        <v>39</v>
      </c>
      <c r="P1" s="77">
        <v>63</v>
      </c>
      <c r="Q1" s="78">
        <v>34</v>
      </c>
      <c r="R1" s="21">
        <v>14</v>
      </c>
      <c r="S1" s="21">
        <v>15</v>
      </c>
      <c r="T1" s="21">
        <v>16</v>
      </c>
      <c r="U1" s="21">
        <v>17</v>
      </c>
      <c r="V1" s="21">
        <v>18</v>
      </c>
      <c r="W1" s="78">
        <v>18</v>
      </c>
      <c r="X1" s="21">
        <v>20</v>
      </c>
      <c r="Y1" s="21">
        <v>21</v>
      </c>
      <c r="Z1" s="133">
        <v>12</v>
      </c>
      <c r="AA1" s="21">
        <v>23</v>
      </c>
      <c r="AB1" s="21">
        <v>24</v>
      </c>
      <c r="AC1" s="133">
        <v>86</v>
      </c>
      <c r="AD1" s="139">
        <v>72</v>
      </c>
      <c r="AE1" s="73">
        <v>81</v>
      </c>
      <c r="AF1" s="21">
        <v>28</v>
      </c>
      <c r="AG1" s="145">
        <v>50</v>
      </c>
      <c r="AH1" s="77">
        <v>62</v>
      </c>
      <c r="AI1" s="451">
        <v>28</v>
      </c>
      <c r="AJ1" s="21">
        <v>32</v>
      </c>
      <c r="AK1" s="21">
        <v>33</v>
      </c>
      <c r="AL1" s="134">
        <v>67</v>
      </c>
      <c r="AM1" s="134">
        <v>38</v>
      </c>
      <c r="AN1" s="137">
        <v>46</v>
      </c>
      <c r="AO1" s="78">
        <v>52</v>
      </c>
      <c r="AP1" s="21">
        <v>38</v>
      </c>
      <c r="AQ1" s="21">
        <v>39</v>
      </c>
      <c r="AR1" s="451">
        <v>31</v>
      </c>
      <c r="AS1" s="145">
        <v>77</v>
      </c>
      <c r="AT1" s="133">
        <v>91</v>
      </c>
      <c r="AU1" s="134">
        <v>27</v>
      </c>
      <c r="AV1" s="21">
        <v>44</v>
      </c>
      <c r="AW1" s="21">
        <v>45</v>
      </c>
      <c r="AX1" s="21">
        <v>46</v>
      </c>
      <c r="AY1" s="451">
        <v>54</v>
      </c>
      <c r="AZ1" s="78">
        <v>42</v>
      </c>
      <c r="BA1" s="145">
        <v>69</v>
      </c>
      <c r="BB1" s="134">
        <v>64</v>
      </c>
      <c r="BC1" s="78">
        <v>41</v>
      </c>
      <c r="BD1" s="21">
        <v>52</v>
      </c>
      <c r="BE1" s="21">
        <v>53</v>
      </c>
      <c r="BF1" s="21">
        <v>54</v>
      </c>
      <c r="BG1" s="21">
        <v>55</v>
      </c>
      <c r="BH1" s="21">
        <v>56</v>
      </c>
      <c r="BI1" s="21">
        <v>57</v>
      </c>
      <c r="BJ1" s="21">
        <v>58</v>
      </c>
      <c r="BK1" s="21">
        <v>59</v>
      </c>
      <c r="BL1" s="21">
        <v>60</v>
      </c>
      <c r="BM1" s="21">
        <v>61</v>
      </c>
      <c r="BN1" s="21">
        <v>62</v>
      </c>
      <c r="BO1" s="21">
        <v>63</v>
      </c>
      <c r="BP1" s="73">
        <v>9</v>
      </c>
      <c r="BQ1" s="21">
        <v>65</v>
      </c>
      <c r="BR1" s="21">
        <v>66</v>
      </c>
      <c r="BS1" s="21">
        <v>67</v>
      </c>
      <c r="BT1" s="21">
        <v>68</v>
      </c>
      <c r="BU1" s="21">
        <v>69</v>
      </c>
      <c r="BV1" s="21">
        <v>70</v>
      </c>
      <c r="BW1" s="21">
        <v>71</v>
      </c>
      <c r="BX1" s="77">
        <v>26</v>
      </c>
      <c r="BY1" s="134">
        <v>47</v>
      </c>
      <c r="BZ1" s="137">
        <v>44</v>
      </c>
      <c r="CA1" s="21">
        <v>75</v>
      </c>
      <c r="CB1" s="21">
        <v>76</v>
      </c>
      <c r="CC1" s="21">
        <v>77</v>
      </c>
      <c r="CD1" s="73">
        <v>94</v>
      </c>
      <c r="CE1" s="137">
        <v>32</v>
      </c>
      <c r="CF1" s="137">
        <v>43</v>
      </c>
      <c r="CG1" s="134">
        <v>78</v>
      </c>
      <c r="CH1" s="21">
        <v>82</v>
      </c>
      <c r="CI1" s="21">
        <v>83</v>
      </c>
      <c r="CJ1" s="21">
        <v>84</v>
      </c>
      <c r="CK1" s="21">
        <v>85</v>
      </c>
      <c r="CL1" s="21">
        <v>86</v>
      </c>
      <c r="CM1" s="137">
        <v>56</v>
      </c>
      <c r="CN1" s="134">
        <v>8</v>
      </c>
      <c r="CO1" s="137">
        <v>89</v>
      </c>
      <c r="CP1" s="21">
        <v>90</v>
      </c>
      <c r="CQ1" s="21">
        <v>91</v>
      </c>
      <c r="CR1" s="21">
        <v>92</v>
      </c>
      <c r="CS1" s="21">
        <v>93</v>
      </c>
      <c r="CT1" s="21">
        <v>94</v>
      </c>
      <c r="CU1" s="23"/>
      <c r="CV1" s="23"/>
      <c r="DL1" s="77" t="s">
        <v>347</v>
      </c>
    </row>
    <row r="2" spans="1:130" s="6" customFormat="1" ht="16" thickBot="1" x14ac:dyDescent="0.25">
      <c r="A2" s="4" t="s">
        <v>20</v>
      </c>
      <c r="B2" s="4" t="s">
        <v>20</v>
      </c>
      <c r="C2" s="4" t="s">
        <v>21</v>
      </c>
      <c r="D2" s="4" t="s">
        <v>51</v>
      </c>
      <c r="E2" s="6" t="s">
        <v>80</v>
      </c>
      <c r="F2" s="6" t="s">
        <v>72</v>
      </c>
      <c r="G2" s="8" t="s">
        <v>94</v>
      </c>
      <c r="H2" s="6" t="s">
        <v>91</v>
      </c>
      <c r="I2" s="6" t="s">
        <v>140</v>
      </c>
      <c r="J2" s="6" t="s">
        <v>78</v>
      </c>
      <c r="K2" s="6" t="s">
        <v>81</v>
      </c>
      <c r="L2" s="6" t="s">
        <v>65</v>
      </c>
      <c r="M2" s="6" t="s">
        <v>133</v>
      </c>
      <c r="N2" s="6" t="s">
        <v>59</v>
      </c>
      <c r="O2" s="6" t="s">
        <v>97</v>
      </c>
      <c r="P2" s="6" t="s">
        <v>121</v>
      </c>
      <c r="Q2" s="6" t="s">
        <v>92</v>
      </c>
      <c r="R2" s="6" t="s">
        <v>129</v>
      </c>
      <c r="S2" s="6" t="s">
        <v>115</v>
      </c>
      <c r="T2" s="6" t="s">
        <v>93</v>
      </c>
      <c r="U2" s="6" t="s">
        <v>128</v>
      </c>
      <c r="V2" s="6" t="s">
        <v>95</v>
      </c>
      <c r="W2" s="6" t="s">
        <v>76</v>
      </c>
      <c r="X2" s="6" t="s">
        <v>145</v>
      </c>
      <c r="Y2" s="6" t="s">
        <v>84</v>
      </c>
      <c r="Z2" s="6" t="s">
        <v>70</v>
      </c>
      <c r="AA2" s="6" t="s">
        <v>61</v>
      </c>
      <c r="AB2" s="6" t="s">
        <v>117</v>
      </c>
      <c r="AC2" s="6" t="s">
        <v>144</v>
      </c>
      <c r="AD2" s="6" t="s">
        <v>130</v>
      </c>
      <c r="AE2" s="6" t="s">
        <v>139</v>
      </c>
      <c r="AF2" s="6" t="s">
        <v>141</v>
      </c>
      <c r="AG2" s="364" t="s">
        <v>108</v>
      </c>
      <c r="AH2" s="6" t="s">
        <v>120</v>
      </c>
      <c r="AI2" s="143" t="s">
        <v>86</v>
      </c>
      <c r="AJ2" s="6" t="s">
        <v>113</v>
      </c>
      <c r="AK2" s="6" t="s">
        <v>150</v>
      </c>
      <c r="AL2" s="6" t="s">
        <v>125</v>
      </c>
      <c r="AM2" s="6" t="s">
        <v>96</v>
      </c>
      <c r="AN2" s="6" t="s">
        <v>104</v>
      </c>
      <c r="AO2" s="6" t="s">
        <v>110</v>
      </c>
      <c r="AP2" s="8" t="s">
        <v>138</v>
      </c>
      <c r="AQ2" s="6" t="s">
        <v>103</v>
      </c>
      <c r="AR2" s="143" t="s">
        <v>89</v>
      </c>
      <c r="AS2" s="364" t="s">
        <v>135</v>
      </c>
      <c r="AT2" s="6" t="s">
        <v>149</v>
      </c>
      <c r="AU2" s="6" t="s">
        <v>85</v>
      </c>
      <c r="AV2" s="6" t="s">
        <v>63</v>
      </c>
      <c r="AW2" s="6" t="s">
        <v>98</v>
      </c>
      <c r="AX2" s="6" t="s">
        <v>131</v>
      </c>
      <c r="AY2" s="143" t="s">
        <v>112</v>
      </c>
      <c r="AZ2" s="6" t="s">
        <v>100</v>
      </c>
      <c r="BA2" s="364" t="s">
        <v>127</v>
      </c>
      <c r="BB2" s="6" t="s">
        <v>122</v>
      </c>
      <c r="BC2" s="6" t="s">
        <v>99</v>
      </c>
      <c r="BD2" s="6" t="s">
        <v>124</v>
      </c>
      <c r="BE2" s="6" t="s">
        <v>132</v>
      </c>
      <c r="BF2" s="6" t="s">
        <v>116</v>
      </c>
      <c r="BG2" s="6" t="s">
        <v>119</v>
      </c>
      <c r="BH2" s="6" t="s">
        <v>146</v>
      </c>
      <c r="BI2" s="6" t="s">
        <v>107</v>
      </c>
      <c r="BJ2" s="6" t="s">
        <v>109</v>
      </c>
      <c r="BK2" s="6" t="s">
        <v>74</v>
      </c>
      <c r="BL2" s="6" t="s">
        <v>77</v>
      </c>
      <c r="BM2" s="6" t="s">
        <v>60</v>
      </c>
      <c r="BN2" s="6" t="s">
        <v>106</v>
      </c>
      <c r="BO2" s="6" t="s">
        <v>151</v>
      </c>
      <c r="BP2" s="6" t="s">
        <v>67</v>
      </c>
      <c r="BQ2" s="6" t="s">
        <v>123</v>
      </c>
      <c r="BR2" s="6" t="s">
        <v>142</v>
      </c>
      <c r="BS2" s="6" t="s">
        <v>134</v>
      </c>
      <c r="BT2" s="6" t="s">
        <v>148</v>
      </c>
      <c r="BU2" s="6" t="s">
        <v>82</v>
      </c>
      <c r="BV2" s="6" t="s">
        <v>73</v>
      </c>
      <c r="BW2" s="6" t="s">
        <v>143</v>
      </c>
      <c r="BX2" s="6" t="s">
        <v>118</v>
      </c>
      <c r="BY2" s="6" t="s">
        <v>105</v>
      </c>
      <c r="BZ2" s="6" t="s">
        <v>102</v>
      </c>
      <c r="CA2" s="6" t="s">
        <v>68</v>
      </c>
      <c r="CB2" s="6" t="s">
        <v>87</v>
      </c>
      <c r="CC2" s="6" t="s">
        <v>71</v>
      </c>
      <c r="CD2" s="6" t="s">
        <v>417</v>
      </c>
      <c r="CE2" s="6" t="s">
        <v>90</v>
      </c>
      <c r="CF2" s="6" t="s">
        <v>101</v>
      </c>
      <c r="CG2" s="6" t="s">
        <v>136</v>
      </c>
      <c r="CH2" s="6" t="s">
        <v>62</v>
      </c>
      <c r="CI2" s="6" t="s">
        <v>83</v>
      </c>
      <c r="CJ2" s="6" t="s">
        <v>69</v>
      </c>
      <c r="CK2" s="6" t="s">
        <v>137</v>
      </c>
      <c r="CL2" s="6" t="s">
        <v>75</v>
      </c>
      <c r="CM2" s="6" t="s">
        <v>114</v>
      </c>
      <c r="CN2" s="6" t="s">
        <v>66</v>
      </c>
      <c r="CO2" s="6" t="s">
        <v>147</v>
      </c>
      <c r="CP2" s="6" t="s">
        <v>79</v>
      </c>
      <c r="CQ2" s="6" t="s">
        <v>111</v>
      </c>
      <c r="CR2" s="6" t="s">
        <v>126</v>
      </c>
      <c r="CS2" s="6" t="s">
        <v>88</v>
      </c>
      <c r="CT2" s="6" t="s">
        <v>64</v>
      </c>
      <c r="CU2" s="4" t="s">
        <v>52</v>
      </c>
      <c r="CV2" s="4" t="s">
        <v>53</v>
      </c>
      <c r="CW2" s="223" t="s">
        <v>353</v>
      </c>
      <c r="CY2" s="7"/>
      <c r="CZ2" s="146" t="s">
        <v>547</v>
      </c>
      <c r="DA2" s="71" t="s">
        <v>548</v>
      </c>
      <c r="DB2" s="142" t="s">
        <v>549</v>
      </c>
      <c r="DC2" s="147" t="s">
        <v>550</v>
      </c>
      <c r="DD2" s="136" t="s">
        <v>551</v>
      </c>
      <c r="DE2" s="135" t="s">
        <v>552</v>
      </c>
      <c r="DF2" s="148" t="s">
        <v>237</v>
      </c>
      <c r="DG2" s="149" t="s">
        <v>553</v>
      </c>
      <c r="DH2" s="150" t="s">
        <v>558</v>
      </c>
      <c r="DI2" s="141" t="s">
        <v>556</v>
      </c>
      <c r="DJ2" s="143" t="s">
        <v>562</v>
      </c>
      <c r="DL2" s="146" t="s">
        <v>406</v>
      </c>
      <c r="DM2" s="71" t="s">
        <v>407</v>
      </c>
      <c r="DN2" s="142" t="s">
        <v>408</v>
      </c>
      <c r="DO2" s="147" t="s">
        <v>409</v>
      </c>
      <c r="DP2" s="136" t="s">
        <v>410</v>
      </c>
      <c r="DQ2" s="135" t="s">
        <v>411</v>
      </c>
      <c r="DR2" s="148" t="s">
        <v>412</v>
      </c>
      <c r="DS2" s="149" t="s">
        <v>413</v>
      </c>
      <c r="DT2" s="150" t="s">
        <v>414</v>
      </c>
      <c r="DU2" s="141" t="s">
        <v>415</v>
      </c>
      <c r="DV2" s="143" t="s">
        <v>416</v>
      </c>
      <c r="DX2" s="150" t="s">
        <v>29</v>
      </c>
    </row>
    <row r="3" spans="1:130" ht="16" thickBot="1" x14ac:dyDescent="0.25">
      <c r="A3" s="3" t="s">
        <v>0</v>
      </c>
      <c r="B3" s="3" t="s">
        <v>0</v>
      </c>
      <c r="C3" s="3">
        <v>1</v>
      </c>
      <c r="D3" s="3">
        <v>1</v>
      </c>
      <c r="E3" s="2">
        <v>1</v>
      </c>
      <c r="F3" s="2">
        <v>0.99000000953699996</v>
      </c>
      <c r="G3" s="2">
        <v>0.99000000953699996</v>
      </c>
      <c r="H3" s="2">
        <v>0.97000002861000001</v>
      </c>
      <c r="I3" s="2">
        <v>0.15000000595999999</v>
      </c>
      <c r="J3" s="2">
        <v>0.389999985695</v>
      </c>
      <c r="K3" s="2">
        <v>9.0000003576300003E-2</v>
      </c>
      <c r="L3" s="2">
        <v>0.46999999880799997</v>
      </c>
      <c r="M3" s="2">
        <v>0.34999999403999998</v>
      </c>
      <c r="N3" s="2">
        <v>0.18000000715299999</v>
      </c>
      <c r="O3" s="2">
        <v>0</v>
      </c>
      <c r="P3" s="2">
        <v>0.239999994636</v>
      </c>
      <c r="Q3" s="2">
        <v>2.99999993294E-2</v>
      </c>
      <c r="R3" s="2">
        <v>9.9999997764800008E-3</v>
      </c>
      <c r="S3" s="2">
        <v>0.239999994636</v>
      </c>
      <c r="T3" s="2">
        <v>0.31999999284699998</v>
      </c>
      <c r="U3" s="2">
        <v>0.98000001907300005</v>
      </c>
      <c r="V3" s="2">
        <v>7.0000000298000006E-2</v>
      </c>
      <c r="W3" s="2">
        <v>0</v>
      </c>
      <c r="X3" s="2">
        <v>0.99000000953699996</v>
      </c>
      <c r="Y3" s="2">
        <v>0</v>
      </c>
      <c r="Z3" s="2">
        <v>0</v>
      </c>
      <c r="AA3" s="2">
        <v>0.20999999344299999</v>
      </c>
      <c r="AB3" s="2">
        <v>0.44999998807899999</v>
      </c>
      <c r="AC3" s="2">
        <v>9.0000003576300003E-2</v>
      </c>
      <c r="AD3" s="2">
        <v>7.99999982119E-2</v>
      </c>
      <c r="AE3" s="2">
        <v>0</v>
      </c>
      <c r="AF3" s="2">
        <v>0.87000000476799999</v>
      </c>
      <c r="AG3" s="2">
        <v>0</v>
      </c>
      <c r="AH3" s="2">
        <v>0</v>
      </c>
      <c r="AI3" s="2">
        <v>0</v>
      </c>
      <c r="AJ3" s="2">
        <v>0.49000000953700001</v>
      </c>
      <c r="AK3" s="2">
        <v>0.14000000059600001</v>
      </c>
      <c r="AL3" s="2">
        <v>0</v>
      </c>
      <c r="AM3" s="2">
        <v>0</v>
      </c>
      <c r="AN3" s="2">
        <v>0</v>
      </c>
      <c r="AO3" s="2">
        <v>0</v>
      </c>
      <c r="AP3" s="9">
        <v>0</v>
      </c>
      <c r="AQ3" s="2">
        <v>0</v>
      </c>
      <c r="AR3" s="2">
        <v>0</v>
      </c>
      <c r="AS3" s="2">
        <v>0.12999999523200001</v>
      </c>
      <c r="AT3" s="2">
        <v>9.9999997764800008E-3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0.15999999642400001</v>
      </c>
      <c r="BG3" s="2">
        <v>0</v>
      </c>
      <c r="BH3" s="2">
        <v>0.15000000595999999</v>
      </c>
      <c r="BI3" s="2">
        <v>0</v>
      </c>
      <c r="BJ3" s="2">
        <v>0</v>
      </c>
      <c r="BK3" s="2">
        <v>0</v>
      </c>
      <c r="BL3" s="2">
        <v>0</v>
      </c>
      <c r="BM3" s="2">
        <v>9.0000003576300003E-2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1.9999999553000001E-2</v>
      </c>
      <c r="BT3" s="2">
        <v>0.27000001072899998</v>
      </c>
      <c r="BU3" s="2">
        <v>9.9999997764800008E-3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18">
        <v>0</v>
      </c>
      <c r="CG3" s="2">
        <v>0</v>
      </c>
      <c r="CH3" s="2">
        <v>0</v>
      </c>
      <c r="CI3" s="2">
        <v>9.9999997764800008E-3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W3" s="224" t="s">
        <v>354</v>
      </c>
      <c r="CX3" s="5"/>
      <c r="CY3" s="80">
        <v>1</v>
      </c>
      <c r="CZ3" s="249">
        <f>AVERAGE(BC3,AZ3,AO3,Q3,W3)</f>
        <v>5.9999998658800003E-3</v>
      </c>
      <c r="DA3" s="250">
        <f>AVERAGE(CD3,BP3,AE3)</f>
        <v>0</v>
      </c>
      <c r="DB3" s="251">
        <f>AVERAGE(AT3,Z3,AC3)</f>
        <v>3.333333445092667E-2</v>
      </c>
      <c r="DC3" s="252">
        <f>AVERAGE(BA3,AS3,AG3)</f>
        <v>4.3333331744000003E-2</v>
      </c>
      <c r="DD3" s="160">
        <f>AVERAGE(BX3,AH3,P3)</f>
        <v>7.9999998212000004E-2</v>
      </c>
      <c r="DE3" s="253">
        <f>AVERAGE(CN3,CG3,BY3,BB3,AU3,AM3,AL3)</f>
        <v>0</v>
      </c>
      <c r="DF3" s="254">
        <f>AVERAGE(CO3,CM3,CF3,CE3,BZ3,AN3)</f>
        <v>0</v>
      </c>
      <c r="DG3" s="255">
        <f>AVERAGE(AD3,O3,I3)</f>
        <v>7.6666668057299991E-2</v>
      </c>
      <c r="DH3" s="256">
        <f>AVERAGE(E3,F3,H3)</f>
        <v>0.98666667938233321</v>
      </c>
      <c r="DI3" s="257">
        <f>AVERAGE(M3,K3,J3)</f>
        <v>0.27666666110376664</v>
      </c>
      <c r="DJ3" s="258">
        <f>AVERAGE(AY3,AR3,AI3)</f>
        <v>0</v>
      </c>
      <c r="DL3">
        <f>CZ3-CZ29</f>
        <v>3.9999999105840003E-3</v>
      </c>
      <c r="DM3" s="18">
        <f t="shared" ref="DM3:DV18" si="0">DA3-DA29</f>
        <v>-6.6666665176533342E-3</v>
      </c>
      <c r="DN3" s="18">
        <f t="shared" si="0"/>
        <v>2.6666667933273335E-2</v>
      </c>
      <c r="DO3" s="18">
        <f t="shared" si="0"/>
        <v>3.6666665226346672E-2</v>
      </c>
      <c r="DP3" s="18">
        <f t="shared" si="0"/>
        <v>6.9999998435520003E-2</v>
      </c>
      <c r="DQ3" s="18">
        <f t="shared" si="0"/>
        <v>-5.7142855865600006E-3</v>
      </c>
      <c r="DR3" s="18">
        <f t="shared" si="0"/>
        <v>-3.3333332588266671E-3</v>
      </c>
      <c r="DS3" s="18">
        <f t="shared" si="0"/>
        <v>7.0000001539646653E-2</v>
      </c>
      <c r="DT3" s="18">
        <f t="shared" si="0"/>
        <v>0.98666667938233321</v>
      </c>
      <c r="DU3" s="18">
        <f t="shared" si="0"/>
        <v>0.27333332784493997</v>
      </c>
      <c r="DV3" s="18">
        <f t="shared" si="0"/>
        <v>-6.6666665176533342E-3</v>
      </c>
      <c r="DX3" s="144">
        <v>0</v>
      </c>
    </row>
    <row r="4" spans="1:130" ht="16" thickBot="1" x14ac:dyDescent="0.25">
      <c r="A4" s="3" t="s">
        <v>1</v>
      </c>
      <c r="B4" s="3" t="s">
        <v>1</v>
      </c>
      <c r="C4" s="3">
        <v>2</v>
      </c>
      <c r="D4" s="3">
        <v>2</v>
      </c>
      <c r="E4" s="2">
        <v>0.97</v>
      </c>
      <c r="F4" s="2">
        <v>0.63</v>
      </c>
      <c r="G4" s="2">
        <v>0.86</v>
      </c>
      <c r="H4" s="2">
        <v>0.05</v>
      </c>
      <c r="I4" s="2">
        <v>0.78</v>
      </c>
      <c r="J4" s="2">
        <v>0.87</v>
      </c>
      <c r="K4" s="2">
        <v>0.97</v>
      </c>
      <c r="L4" s="2">
        <v>0.77</v>
      </c>
      <c r="M4" s="2">
        <v>0.23</v>
      </c>
      <c r="N4" s="2">
        <v>0.84</v>
      </c>
      <c r="O4" s="2">
        <v>0.59</v>
      </c>
      <c r="P4" s="2">
        <v>0.8</v>
      </c>
      <c r="Q4" s="2">
        <v>0.4</v>
      </c>
      <c r="R4" s="2">
        <v>0.76</v>
      </c>
      <c r="S4" s="2">
        <v>0.53</v>
      </c>
      <c r="T4" s="2">
        <v>0.62</v>
      </c>
      <c r="U4" s="2">
        <v>0.76</v>
      </c>
      <c r="V4" s="2">
        <v>0.52</v>
      </c>
      <c r="W4" s="2">
        <v>0.51</v>
      </c>
      <c r="X4" s="2">
        <v>0.5</v>
      </c>
      <c r="Y4" s="2">
        <v>0.65</v>
      </c>
      <c r="Z4" s="2">
        <v>0.69</v>
      </c>
      <c r="AA4" s="2">
        <v>0.63</v>
      </c>
      <c r="AB4" s="2">
        <v>0.04</v>
      </c>
      <c r="AC4" s="2">
        <v>0.47</v>
      </c>
      <c r="AD4" s="2">
        <v>0.49</v>
      </c>
      <c r="AE4" s="2">
        <v>0.25</v>
      </c>
      <c r="AF4" s="2">
        <v>0.2</v>
      </c>
      <c r="AG4" s="2">
        <v>0.5</v>
      </c>
      <c r="AH4" s="2">
        <v>0.61</v>
      </c>
      <c r="AI4" s="2">
        <v>0.15</v>
      </c>
      <c r="AJ4" s="2">
        <v>0.23</v>
      </c>
      <c r="AK4" s="2">
        <v>0.5</v>
      </c>
      <c r="AL4" s="2">
        <v>0</v>
      </c>
      <c r="AM4" s="2">
        <v>0.59</v>
      </c>
      <c r="AN4" s="2">
        <v>0.1</v>
      </c>
      <c r="AO4" s="2">
        <v>0.45</v>
      </c>
      <c r="AP4" s="2">
        <v>0.02</v>
      </c>
      <c r="AQ4" s="2">
        <v>0.55000000000000004</v>
      </c>
      <c r="AR4" s="2">
        <v>0.41</v>
      </c>
      <c r="AS4" s="2">
        <v>0.43</v>
      </c>
      <c r="AT4" s="2">
        <v>0.08</v>
      </c>
      <c r="AU4" s="2">
        <v>0.64</v>
      </c>
      <c r="AV4" s="2">
        <v>0.12</v>
      </c>
      <c r="AW4" s="2">
        <v>0.32</v>
      </c>
      <c r="AX4" s="2">
        <v>0.2</v>
      </c>
      <c r="AY4" s="2">
        <v>0.46</v>
      </c>
      <c r="AZ4" s="2">
        <v>0.41</v>
      </c>
      <c r="BA4" s="2">
        <v>0.2</v>
      </c>
      <c r="BB4" s="2">
        <v>0.1</v>
      </c>
      <c r="BC4" s="2">
        <v>0.41</v>
      </c>
      <c r="BD4" s="2">
        <v>0.05</v>
      </c>
      <c r="BE4" s="2">
        <v>0.62</v>
      </c>
      <c r="BF4" s="2">
        <v>0.53</v>
      </c>
      <c r="BG4" s="2">
        <v>0.12</v>
      </c>
      <c r="BH4" s="2">
        <v>0.66</v>
      </c>
      <c r="BI4" s="2">
        <v>0.05</v>
      </c>
      <c r="BJ4" s="2">
        <v>0.17</v>
      </c>
      <c r="BK4" s="2">
        <v>0.02</v>
      </c>
      <c r="BL4" s="2">
        <v>0.04</v>
      </c>
      <c r="BM4" s="2">
        <v>0.11</v>
      </c>
      <c r="BN4" s="2">
        <v>0.21</v>
      </c>
      <c r="BO4" s="2">
        <v>0.23</v>
      </c>
      <c r="BP4" s="2">
        <v>0.31</v>
      </c>
      <c r="BQ4" s="2">
        <v>0.1</v>
      </c>
      <c r="BR4" s="2">
        <v>0.15</v>
      </c>
      <c r="BS4" s="2">
        <v>0.23</v>
      </c>
      <c r="BT4" s="2">
        <v>0.22</v>
      </c>
      <c r="BU4" s="2">
        <v>0.09</v>
      </c>
      <c r="BV4" s="2">
        <v>0.02</v>
      </c>
      <c r="BW4" s="2">
        <v>0.49</v>
      </c>
      <c r="BX4" s="2">
        <v>0.04</v>
      </c>
      <c r="BY4" s="2">
        <v>0.04</v>
      </c>
      <c r="BZ4" s="2">
        <v>0</v>
      </c>
      <c r="CA4" s="2">
        <v>0.43</v>
      </c>
      <c r="CB4" s="2">
        <v>0.26</v>
      </c>
      <c r="CC4" s="2">
        <v>0.53</v>
      </c>
      <c r="CD4" s="2">
        <v>0.12</v>
      </c>
      <c r="CE4" s="2">
        <v>0.05</v>
      </c>
      <c r="CF4" s="2">
        <v>0</v>
      </c>
      <c r="CG4" s="2">
        <v>0.02</v>
      </c>
      <c r="CH4" s="2">
        <v>0.09</v>
      </c>
      <c r="CI4" s="2">
        <v>0.01</v>
      </c>
      <c r="CJ4" s="2">
        <v>0.24</v>
      </c>
      <c r="CK4" s="2">
        <v>0.02</v>
      </c>
      <c r="CL4" s="2">
        <v>0.28999999999999998</v>
      </c>
      <c r="CM4" s="2">
        <v>7.0000000000000007E-2</v>
      </c>
      <c r="CN4" s="2">
        <v>0.02</v>
      </c>
      <c r="CO4" s="2">
        <v>0.01</v>
      </c>
      <c r="CP4" s="2">
        <v>0.03</v>
      </c>
      <c r="CQ4" s="2">
        <v>0.06</v>
      </c>
      <c r="CR4" s="2">
        <v>0</v>
      </c>
      <c r="CS4" s="2">
        <v>0</v>
      </c>
      <c r="CT4" s="2">
        <v>0</v>
      </c>
      <c r="CW4" s="224" t="s">
        <v>355</v>
      </c>
      <c r="CX4" s="5"/>
      <c r="CY4" s="80">
        <v>2</v>
      </c>
      <c r="CZ4" s="259">
        <f t="shared" ref="CZ4:CZ22" si="1">AVERAGE(BC4,AZ4,AO4,Q4,W4)</f>
        <v>0.43599999999999994</v>
      </c>
      <c r="DA4" s="72">
        <f t="shared" ref="DA4:DA22" si="2">AVERAGE(CD4,BP4,AE4)</f>
        <v>0.22666666666666666</v>
      </c>
      <c r="DB4" s="260">
        <f t="shared" ref="DB4:DB22" si="3">AVERAGE(AT4,Z4,AC4)</f>
        <v>0.41333333333333327</v>
      </c>
      <c r="DC4" s="261">
        <f t="shared" ref="DC4:DC22" si="4">AVERAGE(BA4,AS4,AG4)</f>
        <v>0.37666666666666665</v>
      </c>
      <c r="DD4" s="154">
        <f t="shared" ref="DD4:DD22" si="5">AVERAGE(BX4,AH4,P4)</f>
        <v>0.48333333333333339</v>
      </c>
      <c r="DE4" s="262">
        <f t="shared" ref="DE4:DE22" si="6">AVERAGE(CN4,CG4,BY4,BB4,AU4,AM4,AL4)</f>
        <v>0.20142857142857146</v>
      </c>
      <c r="DF4" s="263">
        <f t="shared" ref="DF4:DF22" si="7">AVERAGE(CO4,CM4,CF4,CE4,BZ4,AN4)</f>
        <v>3.8333333333333337E-2</v>
      </c>
      <c r="DG4" s="264">
        <f t="shared" ref="DG4:DG22" si="8">AVERAGE(AD4,O4,I4)</f>
        <v>0.62</v>
      </c>
      <c r="DH4" s="265">
        <f t="shared" ref="DH4:DH22" si="9">AVERAGE(E4,F4,H4)</f>
        <v>0.55000000000000004</v>
      </c>
      <c r="DI4" s="266">
        <f t="shared" ref="DI4:DI22" si="10">AVERAGE(M4,K4,J4)</f>
        <v>0.69</v>
      </c>
      <c r="DJ4" s="267">
        <f t="shared" ref="DJ4:DJ22" si="11">AVERAGE(AY4,AR4,AI4)</f>
        <v>0.34</v>
      </c>
      <c r="DL4" s="18">
        <f t="shared" ref="DL4:DL22" si="12">CZ4-CZ30</f>
        <v>0.43599999999999994</v>
      </c>
      <c r="DM4" s="18">
        <f t="shared" si="0"/>
        <v>0.22666666666666666</v>
      </c>
      <c r="DN4" s="18">
        <f t="shared" si="0"/>
        <v>0.41333333333333327</v>
      </c>
      <c r="DO4" s="18">
        <f t="shared" si="0"/>
        <v>0.37666666666666665</v>
      </c>
      <c r="DP4" s="18">
        <f t="shared" si="0"/>
        <v>0.48333333333333339</v>
      </c>
      <c r="DQ4" s="18">
        <f t="shared" si="0"/>
        <v>0.20142857142857146</v>
      </c>
      <c r="DR4" s="18">
        <f t="shared" si="0"/>
        <v>3.8333333333333337E-2</v>
      </c>
      <c r="DS4" s="18">
        <f t="shared" si="0"/>
        <v>0.62</v>
      </c>
      <c r="DT4" s="18">
        <f t="shared" si="0"/>
        <v>0.55000000000000004</v>
      </c>
      <c r="DU4" s="18">
        <f t="shared" si="0"/>
        <v>0.69</v>
      </c>
      <c r="DV4" s="18">
        <f t="shared" si="0"/>
        <v>0.34</v>
      </c>
      <c r="DX4" s="144">
        <v>0.93</v>
      </c>
      <c r="DZ4" s="146" t="s">
        <v>555</v>
      </c>
    </row>
    <row r="5" spans="1:130" ht="16" thickBot="1" x14ac:dyDescent="0.25">
      <c r="A5" s="3" t="s">
        <v>2</v>
      </c>
      <c r="B5" s="3" t="s">
        <v>2</v>
      </c>
      <c r="C5" s="3">
        <v>1</v>
      </c>
      <c r="D5" s="3">
        <v>1</v>
      </c>
      <c r="E5" s="5">
        <v>0.36</v>
      </c>
      <c r="F5" s="5">
        <v>0.27</v>
      </c>
      <c r="G5" s="5">
        <v>0.21</v>
      </c>
      <c r="H5" s="5">
        <v>0</v>
      </c>
      <c r="I5" s="5">
        <v>0.18</v>
      </c>
      <c r="J5" s="5">
        <v>0.22</v>
      </c>
      <c r="K5" s="5">
        <v>0.2</v>
      </c>
      <c r="L5" s="5">
        <v>0.12</v>
      </c>
      <c r="M5" s="5">
        <v>0.2</v>
      </c>
      <c r="N5" s="5">
        <v>0.09</v>
      </c>
      <c r="O5" s="5">
        <v>0</v>
      </c>
      <c r="P5" s="5">
        <v>0</v>
      </c>
      <c r="Q5" s="5">
        <v>0.01</v>
      </c>
      <c r="R5" s="5">
        <v>0.22</v>
      </c>
      <c r="S5" s="5">
        <v>0</v>
      </c>
      <c r="T5" s="5">
        <v>0</v>
      </c>
      <c r="U5" s="5">
        <v>0.63</v>
      </c>
      <c r="V5" s="5">
        <v>0.39</v>
      </c>
      <c r="W5" s="5">
        <v>0</v>
      </c>
      <c r="X5" s="5">
        <v>0.01</v>
      </c>
      <c r="Y5" s="5">
        <v>0</v>
      </c>
      <c r="Z5" s="5">
        <v>0.31</v>
      </c>
      <c r="AA5" s="5">
        <v>0.12</v>
      </c>
      <c r="AB5" s="5">
        <v>0</v>
      </c>
      <c r="AC5" s="5">
        <v>0.12</v>
      </c>
      <c r="AD5" s="5">
        <v>0</v>
      </c>
      <c r="AE5" s="5">
        <v>0.2</v>
      </c>
      <c r="AF5" s="5">
        <v>0</v>
      </c>
      <c r="AG5" s="5">
        <v>0.17</v>
      </c>
      <c r="AH5" s="5">
        <v>0</v>
      </c>
      <c r="AI5" s="5">
        <v>0.5</v>
      </c>
      <c r="AJ5" s="5">
        <v>0.01</v>
      </c>
      <c r="AK5" s="5">
        <v>0</v>
      </c>
      <c r="AL5" s="5">
        <v>0.34</v>
      </c>
      <c r="AM5" s="5">
        <v>0.23</v>
      </c>
      <c r="AN5" s="5">
        <v>0.33</v>
      </c>
      <c r="AO5" s="5">
        <v>0</v>
      </c>
      <c r="AP5" s="5">
        <v>0</v>
      </c>
      <c r="AQ5" s="5">
        <v>0.26</v>
      </c>
      <c r="AR5" s="5">
        <v>0.11</v>
      </c>
      <c r="AS5" s="5">
        <v>0.21</v>
      </c>
      <c r="AT5" s="5">
        <v>0.01</v>
      </c>
      <c r="AU5" s="5">
        <v>0.24</v>
      </c>
      <c r="AV5" s="5">
        <v>0</v>
      </c>
      <c r="AW5" s="5">
        <v>0</v>
      </c>
      <c r="AX5" s="5">
        <v>0.18</v>
      </c>
      <c r="AY5" s="5">
        <v>0</v>
      </c>
      <c r="AZ5" s="5">
        <v>0</v>
      </c>
      <c r="BA5" s="5">
        <v>0.48</v>
      </c>
      <c r="BB5" s="5">
        <v>0.23</v>
      </c>
      <c r="BC5" s="5">
        <v>0</v>
      </c>
      <c r="BD5" s="5">
        <v>0</v>
      </c>
      <c r="BE5" s="5">
        <v>0</v>
      </c>
      <c r="BF5" s="5">
        <v>0.2</v>
      </c>
      <c r="BG5" s="5">
        <v>0</v>
      </c>
      <c r="BH5" s="5">
        <v>0</v>
      </c>
      <c r="BI5" s="5">
        <v>0</v>
      </c>
      <c r="BJ5" s="5">
        <v>0.27</v>
      </c>
      <c r="BK5" s="5">
        <v>0</v>
      </c>
      <c r="BL5" s="5">
        <v>0</v>
      </c>
      <c r="BM5" s="5">
        <v>0.75</v>
      </c>
      <c r="BN5" s="5">
        <v>0</v>
      </c>
      <c r="BO5" s="5">
        <v>0.01</v>
      </c>
      <c r="BP5" s="5">
        <v>0.17</v>
      </c>
      <c r="BQ5" s="5">
        <v>0.01</v>
      </c>
      <c r="BR5" s="5">
        <v>0.63</v>
      </c>
      <c r="BS5" s="5">
        <v>0</v>
      </c>
      <c r="BT5" s="5">
        <v>0.12</v>
      </c>
      <c r="BU5" s="5">
        <v>0.15</v>
      </c>
      <c r="BV5" s="5">
        <v>0.14000000000000001</v>
      </c>
      <c r="BW5" s="5">
        <v>0.47</v>
      </c>
      <c r="BX5" s="5">
        <v>0.01</v>
      </c>
      <c r="BY5" s="5">
        <v>0</v>
      </c>
      <c r="BZ5" s="5">
        <v>0</v>
      </c>
      <c r="CA5" s="5">
        <v>0</v>
      </c>
      <c r="CB5" s="5">
        <v>0.45</v>
      </c>
      <c r="CC5" s="5">
        <v>0</v>
      </c>
      <c r="CD5" s="5">
        <v>0.23</v>
      </c>
      <c r="CE5" s="5">
        <v>0</v>
      </c>
      <c r="CF5" s="5">
        <v>0</v>
      </c>
      <c r="CG5" s="5">
        <v>0.23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7.0000000000000007E-2</v>
      </c>
      <c r="CN5" s="5">
        <v>0.08</v>
      </c>
      <c r="CO5" s="5">
        <v>0</v>
      </c>
      <c r="CP5" s="5">
        <v>0.18</v>
      </c>
      <c r="CQ5" s="5">
        <v>0</v>
      </c>
      <c r="CR5" s="5">
        <v>0</v>
      </c>
      <c r="CS5" s="5">
        <v>0</v>
      </c>
      <c r="CT5" s="5">
        <v>0</v>
      </c>
      <c r="CW5" s="224" t="s">
        <v>356</v>
      </c>
      <c r="CX5" s="5"/>
      <c r="CY5" s="80">
        <v>3</v>
      </c>
      <c r="CZ5" s="259">
        <f t="shared" si="1"/>
        <v>2E-3</v>
      </c>
      <c r="DA5" s="72">
        <f t="shared" si="2"/>
        <v>0.20000000000000004</v>
      </c>
      <c r="DB5" s="260">
        <f t="shared" si="3"/>
        <v>0.14666666666666667</v>
      </c>
      <c r="DC5" s="261">
        <f t="shared" si="4"/>
        <v>0.28666666666666668</v>
      </c>
      <c r="DD5" s="154">
        <f t="shared" si="5"/>
        <v>3.3333333333333335E-3</v>
      </c>
      <c r="DE5" s="262">
        <f t="shared" si="6"/>
        <v>0.19285714285714287</v>
      </c>
      <c r="DF5" s="263">
        <f t="shared" si="7"/>
        <v>6.6666666666666666E-2</v>
      </c>
      <c r="DG5" s="264">
        <f t="shared" si="8"/>
        <v>0.06</v>
      </c>
      <c r="DH5" s="265">
        <f t="shared" si="9"/>
        <v>0.21</v>
      </c>
      <c r="DI5" s="266">
        <f t="shared" si="10"/>
        <v>0.20666666666666667</v>
      </c>
      <c r="DJ5" s="267">
        <f t="shared" si="11"/>
        <v>0.20333333333333334</v>
      </c>
      <c r="DL5" s="18">
        <f t="shared" si="12"/>
        <v>2E-3</v>
      </c>
      <c r="DM5" s="18">
        <f t="shared" si="0"/>
        <v>0.20000000000000004</v>
      </c>
      <c r="DN5" s="18">
        <f t="shared" si="0"/>
        <v>0.14666666666666667</v>
      </c>
      <c r="DO5" s="18">
        <f t="shared" si="0"/>
        <v>0.28666666666666668</v>
      </c>
      <c r="DP5" s="18">
        <f t="shared" si="0"/>
        <v>3.3333333333333335E-3</v>
      </c>
      <c r="DQ5" s="18">
        <f t="shared" si="0"/>
        <v>0.19285714285714287</v>
      </c>
      <c r="DR5" s="18">
        <f t="shared" si="0"/>
        <v>6.6666666666666666E-2</v>
      </c>
      <c r="DS5" s="18">
        <f t="shared" si="0"/>
        <v>0.06</v>
      </c>
      <c r="DT5" s="18">
        <f t="shared" si="0"/>
        <v>0.21</v>
      </c>
      <c r="DU5" s="18">
        <f t="shared" si="0"/>
        <v>0.20666666666666667</v>
      </c>
      <c r="DV5" s="18">
        <f t="shared" si="0"/>
        <v>0.20333333333333334</v>
      </c>
      <c r="DX5" s="144">
        <v>0.05</v>
      </c>
      <c r="DZ5" s="71" t="s">
        <v>548</v>
      </c>
    </row>
    <row r="6" spans="1:130" ht="16" thickBot="1" x14ac:dyDescent="0.25">
      <c r="A6" s="3" t="s">
        <v>3</v>
      </c>
      <c r="B6" s="3" t="s">
        <v>3</v>
      </c>
      <c r="C6" s="3">
        <v>2</v>
      </c>
      <c r="D6" s="3">
        <v>2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0.579999983311</v>
      </c>
      <c r="N6" s="2">
        <v>0.99000000953699996</v>
      </c>
      <c r="O6" s="2">
        <v>1</v>
      </c>
      <c r="P6" s="2">
        <v>1</v>
      </c>
      <c r="Q6" s="2">
        <v>1</v>
      </c>
      <c r="R6" s="2">
        <v>0.56000000238400005</v>
      </c>
      <c r="S6" s="2">
        <v>1</v>
      </c>
      <c r="T6" s="2">
        <v>1</v>
      </c>
      <c r="U6" s="2">
        <v>1</v>
      </c>
      <c r="V6" s="2">
        <v>1</v>
      </c>
      <c r="W6" s="2">
        <v>0.98000001907300005</v>
      </c>
      <c r="X6" s="2">
        <v>1</v>
      </c>
      <c r="Y6" s="2">
        <v>0.55000001192100001</v>
      </c>
      <c r="Z6" s="2">
        <v>1</v>
      </c>
      <c r="AA6" s="2">
        <v>0</v>
      </c>
      <c r="AB6" s="2">
        <v>0.98000001907300005</v>
      </c>
      <c r="AC6" s="2">
        <v>1</v>
      </c>
      <c r="AD6" s="2">
        <v>9.9999997764800008E-3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0.64999997615799998</v>
      </c>
      <c r="AK6" s="2">
        <v>0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0.50999999046300004</v>
      </c>
      <c r="AR6" s="2">
        <v>0</v>
      </c>
      <c r="AS6" s="2">
        <v>0.77999997138999999</v>
      </c>
      <c r="AT6" s="2">
        <v>1</v>
      </c>
      <c r="AU6" s="2">
        <v>1</v>
      </c>
      <c r="AV6" s="2">
        <v>1</v>
      </c>
      <c r="AW6" s="2">
        <v>0.20999999344299999</v>
      </c>
      <c r="AX6" s="2">
        <v>0.52999997138999999</v>
      </c>
      <c r="AY6" s="2">
        <v>0.64999997615799998</v>
      </c>
      <c r="AZ6" s="2">
        <v>0.99000000953699996</v>
      </c>
      <c r="BA6" s="2">
        <v>0.50999999046300004</v>
      </c>
      <c r="BB6" s="2">
        <v>0</v>
      </c>
      <c r="BC6" s="2">
        <v>0.20999999344299999</v>
      </c>
      <c r="BD6" s="2">
        <v>1</v>
      </c>
      <c r="BE6" s="2">
        <v>0.579999983311</v>
      </c>
      <c r="BF6" s="2">
        <v>1</v>
      </c>
      <c r="BG6" s="2">
        <v>0.81999999284699998</v>
      </c>
      <c r="BH6" s="2">
        <v>1</v>
      </c>
      <c r="BI6" s="2">
        <v>1</v>
      </c>
      <c r="BJ6" s="2">
        <v>7.99999982119E-2</v>
      </c>
      <c r="BK6" s="2">
        <v>0.37000000476799999</v>
      </c>
      <c r="BL6" s="2">
        <v>1</v>
      </c>
      <c r="BM6" s="2">
        <v>1</v>
      </c>
      <c r="BN6" s="2">
        <v>1</v>
      </c>
      <c r="BO6" s="2">
        <v>0</v>
      </c>
      <c r="BP6" s="2">
        <v>0</v>
      </c>
      <c r="BQ6" s="2">
        <v>0.72000002861000001</v>
      </c>
      <c r="BR6" s="2">
        <v>0.28999999165500001</v>
      </c>
      <c r="BS6" s="2">
        <v>0.579999983311</v>
      </c>
      <c r="BT6" s="2">
        <v>0</v>
      </c>
      <c r="BU6" s="2">
        <v>1</v>
      </c>
      <c r="BV6" s="2">
        <v>0.33000001311299998</v>
      </c>
      <c r="BW6" s="2">
        <v>0</v>
      </c>
      <c r="BX6" s="2">
        <v>0.98000001907300005</v>
      </c>
      <c r="BY6" s="2">
        <v>1</v>
      </c>
      <c r="BZ6" s="2">
        <v>0.95999997854200003</v>
      </c>
      <c r="CA6" s="2">
        <v>0.189999997616</v>
      </c>
      <c r="CB6" s="2">
        <v>3.9999999105899998E-2</v>
      </c>
      <c r="CC6" s="2">
        <v>0.17000000178800001</v>
      </c>
      <c r="CD6" s="2">
        <v>0</v>
      </c>
      <c r="CE6" s="2">
        <v>0</v>
      </c>
      <c r="CF6" s="2">
        <v>0.95999997854200003</v>
      </c>
      <c r="CG6" s="2">
        <v>0</v>
      </c>
      <c r="CH6" s="2">
        <v>0.12999999523200001</v>
      </c>
      <c r="CI6" s="2">
        <v>0.55000001192100001</v>
      </c>
      <c r="CJ6" s="2">
        <v>0</v>
      </c>
      <c r="CK6" s="2">
        <v>0</v>
      </c>
      <c r="CL6" s="2">
        <v>1.9999999553000001E-2</v>
      </c>
      <c r="CM6" s="2">
        <v>9.9999997764800008E-3</v>
      </c>
      <c r="CN6" s="2">
        <v>0</v>
      </c>
      <c r="CO6" s="2">
        <v>0</v>
      </c>
      <c r="CP6" s="2">
        <v>0</v>
      </c>
      <c r="CQ6" s="2">
        <v>0</v>
      </c>
      <c r="CR6" s="2">
        <v>9.9999997764800008E-3</v>
      </c>
      <c r="CS6" s="2">
        <v>3.9999999105899998E-2</v>
      </c>
      <c r="CT6" s="2">
        <v>0</v>
      </c>
      <c r="CW6" s="224" t="s">
        <v>357</v>
      </c>
      <c r="CX6" s="5"/>
      <c r="CY6" s="80">
        <v>4</v>
      </c>
      <c r="CZ6" s="259">
        <f t="shared" si="1"/>
        <v>0.83600000441059996</v>
      </c>
      <c r="DA6" s="72">
        <f t="shared" si="2"/>
        <v>0.33333333333333331</v>
      </c>
      <c r="DB6" s="260">
        <f t="shared" si="3"/>
        <v>1</v>
      </c>
      <c r="DC6" s="261">
        <f t="shared" si="4"/>
        <v>0.76333332061766657</v>
      </c>
      <c r="DD6" s="154">
        <f t="shared" si="5"/>
        <v>0.99333333969100002</v>
      </c>
      <c r="DE6" s="262">
        <f t="shared" si="6"/>
        <v>0.5714285714285714</v>
      </c>
      <c r="DF6" s="263">
        <f t="shared" si="7"/>
        <v>0.48833332614341335</v>
      </c>
      <c r="DG6" s="264">
        <f t="shared" si="8"/>
        <v>0.66999999992549331</v>
      </c>
      <c r="DH6" s="265">
        <f t="shared" si="9"/>
        <v>1</v>
      </c>
      <c r="DI6" s="266">
        <f t="shared" si="10"/>
        <v>0.85999999443700004</v>
      </c>
      <c r="DJ6" s="267">
        <f t="shared" si="11"/>
        <v>0.5499999920526667</v>
      </c>
      <c r="DL6" s="18">
        <f t="shared" si="12"/>
        <v>0.83400000445530398</v>
      </c>
      <c r="DM6" s="18">
        <f t="shared" si="0"/>
        <v>0.33333333333333331</v>
      </c>
      <c r="DN6" s="18">
        <f t="shared" si="0"/>
        <v>1</v>
      </c>
      <c r="DO6" s="18">
        <f t="shared" si="0"/>
        <v>0.76333332061766657</v>
      </c>
      <c r="DP6" s="18">
        <f t="shared" si="0"/>
        <v>0.99333333969100002</v>
      </c>
      <c r="DQ6" s="18">
        <f t="shared" si="0"/>
        <v>0.5714285714285714</v>
      </c>
      <c r="DR6" s="18">
        <f t="shared" si="0"/>
        <v>0.48833332614341335</v>
      </c>
      <c r="DS6" s="18">
        <f t="shared" si="0"/>
        <v>0.66999999992549331</v>
      </c>
      <c r="DT6" s="18">
        <f t="shared" si="0"/>
        <v>1</v>
      </c>
      <c r="DU6" s="18">
        <f t="shared" si="0"/>
        <v>0.85999999443700004</v>
      </c>
      <c r="DV6" s="18">
        <f t="shared" si="0"/>
        <v>0.5499999920526667</v>
      </c>
      <c r="DX6" s="144">
        <v>7.0000000298000006E-2</v>
      </c>
      <c r="DZ6" s="142" t="s">
        <v>549</v>
      </c>
    </row>
    <row r="7" spans="1:130" ht="16" thickBot="1" x14ac:dyDescent="0.25">
      <c r="A7" s="3" t="s">
        <v>4</v>
      </c>
      <c r="B7" s="3" t="s">
        <v>4</v>
      </c>
      <c r="C7" s="3">
        <v>1</v>
      </c>
      <c r="D7" s="3">
        <v>1</v>
      </c>
      <c r="E7" s="2">
        <v>1</v>
      </c>
      <c r="F7" s="2">
        <v>1</v>
      </c>
      <c r="G7" s="2">
        <v>0.97000002861000001</v>
      </c>
      <c r="H7" s="2">
        <v>0.94999998807899999</v>
      </c>
      <c r="I7" s="2">
        <v>0.91000002622599996</v>
      </c>
      <c r="J7" s="2">
        <v>1</v>
      </c>
      <c r="K7" s="2">
        <v>1</v>
      </c>
      <c r="L7" s="2">
        <v>1</v>
      </c>
      <c r="M7" s="2">
        <v>1</v>
      </c>
      <c r="N7" s="2">
        <v>0.81000000238400005</v>
      </c>
      <c r="O7" s="2">
        <v>1</v>
      </c>
      <c r="P7" s="2">
        <v>0.58999997377400004</v>
      </c>
      <c r="Q7" s="2">
        <v>0.30000001192100001</v>
      </c>
      <c r="R7" s="2">
        <v>0.74000000953699996</v>
      </c>
      <c r="S7" s="2">
        <v>0.64999997615799998</v>
      </c>
      <c r="T7" s="2">
        <v>0.79000002145799997</v>
      </c>
      <c r="U7" s="2">
        <v>0.74000000953699996</v>
      </c>
      <c r="V7" s="2">
        <v>0.86000001430499995</v>
      </c>
      <c r="W7" s="2">
        <v>0.56999999284699998</v>
      </c>
      <c r="X7" s="2">
        <v>0.81999999284699998</v>
      </c>
      <c r="Y7" s="2">
        <v>0.75</v>
      </c>
      <c r="Z7" s="2">
        <v>0.74000000953699996</v>
      </c>
      <c r="AA7" s="2">
        <v>0.670000016689</v>
      </c>
      <c r="AB7" s="2">
        <v>0.73000001907300005</v>
      </c>
      <c r="AC7" s="2">
        <v>0.58999997377400004</v>
      </c>
      <c r="AD7" s="2">
        <v>0.87999999523200001</v>
      </c>
      <c r="AE7" s="2">
        <v>0.87999999523200001</v>
      </c>
      <c r="AF7" s="2">
        <v>0.68000000715300002</v>
      </c>
      <c r="AG7" s="2">
        <v>0.670000016689</v>
      </c>
      <c r="AH7" s="2">
        <v>0.77999997138999999</v>
      </c>
      <c r="AI7" s="2">
        <v>0.17000000178800001</v>
      </c>
      <c r="AJ7" s="2">
        <v>1</v>
      </c>
      <c r="AK7" s="2">
        <v>0.76999998092699995</v>
      </c>
      <c r="AL7" s="2">
        <v>0.51999998092699995</v>
      </c>
      <c r="AM7" s="2">
        <v>0.74000000953699996</v>
      </c>
      <c r="AN7" s="2">
        <v>0.63999998569500005</v>
      </c>
      <c r="AO7" s="2">
        <v>0.18000000715299999</v>
      </c>
      <c r="AP7" s="2">
        <v>0.63999998569500005</v>
      </c>
      <c r="AQ7" s="2">
        <v>0.34000000357600002</v>
      </c>
      <c r="AR7" s="2">
        <v>0.27000001072899998</v>
      </c>
      <c r="AS7" s="2">
        <v>0.75</v>
      </c>
      <c r="AT7" s="2">
        <v>0.14000000059600001</v>
      </c>
      <c r="AU7" s="2">
        <v>0.50999999046300004</v>
      </c>
      <c r="AV7" s="2">
        <v>0.66000002622599996</v>
      </c>
      <c r="AW7" s="2">
        <v>0.34999999403999998</v>
      </c>
      <c r="AX7" s="2">
        <v>0.670000016689</v>
      </c>
      <c r="AY7" s="2">
        <v>0.44999998807899999</v>
      </c>
      <c r="AZ7" s="2">
        <v>0.58999997377400004</v>
      </c>
      <c r="BA7" s="2">
        <v>0.17000000178800001</v>
      </c>
      <c r="BB7" s="2">
        <v>0.69999998807899999</v>
      </c>
      <c r="BC7" s="2">
        <v>3.9999999105899998E-2</v>
      </c>
      <c r="BD7" s="2">
        <v>0.68000000715300002</v>
      </c>
      <c r="BE7" s="2">
        <v>1</v>
      </c>
      <c r="BF7" s="2">
        <v>0.15000000595999999</v>
      </c>
      <c r="BG7" s="2">
        <v>0.75999999046300004</v>
      </c>
      <c r="BH7" s="2">
        <v>1</v>
      </c>
      <c r="BI7" s="2">
        <v>0.61000001430499995</v>
      </c>
      <c r="BJ7" s="2">
        <v>0.62999999523200001</v>
      </c>
      <c r="BK7" s="2">
        <v>0.310000002384</v>
      </c>
      <c r="BL7" s="2">
        <v>0.81999999284699998</v>
      </c>
      <c r="BM7" s="2">
        <v>0.20999999344299999</v>
      </c>
      <c r="BN7" s="2">
        <v>0.189999997616</v>
      </c>
      <c r="BO7" s="2">
        <v>0.74000000953699996</v>
      </c>
      <c r="BP7" s="2">
        <v>0.23000000417200001</v>
      </c>
      <c r="BQ7" s="2">
        <v>0.40999999642399998</v>
      </c>
      <c r="BR7" s="2">
        <v>0.34000000357600002</v>
      </c>
      <c r="BS7" s="2">
        <v>1</v>
      </c>
      <c r="BT7" s="2">
        <v>0</v>
      </c>
      <c r="BU7" s="2">
        <v>0.68999999761599995</v>
      </c>
      <c r="BV7" s="2">
        <v>0.15999999642400001</v>
      </c>
      <c r="BW7" s="2">
        <v>0.25999999046299999</v>
      </c>
      <c r="BX7" s="2">
        <v>0.73000001907300005</v>
      </c>
      <c r="BY7" s="2">
        <v>0.79000002145799997</v>
      </c>
      <c r="BZ7" s="2">
        <v>0.66000002622599996</v>
      </c>
      <c r="CA7" s="2">
        <v>0.579999983311</v>
      </c>
      <c r="CB7" s="2">
        <v>0.44999998807899999</v>
      </c>
      <c r="CC7" s="2">
        <v>0.62999999523200001</v>
      </c>
      <c r="CD7" s="2">
        <v>2.99999993294E-2</v>
      </c>
      <c r="CE7" s="2">
        <v>0.64999997615799998</v>
      </c>
      <c r="CF7" s="2">
        <v>0.33000001311299998</v>
      </c>
      <c r="CG7" s="2">
        <v>0.66000002622599996</v>
      </c>
      <c r="CH7" s="2">
        <v>0.239999994636</v>
      </c>
      <c r="CI7" s="2">
        <v>0.670000016689</v>
      </c>
      <c r="CJ7" s="2">
        <v>0.86000001430499995</v>
      </c>
      <c r="CK7" s="2">
        <v>0.62000000476799999</v>
      </c>
      <c r="CL7" s="2">
        <v>0.20999999344299999</v>
      </c>
      <c r="CM7" s="2">
        <v>0.37000000476799999</v>
      </c>
      <c r="CN7" s="2">
        <v>0.46000000834499999</v>
      </c>
      <c r="CO7" s="2">
        <v>0.360000014305</v>
      </c>
      <c r="CP7" s="2">
        <v>0.189999997616</v>
      </c>
      <c r="CQ7" s="2">
        <v>0.15000000595999999</v>
      </c>
      <c r="CR7" s="2">
        <v>0.17000000178800001</v>
      </c>
      <c r="CS7" s="2">
        <v>0.18000000715299999</v>
      </c>
      <c r="CT7" s="2">
        <v>0.20999999344299999</v>
      </c>
      <c r="CW7" s="224" t="s">
        <v>358</v>
      </c>
      <c r="CX7" s="5"/>
      <c r="CY7" s="80">
        <v>5</v>
      </c>
      <c r="CZ7" s="259">
        <f t="shared" si="1"/>
        <v>0.33599999696018001</v>
      </c>
      <c r="DA7" s="72">
        <f t="shared" si="2"/>
        <v>0.37999999957780001</v>
      </c>
      <c r="DB7" s="260">
        <f t="shared" si="3"/>
        <v>0.48999999463566662</v>
      </c>
      <c r="DC7" s="261">
        <f t="shared" si="4"/>
        <v>0.530000006159</v>
      </c>
      <c r="DD7" s="154">
        <f t="shared" si="5"/>
        <v>0.69999998807899999</v>
      </c>
      <c r="DE7" s="262">
        <f t="shared" si="6"/>
        <v>0.62571428929071427</v>
      </c>
      <c r="DF7" s="263">
        <f t="shared" si="7"/>
        <v>0.50166667004416665</v>
      </c>
      <c r="DG7" s="264">
        <f t="shared" si="8"/>
        <v>0.93000000715266662</v>
      </c>
      <c r="DH7" s="265">
        <f t="shared" si="9"/>
        <v>0.98333332935966666</v>
      </c>
      <c r="DI7" s="266">
        <f t="shared" si="10"/>
        <v>1</v>
      </c>
      <c r="DJ7" s="267">
        <f t="shared" si="11"/>
        <v>0.29666666686533333</v>
      </c>
      <c r="DL7" s="18">
        <f>CZ7-CZ33</f>
        <v>0.32799999713899602</v>
      </c>
      <c r="DM7" s="18">
        <f t="shared" si="0"/>
        <v>0.37666666631897333</v>
      </c>
      <c r="DN7" s="18">
        <f t="shared" si="0"/>
        <v>0.47333332834154662</v>
      </c>
      <c r="DO7" s="18">
        <f t="shared" si="0"/>
        <v>0.52666667290017333</v>
      </c>
      <c r="DP7" s="18">
        <f t="shared" si="0"/>
        <v>0.59666665767636662</v>
      </c>
      <c r="DQ7" s="18">
        <f t="shared" si="0"/>
        <v>0.58571429018471999</v>
      </c>
      <c r="DR7" s="18">
        <f t="shared" si="0"/>
        <v>0.49166667026767996</v>
      </c>
      <c r="DS7" s="18">
        <f t="shared" si="0"/>
        <v>0.81000000238433323</v>
      </c>
      <c r="DT7" s="18">
        <f t="shared" si="0"/>
        <v>0.73333332935966666</v>
      </c>
      <c r="DU7" s="18">
        <f t="shared" si="0"/>
        <v>0.86000000188766668</v>
      </c>
      <c r="DV7" s="18">
        <f t="shared" si="0"/>
        <v>0.29000000034767998</v>
      </c>
      <c r="DX7" s="144">
        <v>0.23000000417200001</v>
      </c>
      <c r="DZ7" s="147" t="s">
        <v>550</v>
      </c>
    </row>
    <row r="8" spans="1:130" ht="16" thickBot="1" x14ac:dyDescent="0.25">
      <c r="A8" s="3" t="s">
        <v>5</v>
      </c>
      <c r="B8" s="3" t="s">
        <v>5</v>
      </c>
      <c r="C8" s="3">
        <v>2</v>
      </c>
      <c r="D8" s="3">
        <v>2</v>
      </c>
      <c r="E8" s="18">
        <v>0.02</v>
      </c>
      <c r="F8" s="18">
        <v>0.02</v>
      </c>
      <c r="G8" s="18">
        <v>0.02</v>
      </c>
      <c r="H8" s="18">
        <v>0.02</v>
      </c>
      <c r="I8" s="18">
        <v>0.11</v>
      </c>
      <c r="J8" s="18">
        <v>0.02</v>
      </c>
      <c r="K8" s="18">
        <v>0.02</v>
      </c>
      <c r="L8" s="18">
        <v>0.02</v>
      </c>
      <c r="M8" s="18">
        <v>0.02</v>
      </c>
      <c r="N8" s="18">
        <v>0.18</v>
      </c>
      <c r="O8" s="18">
        <v>0.02</v>
      </c>
      <c r="P8" s="18">
        <v>0.02</v>
      </c>
      <c r="Q8" s="18">
        <v>0.02</v>
      </c>
      <c r="R8" s="18">
        <v>0.02</v>
      </c>
      <c r="S8" s="18">
        <v>0.02</v>
      </c>
      <c r="T8" s="18">
        <v>0.02</v>
      </c>
      <c r="U8" s="18">
        <v>0.02</v>
      </c>
      <c r="V8" s="18">
        <v>0.02</v>
      </c>
      <c r="W8" s="18">
        <v>0.02</v>
      </c>
      <c r="X8" s="18">
        <v>0.04</v>
      </c>
      <c r="Y8" s="18">
        <v>0.02</v>
      </c>
      <c r="Z8" s="18">
        <v>0.02</v>
      </c>
      <c r="AA8" s="18">
        <v>0.28999999999999998</v>
      </c>
      <c r="AB8" s="18">
        <v>0.02</v>
      </c>
      <c r="AC8" s="18">
        <v>0.04</v>
      </c>
      <c r="AD8" s="18">
        <v>0.02</v>
      </c>
      <c r="AE8" s="18">
        <v>0.03</v>
      </c>
      <c r="AF8" s="18">
        <v>0.04</v>
      </c>
      <c r="AG8" s="18">
        <v>0.02</v>
      </c>
      <c r="AH8" s="18">
        <v>0.02</v>
      </c>
      <c r="AI8" s="18">
        <v>0.02</v>
      </c>
      <c r="AJ8" s="18">
        <v>0.02</v>
      </c>
      <c r="AK8" s="18">
        <v>0.04</v>
      </c>
      <c r="AL8" s="18">
        <v>0.02</v>
      </c>
      <c r="AM8" s="18">
        <v>0.02</v>
      </c>
      <c r="AN8" s="18">
        <v>0.02</v>
      </c>
      <c r="AO8" s="18">
        <v>0.02</v>
      </c>
      <c r="AP8" s="18">
        <v>0.2</v>
      </c>
      <c r="AQ8" s="18">
        <v>0.02</v>
      </c>
      <c r="AR8" s="18">
        <v>0.02</v>
      </c>
      <c r="AS8" s="18">
        <v>0.02</v>
      </c>
      <c r="AT8" s="18">
        <v>0.04</v>
      </c>
      <c r="AU8" s="18">
        <v>0.02</v>
      </c>
      <c r="AV8" s="18">
        <v>0.02</v>
      </c>
      <c r="AW8" s="18">
        <v>0.02</v>
      </c>
      <c r="AX8" s="18">
        <v>0.02</v>
      </c>
      <c r="AY8" s="18">
        <v>0.02</v>
      </c>
      <c r="AZ8" s="18">
        <v>0.02</v>
      </c>
      <c r="BA8" s="18">
        <v>0.02</v>
      </c>
      <c r="BB8" s="18">
        <v>0.02</v>
      </c>
      <c r="BC8" s="18">
        <v>0.02</v>
      </c>
      <c r="BD8" s="18">
        <v>0.02</v>
      </c>
      <c r="BE8" s="18">
        <v>0.02</v>
      </c>
      <c r="BF8" s="18">
        <v>0.02</v>
      </c>
      <c r="BG8" s="18">
        <v>0.02</v>
      </c>
      <c r="BH8" s="18">
        <v>0.04</v>
      </c>
      <c r="BI8" s="18">
        <v>0.02</v>
      </c>
      <c r="BJ8" s="18">
        <v>0.02</v>
      </c>
      <c r="BK8" s="18">
        <v>0.02</v>
      </c>
      <c r="BL8" s="18">
        <v>0.02</v>
      </c>
      <c r="BM8" s="18">
        <v>0.08</v>
      </c>
      <c r="BN8" s="18">
        <v>0.02</v>
      </c>
      <c r="BO8" s="18">
        <v>0.04</v>
      </c>
      <c r="BP8" s="18">
        <v>0.02</v>
      </c>
      <c r="BQ8" s="18">
        <v>0.02</v>
      </c>
      <c r="BR8" s="18">
        <v>0.04</v>
      </c>
      <c r="BS8" s="18">
        <v>0.02</v>
      </c>
      <c r="BT8" s="18">
        <v>0.04</v>
      </c>
      <c r="BU8" s="18">
        <v>0.02</v>
      </c>
      <c r="BV8" s="18">
        <v>0.02</v>
      </c>
      <c r="BW8" s="18">
        <v>0.04</v>
      </c>
      <c r="BX8" s="18">
        <v>0.02</v>
      </c>
      <c r="BY8" s="18">
        <v>0.02</v>
      </c>
      <c r="BZ8" s="18">
        <v>0.02</v>
      </c>
      <c r="CA8" s="18">
        <v>0.02</v>
      </c>
      <c r="CB8" s="18">
        <v>0.02</v>
      </c>
      <c r="CC8" s="18">
        <v>0.02</v>
      </c>
      <c r="CD8" s="18">
        <v>0.04</v>
      </c>
      <c r="CE8" s="18">
        <v>0.02</v>
      </c>
      <c r="CF8" s="18">
        <v>0.02</v>
      </c>
      <c r="CG8" s="18">
        <v>0.02</v>
      </c>
      <c r="CH8" s="18">
        <v>0.02</v>
      </c>
      <c r="CI8" s="18">
        <v>0.02</v>
      </c>
      <c r="CJ8" s="18">
        <v>0.02</v>
      </c>
      <c r="CK8" s="18">
        <v>0.02</v>
      </c>
      <c r="CL8" s="18">
        <v>0.02</v>
      </c>
      <c r="CM8" s="18">
        <v>0.02</v>
      </c>
      <c r="CN8" s="18">
        <v>0.02</v>
      </c>
      <c r="CO8" s="18">
        <v>0.04</v>
      </c>
      <c r="CP8" s="18">
        <v>0.02</v>
      </c>
      <c r="CQ8" s="18">
        <v>0.02</v>
      </c>
      <c r="CR8" s="18">
        <v>0.02</v>
      </c>
      <c r="CS8" s="18">
        <v>0.02</v>
      </c>
      <c r="CT8" s="18">
        <v>0.02</v>
      </c>
      <c r="CW8" s="64" t="s">
        <v>359</v>
      </c>
      <c r="CX8" s="5"/>
      <c r="CY8" s="80">
        <v>6</v>
      </c>
      <c r="CZ8" s="259">
        <f t="shared" si="1"/>
        <v>0.02</v>
      </c>
      <c r="DA8" s="72">
        <f t="shared" si="2"/>
        <v>0.03</v>
      </c>
      <c r="DB8" s="260">
        <f t="shared" si="3"/>
        <v>3.3333333333333333E-2</v>
      </c>
      <c r="DC8" s="261">
        <f t="shared" si="4"/>
        <v>0.02</v>
      </c>
      <c r="DD8" s="154">
        <f t="shared" si="5"/>
        <v>0.02</v>
      </c>
      <c r="DE8" s="262">
        <f t="shared" si="6"/>
        <v>0.02</v>
      </c>
      <c r="DF8" s="263">
        <f t="shared" si="7"/>
        <v>2.3333333333333334E-2</v>
      </c>
      <c r="DG8" s="264">
        <f t="shared" si="8"/>
        <v>4.9999999999999996E-2</v>
      </c>
      <c r="DH8" s="265">
        <f t="shared" si="9"/>
        <v>0.02</v>
      </c>
      <c r="DI8" s="266">
        <f t="shared" si="10"/>
        <v>0.02</v>
      </c>
      <c r="DJ8" s="267">
        <f t="shared" si="11"/>
        <v>0.02</v>
      </c>
      <c r="DL8" s="18">
        <f t="shared" si="12"/>
        <v>1.2E-2</v>
      </c>
      <c r="DM8" s="18">
        <f t="shared" si="0"/>
        <v>1.9999999999999997E-2</v>
      </c>
      <c r="DN8" s="18">
        <f t="shared" si="0"/>
        <v>1.9999999999999997E-2</v>
      </c>
      <c r="DO8" s="18">
        <f t="shared" si="0"/>
        <v>0.01</v>
      </c>
      <c r="DP8" s="18">
        <f t="shared" si="0"/>
        <v>0</v>
      </c>
      <c r="DQ8" s="18">
        <f t="shared" si="0"/>
        <v>1.1428571428571429E-2</v>
      </c>
      <c r="DR8" s="18">
        <f t="shared" si="0"/>
        <v>0.02</v>
      </c>
      <c r="DS8" s="18">
        <f t="shared" si="0"/>
        <v>4.3333333333333328E-2</v>
      </c>
      <c r="DT8" s="18">
        <f t="shared" si="0"/>
        <v>0.02</v>
      </c>
      <c r="DU8" s="18">
        <f t="shared" si="0"/>
        <v>1.3333333333333332E-2</v>
      </c>
      <c r="DV8" s="18">
        <f t="shared" si="0"/>
        <v>0.02</v>
      </c>
      <c r="DX8" s="144">
        <v>0.08</v>
      </c>
      <c r="DZ8" s="136" t="s">
        <v>551</v>
      </c>
    </row>
    <row r="9" spans="1:130" ht="16" thickBot="1" x14ac:dyDescent="0.25">
      <c r="A9" s="3" t="s">
        <v>6</v>
      </c>
      <c r="B9" s="3" t="s">
        <v>6</v>
      </c>
      <c r="C9" s="3">
        <v>1</v>
      </c>
      <c r="D9" s="3">
        <v>1</v>
      </c>
      <c r="E9" s="18">
        <v>0.98</v>
      </c>
      <c r="F9" s="18">
        <v>1</v>
      </c>
      <c r="G9" s="18">
        <v>0.99</v>
      </c>
      <c r="H9" s="18">
        <v>0.84</v>
      </c>
      <c r="I9" s="18">
        <v>1</v>
      </c>
      <c r="J9" s="18">
        <v>0.01</v>
      </c>
      <c r="K9" s="18">
        <v>0.23</v>
      </c>
      <c r="L9" s="18">
        <v>0.56000000000000005</v>
      </c>
      <c r="M9" s="18">
        <v>0.32</v>
      </c>
      <c r="N9" s="18">
        <v>0.62</v>
      </c>
      <c r="O9" s="18">
        <v>0.98</v>
      </c>
      <c r="P9" s="18">
        <v>0.76</v>
      </c>
      <c r="Q9" s="18">
        <v>0.99</v>
      </c>
      <c r="R9" s="18">
        <v>0.99</v>
      </c>
      <c r="S9" s="18">
        <v>0.99</v>
      </c>
      <c r="T9" s="18">
        <v>0.99</v>
      </c>
      <c r="U9" s="18">
        <v>0.18</v>
      </c>
      <c r="V9" s="18">
        <v>0.99</v>
      </c>
      <c r="W9" s="18">
        <v>0.38</v>
      </c>
      <c r="X9" s="18">
        <v>0.99</v>
      </c>
      <c r="Y9" s="18">
        <v>0.56999999999999995</v>
      </c>
      <c r="Z9" s="18">
        <v>0.51</v>
      </c>
      <c r="AA9" s="18">
        <v>1</v>
      </c>
      <c r="AB9" s="18">
        <v>0.99</v>
      </c>
      <c r="AC9" s="18">
        <v>0.99</v>
      </c>
      <c r="AD9" s="18">
        <v>0.99</v>
      </c>
      <c r="AE9" s="18">
        <v>1</v>
      </c>
      <c r="AF9" s="18">
        <v>1</v>
      </c>
      <c r="AG9" s="18">
        <v>0.24</v>
      </c>
      <c r="AH9" s="18">
        <v>0.67</v>
      </c>
      <c r="AI9" s="18">
        <v>1</v>
      </c>
      <c r="AJ9" s="18">
        <v>0.55000000000000004</v>
      </c>
      <c r="AK9" s="18">
        <v>0.01</v>
      </c>
      <c r="AL9" s="18">
        <v>0.27</v>
      </c>
      <c r="AM9" s="18">
        <v>0.01</v>
      </c>
      <c r="AN9" s="18">
        <v>0.03</v>
      </c>
      <c r="AO9" s="18">
        <v>0.64</v>
      </c>
      <c r="AP9" s="18">
        <v>0</v>
      </c>
      <c r="AQ9" s="18">
        <v>1</v>
      </c>
      <c r="AR9" s="18">
        <v>0.37</v>
      </c>
      <c r="AS9" s="18">
        <v>0.11</v>
      </c>
      <c r="AT9" s="18">
        <v>1</v>
      </c>
      <c r="AU9" s="18">
        <v>0.02</v>
      </c>
      <c r="AV9" s="18">
        <v>0</v>
      </c>
      <c r="AW9" s="18">
        <v>0.98</v>
      </c>
      <c r="AX9" s="18">
        <v>0.99</v>
      </c>
      <c r="AY9" s="18">
        <v>0.23</v>
      </c>
      <c r="AZ9" s="18">
        <v>0.98</v>
      </c>
      <c r="BA9" s="18">
        <v>0.73</v>
      </c>
      <c r="BB9" s="18">
        <v>0.16</v>
      </c>
      <c r="BC9" s="18">
        <v>0.98</v>
      </c>
      <c r="BD9" s="18">
        <v>0.01</v>
      </c>
      <c r="BE9" s="18">
        <v>0.18</v>
      </c>
      <c r="BF9" s="18">
        <v>0.99</v>
      </c>
      <c r="BG9" s="18">
        <v>0.01</v>
      </c>
      <c r="BH9" s="18">
        <v>0.28999999999999998</v>
      </c>
      <c r="BI9" s="18">
        <v>0</v>
      </c>
      <c r="BJ9" s="18">
        <v>0.24</v>
      </c>
      <c r="BK9" s="18">
        <v>0.11</v>
      </c>
      <c r="BL9" s="18">
        <v>0.01</v>
      </c>
      <c r="BM9" s="18">
        <v>0</v>
      </c>
      <c r="BN9" s="18">
        <v>0</v>
      </c>
      <c r="BO9" s="18">
        <v>0.01</v>
      </c>
      <c r="BP9" s="18">
        <v>0</v>
      </c>
      <c r="BQ9" s="18">
        <v>0.01</v>
      </c>
      <c r="BR9" s="18">
        <v>0.06</v>
      </c>
      <c r="BS9" s="18">
        <v>0.16</v>
      </c>
      <c r="BT9" s="18">
        <v>1</v>
      </c>
      <c r="BU9" s="18">
        <v>0.23</v>
      </c>
      <c r="BV9" s="18">
        <v>0</v>
      </c>
      <c r="BW9" s="18">
        <v>0.06</v>
      </c>
      <c r="BX9" s="18">
        <v>0.01</v>
      </c>
      <c r="BY9" s="18">
        <v>0</v>
      </c>
      <c r="BZ9" s="18">
        <v>0.02</v>
      </c>
      <c r="CA9" s="18">
        <v>0.35</v>
      </c>
      <c r="CB9" s="18">
        <v>0.38</v>
      </c>
      <c r="CC9" s="18">
        <v>0</v>
      </c>
      <c r="CD9" s="18">
        <v>0.01</v>
      </c>
      <c r="CE9" s="18">
        <v>0</v>
      </c>
      <c r="CF9" s="18">
        <v>0.02</v>
      </c>
      <c r="CG9" s="18">
        <v>0</v>
      </c>
      <c r="CH9" s="18">
        <v>0</v>
      </c>
      <c r="CI9" s="18">
        <v>0</v>
      </c>
      <c r="CJ9" s="18">
        <v>0.01</v>
      </c>
      <c r="CK9" s="18">
        <v>0</v>
      </c>
      <c r="CL9" s="18">
        <v>0.01</v>
      </c>
      <c r="CM9" s="18">
        <v>0.04</v>
      </c>
      <c r="CN9" s="18">
        <v>0</v>
      </c>
      <c r="CO9" s="18">
        <v>0.01</v>
      </c>
      <c r="CP9" s="18">
        <v>0.01</v>
      </c>
      <c r="CQ9" s="18">
        <v>0.02</v>
      </c>
      <c r="CR9" s="18">
        <v>0</v>
      </c>
      <c r="CS9" s="18">
        <v>0</v>
      </c>
      <c r="CT9" s="18">
        <v>0</v>
      </c>
      <c r="CW9" s="64" t="s">
        <v>360</v>
      </c>
      <c r="CX9" s="5"/>
      <c r="CY9" s="80">
        <v>7</v>
      </c>
      <c r="CZ9" s="259">
        <f t="shared" si="1"/>
        <v>0.79399999999999993</v>
      </c>
      <c r="DA9" s="72">
        <f t="shared" si="2"/>
        <v>0.33666666666666667</v>
      </c>
      <c r="DB9" s="260">
        <f t="shared" si="3"/>
        <v>0.83333333333333337</v>
      </c>
      <c r="DC9" s="261">
        <f t="shared" si="4"/>
        <v>0.36000000000000004</v>
      </c>
      <c r="DD9" s="154">
        <f t="shared" si="5"/>
        <v>0.48</v>
      </c>
      <c r="DE9" s="262">
        <f t="shared" si="6"/>
        <v>6.5714285714285711E-2</v>
      </c>
      <c r="DF9" s="263">
        <f t="shared" si="7"/>
        <v>0.02</v>
      </c>
      <c r="DG9" s="264">
        <f t="shared" si="8"/>
        <v>0.98999999999999988</v>
      </c>
      <c r="DH9" s="265">
        <f t="shared" si="9"/>
        <v>0.94</v>
      </c>
      <c r="DI9" s="266">
        <f t="shared" si="10"/>
        <v>0.18666666666666668</v>
      </c>
      <c r="DJ9" s="267">
        <f t="shared" si="11"/>
        <v>0.53333333333333333</v>
      </c>
      <c r="DL9" s="18">
        <f t="shared" si="12"/>
        <v>0.79399999999999993</v>
      </c>
      <c r="DM9" s="18">
        <f t="shared" si="0"/>
        <v>0.33666666666666667</v>
      </c>
      <c r="DN9" s="18">
        <f t="shared" si="0"/>
        <v>0.83333333333333337</v>
      </c>
      <c r="DO9" s="18">
        <f t="shared" si="0"/>
        <v>0.36000000000000004</v>
      </c>
      <c r="DP9" s="18">
        <f t="shared" si="0"/>
        <v>0.48</v>
      </c>
      <c r="DQ9" s="18">
        <f t="shared" si="0"/>
        <v>6.5714285714285711E-2</v>
      </c>
      <c r="DR9" s="18">
        <f t="shared" si="0"/>
        <v>0.02</v>
      </c>
      <c r="DS9" s="18">
        <f t="shared" si="0"/>
        <v>0.98999999999999988</v>
      </c>
      <c r="DT9" s="18">
        <f t="shared" si="0"/>
        <v>0.94</v>
      </c>
      <c r="DU9" s="18">
        <f t="shared" si="0"/>
        <v>0.18666666666666668</v>
      </c>
      <c r="DV9" s="18">
        <f t="shared" si="0"/>
        <v>0.53333333333333333</v>
      </c>
      <c r="DX9" s="144">
        <v>0.8</v>
      </c>
      <c r="DZ9" s="135" t="s">
        <v>552</v>
      </c>
    </row>
    <row r="10" spans="1:130" s="9" customFormat="1" ht="16" thickBot="1" x14ac:dyDescent="0.25">
      <c r="A10" s="22" t="s">
        <v>7</v>
      </c>
      <c r="B10" s="22" t="s">
        <v>7</v>
      </c>
      <c r="C10" s="22">
        <v>2</v>
      </c>
      <c r="D10" s="22">
        <v>2</v>
      </c>
      <c r="E10" s="9">
        <v>0.9</v>
      </c>
      <c r="F10" s="9">
        <v>0.94</v>
      </c>
      <c r="G10" s="9">
        <v>0.95</v>
      </c>
      <c r="H10" s="9">
        <v>0.95</v>
      </c>
      <c r="I10" s="9">
        <v>0.82</v>
      </c>
      <c r="J10" s="9">
        <v>0.95</v>
      </c>
      <c r="K10" s="9">
        <v>0.9</v>
      </c>
      <c r="L10" s="9">
        <v>0.9</v>
      </c>
      <c r="M10" s="9">
        <v>0.83</v>
      </c>
      <c r="N10" s="9">
        <v>0.92</v>
      </c>
      <c r="O10" s="9">
        <v>0.97</v>
      </c>
      <c r="P10" s="9">
        <v>0.95</v>
      </c>
      <c r="Q10" s="9">
        <v>0.96</v>
      </c>
      <c r="R10" s="9">
        <v>0.97</v>
      </c>
      <c r="S10" s="9">
        <v>0.51</v>
      </c>
      <c r="T10" s="9">
        <v>0.5</v>
      </c>
      <c r="U10" s="9">
        <v>0.37</v>
      </c>
      <c r="V10" s="9">
        <v>0.05</v>
      </c>
      <c r="W10" s="9">
        <v>0.97</v>
      </c>
      <c r="X10" s="9">
        <v>0.5</v>
      </c>
      <c r="Y10" s="9">
        <v>0.89</v>
      </c>
      <c r="Z10" s="9">
        <v>0.47</v>
      </c>
      <c r="AA10" s="9">
        <v>0.45</v>
      </c>
      <c r="AB10" s="9">
        <v>0.1</v>
      </c>
      <c r="AC10" s="9">
        <v>0.5</v>
      </c>
      <c r="AD10" s="9">
        <v>0.97</v>
      </c>
      <c r="AE10" s="9">
        <v>0.5</v>
      </c>
      <c r="AF10" s="9">
        <v>0.79</v>
      </c>
      <c r="AG10" s="9">
        <v>0.5</v>
      </c>
      <c r="AH10" s="9">
        <v>0.9</v>
      </c>
      <c r="AI10" s="9">
        <v>0.2</v>
      </c>
      <c r="AJ10" s="9">
        <v>0.3</v>
      </c>
      <c r="AK10" s="9">
        <v>0.19</v>
      </c>
      <c r="AL10" s="9">
        <v>0.5</v>
      </c>
      <c r="AM10" s="9">
        <v>7.0000000000000007E-2</v>
      </c>
      <c r="AN10" s="9">
        <v>0.9</v>
      </c>
      <c r="AO10" s="9">
        <v>0.97</v>
      </c>
      <c r="AP10" s="9">
        <v>0.26</v>
      </c>
      <c r="AQ10" s="9">
        <v>0.92</v>
      </c>
      <c r="AR10" s="9">
        <v>0.8</v>
      </c>
      <c r="AS10" s="9">
        <v>0.5</v>
      </c>
      <c r="AT10" s="9">
        <v>0.91</v>
      </c>
      <c r="AU10" s="9">
        <v>0.17</v>
      </c>
      <c r="AV10" s="9">
        <v>0.05</v>
      </c>
      <c r="AW10" s="9">
        <v>0.1</v>
      </c>
      <c r="AX10" s="9">
        <v>0.5</v>
      </c>
      <c r="AY10" s="9">
        <v>0.2</v>
      </c>
      <c r="AZ10" s="9">
        <v>0.5</v>
      </c>
      <c r="BA10" s="9">
        <v>0.5</v>
      </c>
      <c r="BB10" s="9">
        <v>0.97</v>
      </c>
      <c r="BC10" s="9">
        <v>0.97</v>
      </c>
      <c r="BD10" s="9">
        <v>0.09</v>
      </c>
      <c r="BE10" s="9">
        <v>0.36</v>
      </c>
      <c r="BF10" s="9">
        <v>0.93</v>
      </c>
      <c r="BG10" s="9">
        <v>0.1</v>
      </c>
      <c r="BH10" s="9">
        <v>0.5</v>
      </c>
      <c r="BI10" s="9">
        <v>0.23</v>
      </c>
      <c r="BJ10" s="9">
        <v>0.15</v>
      </c>
      <c r="BK10" s="9">
        <v>0.15</v>
      </c>
      <c r="BL10" s="9">
        <v>0.95</v>
      </c>
      <c r="BM10" s="9">
        <v>0.3</v>
      </c>
      <c r="BN10" s="9">
        <v>0.24</v>
      </c>
      <c r="BO10" s="9">
        <v>0.2</v>
      </c>
      <c r="BP10" s="9">
        <v>0.19</v>
      </c>
      <c r="BQ10" s="9">
        <v>0.16</v>
      </c>
      <c r="BR10" s="9">
        <v>7.0000000000000007E-2</v>
      </c>
      <c r="BS10" s="9">
        <v>0.5</v>
      </c>
      <c r="BT10" s="9">
        <v>0.9</v>
      </c>
      <c r="BU10" s="9">
        <v>0.04</v>
      </c>
      <c r="BV10" s="9">
        <v>0.3</v>
      </c>
      <c r="BW10" s="9">
        <v>0.5</v>
      </c>
      <c r="BX10" s="9">
        <v>0.2</v>
      </c>
      <c r="BY10" s="9">
        <v>0.3</v>
      </c>
      <c r="BZ10" s="9">
        <v>0.65</v>
      </c>
      <c r="CA10" s="9">
        <v>0.08</v>
      </c>
      <c r="CB10" s="9">
        <v>0.1</v>
      </c>
      <c r="CC10" s="9">
        <v>0.1</v>
      </c>
      <c r="CD10" s="9">
        <v>0.51</v>
      </c>
      <c r="CE10" s="9">
        <v>0.97</v>
      </c>
      <c r="CF10" s="9">
        <v>0.5</v>
      </c>
      <c r="CG10" s="9">
        <v>0.5</v>
      </c>
      <c r="CH10" s="9">
        <v>0.15</v>
      </c>
      <c r="CI10" s="9">
        <v>0.64</v>
      </c>
      <c r="CJ10" s="9">
        <v>0.1</v>
      </c>
      <c r="CK10" s="9">
        <v>0.8</v>
      </c>
      <c r="CL10" s="9">
        <v>0.1</v>
      </c>
      <c r="CM10" s="9">
        <v>0.77</v>
      </c>
      <c r="CN10" s="9">
        <v>0.1</v>
      </c>
      <c r="CO10" s="9">
        <v>0.62</v>
      </c>
      <c r="CP10" s="9">
        <v>0.7</v>
      </c>
      <c r="CQ10" s="9">
        <v>0.5</v>
      </c>
      <c r="CR10" s="9">
        <v>0.04</v>
      </c>
      <c r="CS10" s="9">
        <v>0.2</v>
      </c>
      <c r="CT10" s="9">
        <v>0.05</v>
      </c>
      <c r="CU10" s="22"/>
      <c r="CV10" s="22"/>
      <c r="CW10" s="64" t="s">
        <v>361</v>
      </c>
      <c r="CX10" s="82"/>
      <c r="CY10" s="80">
        <v>8</v>
      </c>
      <c r="CZ10" s="259">
        <f t="shared" si="1"/>
        <v>0.874</v>
      </c>
      <c r="DA10" s="72">
        <f t="shared" si="2"/>
        <v>0.39999999999999997</v>
      </c>
      <c r="DB10" s="260">
        <f t="shared" si="3"/>
        <v>0.62666666666666659</v>
      </c>
      <c r="DC10" s="261">
        <f t="shared" si="4"/>
        <v>0.5</v>
      </c>
      <c r="DD10" s="154">
        <f t="shared" si="5"/>
        <v>0.68333333333333324</v>
      </c>
      <c r="DE10" s="262">
        <f t="shared" si="6"/>
        <v>0.37285714285714283</v>
      </c>
      <c r="DF10" s="263">
        <f t="shared" si="7"/>
        <v>0.73499999999999999</v>
      </c>
      <c r="DG10" s="264">
        <f t="shared" si="8"/>
        <v>0.91999999999999993</v>
      </c>
      <c r="DH10" s="265">
        <f t="shared" si="9"/>
        <v>0.93</v>
      </c>
      <c r="DI10" s="266">
        <f t="shared" si="10"/>
        <v>0.8933333333333332</v>
      </c>
      <c r="DJ10" s="267">
        <f t="shared" si="11"/>
        <v>0.39999999999999997</v>
      </c>
      <c r="DL10" s="18">
        <f t="shared" si="12"/>
        <v>0.77400000219999998</v>
      </c>
      <c r="DM10" s="18">
        <f t="shared" si="0"/>
        <v>0.3399999993333333</v>
      </c>
      <c r="DN10" s="18">
        <f t="shared" si="0"/>
        <v>0.60000000033333323</v>
      </c>
      <c r="DO10" s="18">
        <f t="shared" si="0"/>
        <v>0.48000000066666665</v>
      </c>
      <c r="DP10" s="18">
        <f t="shared" si="0"/>
        <v>0.50666666133333327</v>
      </c>
      <c r="DQ10" s="18">
        <f t="shared" si="0"/>
        <v>0.24857142542857141</v>
      </c>
      <c r="DR10" s="18">
        <f t="shared" si="0"/>
        <v>0.65833333133333327</v>
      </c>
      <c r="DS10" s="18">
        <f t="shared" si="0"/>
        <v>0.81666666833333323</v>
      </c>
      <c r="DT10" s="18">
        <f t="shared" si="0"/>
        <v>0.42666665999999998</v>
      </c>
      <c r="DU10" s="18">
        <f t="shared" si="0"/>
        <v>0.58999999633333322</v>
      </c>
      <c r="DV10" s="18">
        <f t="shared" si="0"/>
        <v>0.38666666666666666</v>
      </c>
      <c r="DX10" s="144">
        <v>1</v>
      </c>
      <c r="DZ10" s="148" t="s">
        <v>237</v>
      </c>
    </row>
    <row r="11" spans="1:130" ht="16" thickBot="1" x14ac:dyDescent="0.25">
      <c r="A11" s="3" t="s">
        <v>8</v>
      </c>
      <c r="B11" s="3" t="s">
        <v>8</v>
      </c>
      <c r="C11" s="3">
        <v>1</v>
      </c>
      <c r="D11" s="3">
        <v>1</v>
      </c>
      <c r="E11" s="18">
        <v>1</v>
      </c>
      <c r="F11" s="18">
        <v>1</v>
      </c>
      <c r="G11" s="18">
        <v>1</v>
      </c>
      <c r="H11" s="18">
        <v>1</v>
      </c>
      <c r="I11" s="18">
        <v>0.36000001399999998</v>
      </c>
      <c r="J11" s="18">
        <v>1</v>
      </c>
      <c r="K11" s="18">
        <v>1</v>
      </c>
      <c r="L11" s="18">
        <v>1</v>
      </c>
      <c r="M11" s="18">
        <v>0.189999998</v>
      </c>
      <c r="N11" s="18">
        <v>0.75</v>
      </c>
      <c r="O11" s="18">
        <v>1</v>
      </c>
      <c r="P11" s="18">
        <v>1</v>
      </c>
      <c r="Q11" s="18">
        <v>1</v>
      </c>
      <c r="R11" s="18">
        <v>0.87000000499999997</v>
      </c>
      <c r="S11" s="18">
        <v>0.25</v>
      </c>
      <c r="T11" s="18">
        <v>1</v>
      </c>
      <c r="U11" s="18">
        <v>0.109999999</v>
      </c>
      <c r="V11" s="18">
        <v>0.209999993</v>
      </c>
      <c r="W11" s="18">
        <v>0.68000000699999996</v>
      </c>
      <c r="X11" s="18">
        <v>0.40999999599999998</v>
      </c>
      <c r="Y11" s="18">
        <v>1</v>
      </c>
      <c r="Z11" s="18">
        <v>0.25999999000000001</v>
      </c>
      <c r="AA11" s="18">
        <v>0.33000001299999998</v>
      </c>
      <c r="AB11" s="18">
        <v>0.75</v>
      </c>
      <c r="AC11" s="18">
        <v>0.61000001400000003</v>
      </c>
      <c r="AD11" s="18">
        <v>0</v>
      </c>
      <c r="AE11" s="18">
        <v>0.01</v>
      </c>
      <c r="AF11" s="18">
        <v>0.56999999300000004</v>
      </c>
      <c r="AG11" s="18">
        <v>0.81999999300000004</v>
      </c>
      <c r="AH11" s="18">
        <v>1</v>
      </c>
      <c r="AI11" s="18">
        <v>0.37000000500000002</v>
      </c>
      <c r="AJ11" s="18">
        <v>0.109999999</v>
      </c>
      <c r="AK11" s="18">
        <v>1</v>
      </c>
      <c r="AL11" s="18">
        <v>0</v>
      </c>
      <c r="AM11" s="18">
        <v>0.17000000200000001</v>
      </c>
      <c r="AN11" s="18">
        <v>0</v>
      </c>
      <c r="AO11" s="18">
        <v>0.01</v>
      </c>
      <c r="AP11" s="18">
        <v>0.44999998800000002</v>
      </c>
      <c r="AQ11" s="18">
        <v>0.47999998900000002</v>
      </c>
      <c r="AR11" s="18">
        <v>0.25</v>
      </c>
      <c r="AS11" s="18">
        <v>0.18000000699999999</v>
      </c>
      <c r="AT11" s="18">
        <v>0</v>
      </c>
      <c r="AU11" s="18">
        <v>0</v>
      </c>
      <c r="AV11" s="18">
        <v>0.23000000400000001</v>
      </c>
      <c r="AW11" s="18">
        <v>0.69999998799999996</v>
      </c>
      <c r="AX11" s="18">
        <v>0.47999998900000002</v>
      </c>
      <c r="AY11" s="18">
        <v>1</v>
      </c>
      <c r="AZ11" s="18">
        <v>0.119999997</v>
      </c>
      <c r="BA11" s="18">
        <v>0.58999997400000004</v>
      </c>
      <c r="BB11" s="18">
        <v>0</v>
      </c>
      <c r="BC11" s="18">
        <v>0.119999997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5.0000001000000002E-2</v>
      </c>
      <c r="BK11" s="18">
        <v>0.25999999000000001</v>
      </c>
      <c r="BL11" s="18">
        <v>0</v>
      </c>
      <c r="BM11" s="18">
        <v>0</v>
      </c>
      <c r="BN11" s="18">
        <v>0</v>
      </c>
      <c r="BO11" s="18">
        <v>0.77999997099999996</v>
      </c>
      <c r="BP11" s="18">
        <v>0</v>
      </c>
      <c r="BQ11" s="18">
        <v>0</v>
      </c>
      <c r="BR11" s="18">
        <v>0.30000001199999998</v>
      </c>
      <c r="BS11" s="18">
        <v>0</v>
      </c>
      <c r="BT11" s="18">
        <v>0</v>
      </c>
      <c r="BU11" s="18">
        <v>0</v>
      </c>
      <c r="BV11" s="18">
        <v>0.20000000300000001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0.01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W11" s="64" t="s">
        <v>362</v>
      </c>
      <c r="CX11" s="5"/>
      <c r="CY11" s="80">
        <v>9</v>
      </c>
      <c r="CZ11" s="259">
        <f t="shared" si="1"/>
        <v>0.38600000019999997</v>
      </c>
      <c r="DA11" s="72">
        <f t="shared" si="2"/>
        <v>6.6666666666666671E-3</v>
      </c>
      <c r="DB11" s="260">
        <f t="shared" si="3"/>
        <v>0.29000000133333331</v>
      </c>
      <c r="DC11" s="261">
        <f t="shared" si="4"/>
        <v>0.52999999133333331</v>
      </c>
      <c r="DD11" s="154">
        <f t="shared" si="5"/>
        <v>0.66666666666666663</v>
      </c>
      <c r="DE11" s="262">
        <f t="shared" si="6"/>
        <v>2.4285714571428575E-2</v>
      </c>
      <c r="DF11" s="263">
        <f t="shared" si="7"/>
        <v>0</v>
      </c>
      <c r="DG11" s="264">
        <f t="shared" si="8"/>
        <v>0.45333333799999997</v>
      </c>
      <c r="DH11" s="265">
        <f t="shared" si="9"/>
        <v>1</v>
      </c>
      <c r="DI11" s="266">
        <f t="shared" si="10"/>
        <v>0.72999999933333337</v>
      </c>
      <c r="DJ11" s="267">
        <f t="shared" si="11"/>
        <v>0.54000000166666673</v>
      </c>
      <c r="DL11" s="18">
        <f t="shared" si="12"/>
        <v>0.38600000019999997</v>
      </c>
      <c r="DM11" s="18">
        <f t="shared" si="0"/>
        <v>6.6666666666666671E-3</v>
      </c>
      <c r="DN11" s="18">
        <f t="shared" si="0"/>
        <v>0.29000000133333331</v>
      </c>
      <c r="DO11" s="18">
        <f t="shared" si="0"/>
        <v>0.52999999133333331</v>
      </c>
      <c r="DP11" s="18">
        <f t="shared" si="0"/>
        <v>0.66666666666666663</v>
      </c>
      <c r="DQ11" s="18">
        <f t="shared" si="0"/>
        <v>2.4285714571428575E-2</v>
      </c>
      <c r="DR11" s="18">
        <f t="shared" si="0"/>
        <v>0</v>
      </c>
      <c r="DS11" s="18">
        <f t="shared" si="0"/>
        <v>0.45333333799999997</v>
      </c>
      <c r="DT11" s="18">
        <f t="shared" si="0"/>
        <v>1</v>
      </c>
      <c r="DU11" s="18">
        <f t="shared" si="0"/>
        <v>0.72999999933333337</v>
      </c>
      <c r="DV11" s="18">
        <f t="shared" si="0"/>
        <v>0.54000000166666673</v>
      </c>
      <c r="DX11" s="144">
        <v>0.25</v>
      </c>
      <c r="DZ11" s="149" t="s">
        <v>553</v>
      </c>
    </row>
    <row r="12" spans="1:130" ht="16" thickBot="1" x14ac:dyDescent="0.25">
      <c r="A12" s="3" t="s">
        <v>9</v>
      </c>
      <c r="B12" s="3" t="s">
        <v>9</v>
      </c>
      <c r="C12" s="3">
        <v>2</v>
      </c>
      <c r="D12" s="3">
        <v>2</v>
      </c>
      <c r="E12" s="18">
        <v>0.95</v>
      </c>
      <c r="F12" s="18">
        <v>0.94</v>
      </c>
      <c r="G12" s="18">
        <v>1</v>
      </c>
      <c r="H12" s="18">
        <v>1</v>
      </c>
      <c r="I12" s="18">
        <v>0.57999999999999996</v>
      </c>
      <c r="J12" s="18">
        <v>0.08</v>
      </c>
      <c r="K12" s="18">
        <v>0</v>
      </c>
      <c r="L12" s="18">
        <v>0.02</v>
      </c>
      <c r="M12" s="18">
        <v>0.01</v>
      </c>
      <c r="N12" s="18">
        <v>0.56999999999999995</v>
      </c>
      <c r="O12" s="18">
        <v>0.03</v>
      </c>
      <c r="P12" s="18">
        <v>0.64</v>
      </c>
      <c r="Q12" s="18">
        <v>1</v>
      </c>
      <c r="R12" s="18">
        <v>0.28999999999999998</v>
      </c>
      <c r="S12" s="18">
        <v>0.3</v>
      </c>
      <c r="T12" s="18">
        <v>0.39</v>
      </c>
      <c r="U12" s="18">
        <v>0.41</v>
      </c>
      <c r="V12" s="18">
        <v>0.94</v>
      </c>
      <c r="W12" s="18">
        <v>0.28000000000000003</v>
      </c>
      <c r="X12" s="18">
        <v>0</v>
      </c>
      <c r="Y12" s="18">
        <v>0.67</v>
      </c>
      <c r="Z12" s="18">
        <v>0.11</v>
      </c>
      <c r="AA12" s="18">
        <v>0</v>
      </c>
      <c r="AB12" s="18">
        <v>0.22</v>
      </c>
      <c r="AC12" s="18">
        <v>0.04</v>
      </c>
      <c r="AD12" s="18">
        <v>0.66</v>
      </c>
      <c r="AE12" s="18">
        <v>0.32</v>
      </c>
      <c r="AF12" s="18">
        <v>0</v>
      </c>
      <c r="AG12" s="18">
        <v>0.13</v>
      </c>
      <c r="AH12" s="18">
        <v>0.56000000000000005</v>
      </c>
      <c r="AI12" s="18">
        <v>0.32</v>
      </c>
      <c r="AJ12" s="18">
        <v>0</v>
      </c>
      <c r="AK12" s="18">
        <v>0.73</v>
      </c>
      <c r="AL12" s="18">
        <v>1</v>
      </c>
      <c r="AM12" s="18">
        <v>0.85</v>
      </c>
      <c r="AN12" s="18">
        <v>0.82</v>
      </c>
      <c r="AO12" s="18">
        <v>0.21</v>
      </c>
      <c r="AP12" s="18">
        <v>0.44</v>
      </c>
      <c r="AQ12" s="18">
        <v>0</v>
      </c>
      <c r="AR12" s="18">
        <v>0.15</v>
      </c>
      <c r="AS12" s="18">
        <v>0.04</v>
      </c>
      <c r="AT12" s="18">
        <v>0.19</v>
      </c>
      <c r="AU12" s="18">
        <v>0.88</v>
      </c>
      <c r="AV12" s="18">
        <v>0</v>
      </c>
      <c r="AW12" s="18">
        <v>7.0000000000000007E-2</v>
      </c>
      <c r="AX12" s="18">
        <v>0</v>
      </c>
      <c r="AY12" s="18">
        <v>0</v>
      </c>
      <c r="AZ12" s="18">
        <v>0</v>
      </c>
      <c r="BA12" s="18">
        <v>0.04</v>
      </c>
      <c r="BB12" s="18">
        <v>0.84</v>
      </c>
      <c r="BC12" s="18">
        <v>0</v>
      </c>
      <c r="BD12" s="18">
        <v>0.14000000000000001</v>
      </c>
      <c r="BE12" s="18">
        <v>0.15</v>
      </c>
      <c r="BF12" s="18">
        <v>0</v>
      </c>
      <c r="BG12" s="18">
        <v>0.24</v>
      </c>
      <c r="BH12" s="18">
        <v>0</v>
      </c>
      <c r="BI12" s="18">
        <v>0.23</v>
      </c>
      <c r="BJ12" s="18">
        <v>0.73</v>
      </c>
      <c r="BK12" s="18">
        <v>0.01</v>
      </c>
      <c r="BL12" s="18">
        <v>0.01</v>
      </c>
      <c r="BM12" s="18">
        <v>0.45</v>
      </c>
      <c r="BN12" s="18">
        <v>0.57999999999999996</v>
      </c>
      <c r="BO12" s="18">
        <v>0</v>
      </c>
      <c r="BP12" s="18">
        <v>0</v>
      </c>
      <c r="BQ12" s="18">
        <v>0</v>
      </c>
      <c r="BR12" s="18">
        <v>0.17</v>
      </c>
      <c r="BS12" s="18">
        <v>0.01</v>
      </c>
      <c r="BT12" s="18">
        <v>0</v>
      </c>
      <c r="BU12" s="18">
        <v>0.03</v>
      </c>
      <c r="BV12" s="18">
        <v>0.49</v>
      </c>
      <c r="BW12" s="18">
        <v>0.64</v>
      </c>
      <c r="BX12" s="18">
        <v>0.82</v>
      </c>
      <c r="BY12" s="18">
        <v>0.75</v>
      </c>
      <c r="BZ12" s="18">
        <v>0.12</v>
      </c>
      <c r="CA12" s="18">
        <v>0</v>
      </c>
      <c r="CB12" s="18">
        <v>0.09</v>
      </c>
      <c r="CC12" s="18">
        <v>0</v>
      </c>
      <c r="CD12" s="18">
        <v>0</v>
      </c>
      <c r="CE12" s="18">
        <v>0.45</v>
      </c>
      <c r="CF12" s="18">
        <v>0</v>
      </c>
      <c r="CG12" s="18">
        <v>0.12</v>
      </c>
      <c r="CH12" s="18">
        <v>0</v>
      </c>
      <c r="CI12" s="18">
        <v>0</v>
      </c>
      <c r="CJ12" s="18">
        <v>0</v>
      </c>
      <c r="CK12" s="18">
        <v>0.15</v>
      </c>
      <c r="CL12" s="18">
        <v>0.66</v>
      </c>
      <c r="CM12" s="18">
        <v>0.04</v>
      </c>
      <c r="CN12" s="18">
        <v>0</v>
      </c>
      <c r="CO12" s="18">
        <v>0.09</v>
      </c>
      <c r="CP12" s="18">
        <v>0</v>
      </c>
      <c r="CQ12" s="18">
        <v>0</v>
      </c>
      <c r="CR12" s="18">
        <v>0.09</v>
      </c>
      <c r="CS12" s="18">
        <v>0.01</v>
      </c>
      <c r="CT12" s="18">
        <v>0</v>
      </c>
      <c r="CW12" s="62" t="s">
        <v>363</v>
      </c>
      <c r="CX12" s="5"/>
      <c r="CY12" s="80">
        <v>10</v>
      </c>
      <c r="CZ12" s="259">
        <f t="shared" si="1"/>
        <v>0.29799999999999999</v>
      </c>
      <c r="DA12" s="72">
        <f t="shared" si="2"/>
        <v>0.10666666666666667</v>
      </c>
      <c r="DB12" s="260">
        <f t="shared" si="3"/>
        <v>0.11333333333333333</v>
      </c>
      <c r="DC12" s="261">
        <f t="shared" si="4"/>
        <v>7.0000000000000007E-2</v>
      </c>
      <c r="DD12" s="154">
        <f t="shared" si="5"/>
        <v>0.67333333333333334</v>
      </c>
      <c r="DE12" s="262">
        <f t="shared" si="6"/>
        <v>0.63428571428571423</v>
      </c>
      <c r="DF12" s="263">
        <f t="shared" si="7"/>
        <v>0.25333333333333335</v>
      </c>
      <c r="DG12" s="264">
        <f t="shared" si="8"/>
        <v>0.42333333333333334</v>
      </c>
      <c r="DH12" s="265">
        <f t="shared" si="9"/>
        <v>0.96333333333333326</v>
      </c>
      <c r="DI12" s="266">
        <f t="shared" si="10"/>
        <v>0.03</v>
      </c>
      <c r="DJ12" s="267">
        <f t="shared" si="11"/>
        <v>0.15666666666666665</v>
      </c>
      <c r="DL12" s="18">
        <f t="shared" si="12"/>
        <v>0.29799999999999999</v>
      </c>
      <c r="DM12" s="18">
        <f t="shared" si="0"/>
        <v>0.10666666666666667</v>
      </c>
      <c r="DN12" s="18">
        <f t="shared" si="0"/>
        <v>0.11333333333333333</v>
      </c>
      <c r="DO12" s="18">
        <f t="shared" si="0"/>
        <v>7.0000000000000007E-2</v>
      </c>
      <c r="DP12" s="18">
        <f t="shared" si="0"/>
        <v>0.67333333333333334</v>
      </c>
      <c r="DQ12" s="18">
        <f t="shared" si="0"/>
        <v>0.63428571428571423</v>
      </c>
      <c r="DR12" s="18">
        <f t="shared" si="0"/>
        <v>0.25333333333333335</v>
      </c>
      <c r="DS12" s="18">
        <f t="shared" si="0"/>
        <v>0.42333333333333334</v>
      </c>
      <c r="DT12" s="18">
        <f t="shared" si="0"/>
        <v>0.96333333333333326</v>
      </c>
      <c r="DU12" s="18">
        <f t="shared" si="0"/>
        <v>0.03</v>
      </c>
      <c r="DV12" s="18">
        <f t="shared" si="0"/>
        <v>0.15666666666666665</v>
      </c>
      <c r="DX12" s="144">
        <v>0</v>
      </c>
      <c r="DZ12" s="150" t="s">
        <v>555</v>
      </c>
    </row>
    <row r="13" spans="1:130" ht="16" thickBot="1" x14ac:dyDescent="0.25">
      <c r="A13" s="3" t="s">
        <v>10</v>
      </c>
      <c r="B13" s="3" t="s">
        <v>10</v>
      </c>
      <c r="C13" s="3">
        <v>1</v>
      </c>
      <c r="D13" s="3">
        <v>1</v>
      </c>
      <c r="E13" s="18">
        <v>0.75</v>
      </c>
      <c r="F13" s="18">
        <v>0.310000002</v>
      </c>
      <c r="G13" s="18">
        <v>0.25999999000000001</v>
      </c>
      <c r="H13" s="18">
        <v>0.62000000499999997</v>
      </c>
      <c r="I13" s="18">
        <v>0.30000001199999998</v>
      </c>
      <c r="J13" s="18">
        <v>0.01</v>
      </c>
      <c r="K13" s="18">
        <v>5.9999998999999998E-2</v>
      </c>
      <c r="L13" s="18">
        <v>0.02</v>
      </c>
      <c r="M13" s="18">
        <v>0.109999999</v>
      </c>
      <c r="N13" s="18">
        <v>0.15000000599999999</v>
      </c>
      <c r="O13" s="18">
        <v>0.18000000699999999</v>
      </c>
      <c r="P13" s="18">
        <v>0</v>
      </c>
      <c r="Q13" s="18">
        <v>7.9999998000000003E-2</v>
      </c>
      <c r="R13" s="18">
        <v>5.0000001000000002E-2</v>
      </c>
      <c r="S13" s="18">
        <v>0.28999999199999998</v>
      </c>
      <c r="T13" s="18">
        <v>0.47999998900000002</v>
      </c>
      <c r="U13" s="18">
        <v>0.40999999599999998</v>
      </c>
      <c r="V13" s="18">
        <v>0.14000000100000001</v>
      </c>
      <c r="W13" s="18">
        <v>7.0000000000000007E-2</v>
      </c>
      <c r="X13" s="18">
        <v>0.310000002</v>
      </c>
      <c r="Y13" s="18">
        <v>0.14000000100000001</v>
      </c>
      <c r="Z13" s="18">
        <v>0.189999998</v>
      </c>
      <c r="AA13" s="18">
        <v>0.219999999</v>
      </c>
      <c r="AB13" s="18">
        <v>0.219999999</v>
      </c>
      <c r="AC13" s="18">
        <v>0.18000000699999999</v>
      </c>
      <c r="AD13" s="18">
        <v>5.0000001000000002E-2</v>
      </c>
      <c r="AE13" s="18">
        <v>0.189999998</v>
      </c>
      <c r="AF13" s="18">
        <v>0.17000000200000001</v>
      </c>
      <c r="AG13" s="18">
        <v>9.0000003999999995E-2</v>
      </c>
      <c r="AH13" s="18">
        <v>0</v>
      </c>
      <c r="AI13" s="18">
        <v>0.10000000100000001</v>
      </c>
      <c r="AJ13" s="18">
        <v>0.02</v>
      </c>
      <c r="AK13" s="18">
        <v>5.9999998999999998E-2</v>
      </c>
      <c r="AL13" s="18">
        <v>0</v>
      </c>
      <c r="AM13" s="18">
        <v>5.0000001000000002E-2</v>
      </c>
      <c r="AN13" s="18">
        <v>3.9999999000000001E-2</v>
      </c>
      <c r="AO13" s="18">
        <v>0.02</v>
      </c>
      <c r="AP13" s="18">
        <v>0.02</v>
      </c>
      <c r="AQ13" s="18">
        <v>3.9999999000000001E-2</v>
      </c>
      <c r="AR13" s="18">
        <v>0.01</v>
      </c>
      <c r="AS13" s="18">
        <v>5.9999998999999998E-2</v>
      </c>
      <c r="AT13" s="18">
        <v>0.209999993</v>
      </c>
      <c r="AU13" s="18">
        <v>0.439999998</v>
      </c>
      <c r="AV13" s="18">
        <v>0.33000001299999998</v>
      </c>
      <c r="AW13" s="18">
        <v>0.189999998</v>
      </c>
      <c r="AX13" s="18">
        <v>5.0000001000000002E-2</v>
      </c>
      <c r="AY13" s="18">
        <v>0.02</v>
      </c>
      <c r="AZ13" s="18">
        <v>0.12999999500000001</v>
      </c>
      <c r="BA13" s="18">
        <v>0</v>
      </c>
      <c r="BB13" s="18">
        <v>0</v>
      </c>
      <c r="BC13" s="18">
        <v>2.9999998999999999E-2</v>
      </c>
      <c r="BD13" s="18">
        <v>0.219999999</v>
      </c>
      <c r="BE13" s="18">
        <v>0.25999999000000001</v>
      </c>
      <c r="BF13" s="18">
        <v>5.0000001000000002E-2</v>
      </c>
      <c r="BG13" s="18">
        <v>0</v>
      </c>
      <c r="BH13" s="18">
        <v>7.0000000000000007E-2</v>
      </c>
      <c r="BI13" s="18">
        <v>5.0000001000000002E-2</v>
      </c>
      <c r="BJ13" s="18">
        <v>0.15000000599999999</v>
      </c>
      <c r="BK13" s="18">
        <v>0.119999997</v>
      </c>
      <c r="BL13" s="18">
        <v>0.01</v>
      </c>
      <c r="BM13" s="18">
        <v>0.20000000300000001</v>
      </c>
      <c r="BN13" s="18">
        <v>3.9999999000000001E-2</v>
      </c>
      <c r="BO13" s="18">
        <v>2.9999998999999999E-2</v>
      </c>
      <c r="BP13" s="18">
        <v>0.219999999</v>
      </c>
      <c r="BQ13" s="18">
        <v>0</v>
      </c>
      <c r="BR13" s="18">
        <v>0.219999999</v>
      </c>
      <c r="BS13" s="18">
        <v>9.0000003999999995E-2</v>
      </c>
      <c r="BT13" s="18">
        <v>2.9999998999999999E-2</v>
      </c>
      <c r="BU13" s="18">
        <v>0.30000001199999998</v>
      </c>
      <c r="BV13" s="18">
        <v>0.17000000200000001</v>
      </c>
      <c r="BW13" s="18">
        <v>0.02</v>
      </c>
      <c r="BX13" s="18">
        <v>0</v>
      </c>
      <c r="BY13" s="18">
        <v>3.9999999000000001E-2</v>
      </c>
      <c r="BZ13" s="18">
        <v>0.02</v>
      </c>
      <c r="CA13" s="18">
        <v>0.02</v>
      </c>
      <c r="CB13" s="18">
        <v>5.0000001000000002E-2</v>
      </c>
      <c r="CC13" s="18">
        <v>0.02</v>
      </c>
      <c r="CD13" s="18">
        <v>0.10000000100000001</v>
      </c>
      <c r="CE13" s="18">
        <v>0.02</v>
      </c>
      <c r="CF13" s="18">
        <v>0.02</v>
      </c>
      <c r="CG13" s="18">
        <v>5.9999998999999998E-2</v>
      </c>
      <c r="CH13" s="18">
        <v>0.01</v>
      </c>
      <c r="CI13" s="18">
        <v>0.02</v>
      </c>
      <c r="CJ13" s="18">
        <v>2.9999998999999999E-2</v>
      </c>
      <c r="CK13" s="18">
        <v>9.0000003999999995E-2</v>
      </c>
      <c r="CL13" s="18">
        <v>0.280000001</v>
      </c>
      <c r="CM13" s="18">
        <v>0.02</v>
      </c>
      <c r="CN13" s="18">
        <v>0.18000000699999999</v>
      </c>
      <c r="CO13" s="18">
        <v>2.9999998999999999E-2</v>
      </c>
      <c r="CP13" s="18">
        <v>0.01</v>
      </c>
      <c r="CQ13" s="18">
        <v>0.02</v>
      </c>
      <c r="CR13" s="18">
        <v>0</v>
      </c>
      <c r="CS13" s="18">
        <v>5.0000001000000002E-2</v>
      </c>
      <c r="CT13" s="18">
        <v>0.02</v>
      </c>
      <c r="CW13" s="62" t="s">
        <v>364</v>
      </c>
      <c r="CX13" s="5"/>
      <c r="CY13" s="80">
        <v>11</v>
      </c>
      <c r="CZ13" s="259">
        <f t="shared" si="1"/>
        <v>6.599999840000001E-2</v>
      </c>
      <c r="DA13" s="72">
        <f t="shared" si="2"/>
        <v>0.16999999933333335</v>
      </c>
      <c r="DB13" s="260">
        <f t="shared" si="3"/>
        <v>0.19333333266666666</v>
      </c>
      <c r="DC13" s="261">
        <f t="shared" si="4"/>
        <v>5.0000000999999995E-2</v>
      </c>
      <c r="DD13" s="154">
        <f t="shared" si="5"/>
        <v>0</v>
      </c>
      <c r="DE13" s="262">
        <f t="shared" si="6"/>
        <v>0.11000000057142857</v>
      </c>
      <c r="DF13" s="263">
        <f t="shared" si="7"/>
        <v>2.4999999666666672E-2</v>
      </c>
      <c r="DG13" s="264">
        <f t="shared" si="8"/>
        <v>0.1766666733333333</v>
      </c>
      <c r="DH13" s="265">
        <f t="shared" si="9"/>
        <v>0.56000000233333325</v>
      </c>
      <c r="DI13" s="266">
        <f t="shared" si="10"/>
        <v>5.9999999333333331E-2</v>
      </c>
      <c r="DJ13" s="267">
        <f t="shared" si="11"/>
        <v>4.3333333666666668E-2</v>
      </c>
      <c r="DL13" s="18">
        <f t="shared" si="12"/>
        <v>6.599999840000001E-2</v>
      </c>
      <c r="DM13" s="18">
        <f t="shared" si="0"/>
        <v>0.16999999933333335</v>
      </c>
      <c r="DN13" s="18">
        <f t="shared" si="0"/>
        <v>0.18666666600000001</v>
      </c>
      <c r="DO13" s="18">
        <f t="shared" si="0"/>
        <v>5.0000000999999995E-2</v>
      </c>
      <c r="DP13" s="18">
        <f t="shared" si="0"/>
        <v>0</v>
      </c>
      <c r="DQ13" s="18">
        <f t="shared" si="0"/>
        <v>0.11000000057142857</v>
      </c>
      <c r="DR13" s="18">
        <f t="shared" si="0"/>
        <v>2.4999999666666672E-2</v>
      </c>
      <c r="DS13" s="18">
        <f t="shared" si="0"/>
        <v>0.17333333999999997</v>
      </c>
      <c r="DT13" s="18">
        <f t="shared" si="0"/>
        <v>0.56000000233333325</v>
      </c>
      <c r="DU13" s="18">
        <f t="shared" si="0"/>
        <v>5.9999999333333331E-2</v>
      </c>
      <c r="DV13" s="18">
        <f t="shared" si="0"/>
        <v>4.3333333666666668E-2</v>
      </c>
      <c r="DX13" s="144">
        <v>0.10000000149</v>
      </c>
      <c r="DZ13" s="141" t="s">
        <v>556</v>
      </c>
    </row>
    <row r="14" spans="1:130" ht="16" thickBot="1" x14ac:dyDescent="0.25">
      <c r="A14" s="3" t="s">
        <v>11</v>
      </c>
      <c r="B14" s="3" t="s">
        <v>11</v>
      </c>
      <c r="C14" s="3">
        <v>2</v>
      </c>
      <c r="D14" s="3">
        <v>2</v>
      </c>
      <c r="E14" s="18">
        <v>1</v>
      </c>
      <c r="F14" s="18">
        <v>1</v>
      </c>
      <c r="G14" s="18">
        <v>0.49</v>
      </c>
      <c r="H14" s="18">
        <v>1</v>
      </c>
      <c r="I14" s="18">
        <v>0.22</v>
      </c>
      <c r="J14" s="18">
        <v>1</v>
      </c>
      <c r="K14" s="18">
        <v>1</v>
      </c>
      <c r="L14" s="18">
        <v>0.42</v>
      </c>
      <c r="M14" s="18">
        <v>1</v>
      </c>
      <c r="N14" s="18">
        <v>0</v>
      </c>
      <c r="O14" s="18">
        <v>1</v>
      </c>
      <c r="P14" s="18">
        <v>0</v>
      </c>
      <c r="Q14" s="18">
        <v>0.02</v>
      </c>
      <c r="R14" s="18">
        <v>0.13</v>
      </c>
      <c r="S14" s="18">
        <v>0</v>
      </c>
      <c r="T14" s="18">
        <v>0</v>
      </c>
      <c r="U14" s="18">
        <v>0.36</v>
      </c>
      <c r="V14" s="18">
        <v>0.12</v>
      </c>
      <c r="W14" s="18">
        <v>0.84</v>
      </c>
      <c r="X14" s="18">
        <v>0</v>
      </c>
      <c r="Y14" s="18">
        <v>0</v>
      </c>
      <c r="Z14" s="18">
        <v>0</v>
      </c>
      <c r="AA14" s="18">
        <v>0</v>
      </c>
      <c r="AB14" s="18">
        <v>0.19</v>
      </c>
      <c r="AC14" s="18">
        <v>0</v>
      </c>
      <c r="AD14" s="18">
        <v>0.22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0.28999999999999998</v>
      </c>
      <c r="AM14" s="18">
        <v>0.33</v>
      </c>
      <c r="AN14" s="18">
        <v>0</v>
      </c>
      <c r="AO14" s="18">
        <v>0</v>
      </c>
      <c r="AP14" s="18">
        <v>0.48</v>
      </c>
      <c r="AQ14" s="18">
        <v>0</v>
      </c>
      <c r="AR14" s="18">
        <v>0</v>
      </c>
      <c r="AS14" s="18">
        <v>0.04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0.43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0.04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W14" s="62" t="s">
        <v>365</v>
      </c>
      <c r="CX14" s="5"/>
      <c r="CY14" s="80">
        <v>12</v>
      </c>
      <c r="CZ14" s="259">
        <f t="shared" si="1"/>
        <v>0.17199999999999999</v>
      </c>
      <c r="DA14" s="72">
        <f t="shared" si="2"/>
        <v>0</v>
      </c>
      <c r="DB14" s="260">
        <f t="shared" si="3"/>
        <v>0</v>
      </c>
      <c r="DC14" s="261">
        <f t="shared" si="4"/>
        <v>1.3333333333333334E-2</v>
      </c>
      <c r="DD14" s="154">
        <f t="shared" si="5"/>
        <v>0</v>
      </c>
      <c r="DE14" s="262">
        <f t="shared" si="6"/>
        <v>9.4285714285714278E-2</v>
      </c>
      <c r="DF14" s="263">
        <f t="shared" si="7"/>
        <v>0</v>
      </c>
      <c r="DG14" s="264">
        <f t="shared" si="8"/>
        <v>0.48</v>
      </c>
      <c r="DH14" s="265">
        <f t="shared" si="9"/>
        <v>1</v>
      </c>
      <c r="DI14" s="266">
        <f t="shared" si="10"/>
        <v>1</v>
      </c>
      <c r="DJ14" s="267">
        <f t="shared" si="11"/>
        <v>0</v>
      </c>
      <c r="DL14" s="18">
        <f t="shared" si="12"/>
        <v>0.17199999999999999</v>
      </c>
      <c r="DM14" s="18">
        <f t="shared" si="0"/>
        <v>0</v>
      </c>
      <c r="DN14" s="18">
        <f t="shared" si="0"/>
        <v>0</v>
      </c>
      <c r="DO14" s="18">
        <f t="shared" si="0"/>
        <v>1.3333333333333334E-2</v>
      </c>
      <c r="DP14" s="18">
        <f t="shared" si="0"/>
        <v>0</v>
      </c>
      <c r="DQ14" s="18">
        <f t="shared" si="0"/>
        <v>9.1428571428571415E-2</v>
      </c>
      <c r="DR14" s="18">
        <f t="shared" si="0"/>
        <v>0</v>
      </c>
      <c r="DS14" s="18">
        <f t="shared" si="0"/>
        <v>0.48</v>
      </c>
      <c r="DT14" s="18">
        <f t="shared" si="0"/>
        <v>0.98666666666666669</v>
      </c>
      <c r="DU14" s="18">
        <f t="shared" si="0"/>
        <v>0.97666666666666668</v>
      </c>
      <c r="DV14" s="18">
        <f t="shared" si="0"/>
        <v>0</v>
      </c>
      <c r="DX14" s="144">
        <v>0.11</v>
      </c>
      <c r="DZ14" s="143" t="s">
        <v>554</v>
      </c>
    </row>
    <row r="15" spans="1:130" x14ac:dyDescent="0.2">
      <c r="A15" s="3" t="s">
        <v>12</v>
      </c>
      <c r="B15" s="3" t="s">
        <v>12</v>
      </c>
      <c r="C15" s="3">
        <v>1</v>
      </c>
      <c r="D15" s="3">
        <v>1</v>
      </c>
      <c r="E15" s="18">
        <v>0.829999983311</v>
      </c>
      <c r="F15" s="18">
        <v>0.81999999284699998</v>
      </c>
      <c r="G15" s="18">
        <v>0.51999998092699995</v>
      </c>
      <c r="H15" s="18">
        <v>0.920000016689</v>
      </c>
      <c r="I15" s="18">
        <v>0.81000000238400005</v>
      </c>
      <c r="J15" s="18">
        <v>0.88999998569500005</v>
      </c>
      <c r="K15" s="18">
        <v>0.95999997854200003</v>
      </c>
      <c r="L15" s="18">
        <v>0.85000002384200002</v>
      </c>
      <c r="M15" s="18">
        <v>0.89999997615799998</v>
      </c>
      <c r="N15" s="18">
        <v>0.54000002145799997</v>
      </c>
      <c r="O15" s="18">
        <v>0.920000016689</v>
      </c>
      <c r="P15" s="18">
        <v>0</v>
      </c>
      <c r="Q15" s="18">
        <v>5.0000000745099998E-2</v>
      </c>
      <c r="R15" s="18">
        <v>1.9999999553000001E-2</v>
      </c>
      <c r="S15" s="18">
        <v>0.389999985695</v>
      </c>
      <c r="T15" s="18">
        <v>1.9999999553000001E-2</v>
      </c>
      <c r="U15" s="18">
        <v>0.31999999284699998</v>
      </c>
      <c r="V15" s="18">
        <v>0.15000000595999999</v>
      </c>
      <c r="W15" s="18">
        <v>0.119999997318</v>
      </c>
      <c r="X15" s="18">
        <v>2.99999993294E-2</v>
      </c>
      <c r="Y15" s="18">
        <v>0</v>
      </c>
      <c r="Z15" s="18">
        <v>0.52999997138999999</v>
      </c>
      <c r="AA15" s="18">
        <v>0.47999998927100002</v>
      </c>
      <c r="AB15" s="18">
        <v>0</v>
      </c>
      <c r="AC15" s="18">
        <v>0.15999999642400001</v>
      </c>
      <c r="AD15" s="18">
        <v>0.62999999523200001</v>
      </c>
      <c r="AE15" s="18">
        <v>0.44999998807899999</v>
      </c>
      <c r="AF15" s="18">
        <v>5.0000000745099998E-2</v>
      </c>
      <c r="AG15" s="18">
        <v>0.64999997615799998</v>
      </c>
      <c r="AH15" s="18">
        <v>0</v>
      </c>
      <c r="AI15" s="18">
        <v>0.5</v>
      </c>
      <c r="AJ15" s="18">
        <v>0.93999999761599995</v>
      </c>
      <c r="AK15" s="18">
        <v>0.87000000476799999</v>
      </c>
      <c r="AL15" s="18">
        <v>0.40999999642399998</v>
      </c>
      <c r="AM15" s="18">
        <v>0.10000000149</v>
      </c>
      <c r="AN15" s="18">
        <v>0.34999999403999998</v>
      </c>
      <c r="AO15" s="18">
        <v>5.0000000745099998E-2</v>
      </c>
      <c r="AP15" s="18">
        <v>0.98000001907300005</v>
      </c>
      <c r="AQ15" s="18">
        <v>2.99999993294E-2</v>
      </c>
      <c r="AR15" s="18">
        <v>0.28000000119200003</v>
      </c>
      <c r="AS15" s="18">
        <v>0.60000002384200002</v>
      </c>
      <c r="AT15" s="18">
        <v>1.9999999553000001E-2</v>
      </c>
      <c r="AU15" s="18">
        <v>0.17000000178800001</v>
      </c>
      <c r="AV15" s="18">
        <v>0.68000000715300002</v>
      </c>
      <c r="AW15" s="18">
        <v>0.829999983311</v>
      </c>
      <c r="AX15" s="18">
        <v>9.0000003576300003E-2</v>
      </c>
      <c r="AY15" s="18">
        <v>0</v>
      </c>
      <c r="AZ15" s="18">
        <v>0.12999999523200001</v>
      </c>
      <c r="BA15" s="18">
        <v>0.12999999523200001</v>
      </c>
      <c r="BB15" s="18">
        <v>0.91000002622599996</v>
      </c>
      <c r="BC15" s="18">
        <v>0.37000000476799999</v>
      </c>
      <c r="BD15" s="18">
        <v>0.54000002145799997</v>
      </c>
      <c r="BE15" s="18">
        <v>0.31999999284699998</v>
      </c>
      <c r="BF15" s="18">
        <v>0.12999999523200001</v>
      </c>
      <c r="BG15" s="18">
        <v>0</v>
      </c>
      <c r="BH15" s="18">
        <v>0.34999999403999998</v>
      </c>
      <c r="BI15" s="18">
        <v>0.62999999523200001</v>
      </c>
      <c r="BJ15" s="18">
        <v>0.56999999284699998</v>
      </c>
      <c r="BK15" s="18">
        <v>0.34999999403999998</v>
      </c>
      <c r="BL15" s="18">
        <v>0.43000000715300002</v>
      </c>
      <c r="BM15" s="18">
        <v>0.15999999642400001</v>
      </c>
      <c r="BN15" s="18">
        <v>0.109999999404</v>
      </c>
      <c r="BO15" s="18">
        <v>0.829999983311</v>
      </c>
      <c r="BP15" s="18">
        <v>0.56999999284699998</v>
      </c>
      <c r="BQ15" s="18">
        <v>0.920000016689</v>
      </c>
      <c r="BR15" s="18">
        <v>0.81000000238400005</v>
      </c>
      <c r="BS15" s="18">
        <v>1.9999999553000001E-2</v>
      </c>
      <c r="BT15" s="18">
        <v>0.64999997615799998</v>
      </c>
      <c r="BU15" s="18">
        <v>0</v>
      </c>
      <c r="BV15" s="18">
        <v>0</v>
      </c>
      <c r="BW15" s="18">
        <v>0.76999998092699995</v>
      </c>
      <c r="BX15" s="18">
        <v>0</v>
      </c>
      <c r="BY15" s="18">
        <v>0.670000016689</v>
      </c>
      <c r="BZ15" s="18">
        <v>2.99999993294E-2</v>
      </c>
      <c r="CA15" s="18">
        <v>0</v>
      </c>
      <c r="CB15" s="18">
        <v>1.9999999553000001E-2</v>
      </c>
      <c r="CC15" s="18">
        <v>9.0000003576300003E-2</v>
      </c>
      <c r="CD15" s="18">
        <v>9.9999997764800008E-3</v>
      </c>
      <c r="CE15" s="18">
        <v>0.52999997138999999</v>
      </c>
      <c r="CF15" s="18">
        <v>0.49000000953700001</v>
      </c>
      <c r="CG15" s="18">
        <v>9.9999997764800008E-3</v>
      </c>
      <c r="CH15" s="18">
        <v>9.0000003576300003E-2</v>
      </c>
      <c r="CI15" s="18">
        <v>0</v>
      </c>
      <c r="CJ15" s="18">
        <v>1.9999999553000001E-2</v>
      </c>
      <c r="CK15" s="18">
        <v>2.99999993294E-2</v>
      </c>
      <c r="CL15" s="18">
        <v>0</v>
      </c>
      <c r="CM15" s="18">
        <v>9.0000003576300003E-2</v>
      </c>
      <c r="CN15" s="18">
        <v>1.9999999553000001E-2</v>
      </c>
      <c r="CO15" s="18">
        <v>9.0000003576300003E-2</v>
      </c>
      <c r="CP15" s="18">
        <v>0</v>
      </c>
      <c r="CQ15" s="18">
        <v>2.99999993294E-2</v>
      </c>
      <c r="CR15" s="18">
        <v>0</v>
      </c>
      <c r="CS15" s="18">
        <v>1.9999999553000001E-2</v>
      </c>
      <c r="CT15" s="18">
        <v>0</v>
      </c>
      <c r="CW15" s="62" t="s">
        <v>366</v>
      </c>
      <c r="CX15" s="5"/>
      <c r="CY15" s="80">
        <v>13</v>
      </c>
      <c r="CZ15" s="259">
        <f t="shared" si="1"/>
        <v>0.14399999976164002</v>
      </c>
      <c r="DA15" s="72">
        <f t="shared" si="2"/>
        <v>0.34333332690082669</v>
      </c>
      <c r="DB15" s="260">
        <f t="shared" si="3"/>
        <v>0.23666665578900001</v>
      </c>
      <c r="DC15" s="261">
        <f t="shared" si="4"/>
        <v>0.45999999841066669</v>
      </c>
      <c r="DD15" s="154">
        <f t="shared" si="5"/>
        <v>0</v>
      </c>
      <c r="DE15" s="262">
        <f t="shared" si="6"/>
        <v>0.32714286313521146</v>
      </c>
      <c r="DF15" s="263">
        <f t="shared" si="7"/>
        <v>0.26333333024150002</v>
      </c>
      <c r="DG15" s="264">
        <f t="shared" si="8"/>
        <v>0.78666667143500002</v>
      </c>
      <c r="DH15" s="265">
        <f t="shared" si="9"/>
        <v>0.85666666428233329</v>
      </c>
      <c r="DI15" s="266">
        <f t="shared" si="10"/>
        <v>0.91666664679833332</v>
      </c>
      <c r="DJ15" s="267">
        <f t="shared" si="11"/>
        <v>0.26000000039733334</v>
      </c>
      <c r="DL15" s="18">
        <f t="shared" si="12"/>
        <v>0.13799999989575201</v>
      </c>
      <c r="DM15" s="18">
        <f t="shared" si="0"/>
        <v>0.33333332712433333</v>
      </c>
      <c r="DN15" s="18">
        <f t="shared" si="0"/>
        <v>0.23333332253017333</v>
      </c>
      <c r="DO15" s="18">
        <f t="shared" si="0"/>
        <v>0.45666666515184001</v>
      </c>
      <c r="DP15" s="18">
        <f t="shared" si="0"/>
        <v>0</v>
      </c>
      <c r="DQ15" s="18">
        <f t="shared" si="0"/>
        <v>0.20142857836814859</v>
      </c>
      <c r="DR15" s="18">
        <f t="shared" si="0"/>
        <v>0.25666666372384667</v>
      </c>
      <c r="DS15" s="18">
        <f t="shared" si="0"/>
        <v>0.77333333839970664</v>
      </c>
      <c r="DT15" s="18">
        <f t="shared" si="0"/>
        <v>0.84999999776467994</v>
      </c>
      <c r="DU15" s="18">
        <f t="shared" si="0"/>
        <v>0.90666664702183997</v>
      </c>
      <c r="DV15" s="18">
        <f t="shared" si="0"/>
        <v>0.25333333387967999</v>
      </c>
      <c r="DX15" s="144">
        <v>0</v>
      </c>
    </row>
    <row r="16" spans="1:130" x14ac:dyDescent="0.2">
      <c r="A16" s="3" t="s">
        <v>13</v>
      </c>
      <c r="B16" s="3" t="s">
        <v>13</v>
      </c>
      <c r="C16" s="3">
        <v>2</v>
      </c>
      <c r="D16" s="3">
        <v>2</v>
      </c>
      <c r="E16" s="18">
        <v>0.97000002861000001</v>
      </c>
      <c r="F16" s="18">
        <v>0.99000000953699996</v>
      </c>
      <c r="G16" s="18">
        <v>0.75</v>
      </c>
      <c r="H16" s="18">
        <v>1</v>
      </c>
      <c r="I16" s="18">
        <v>1</v>
      </c>
      <c r="J16" s="18">
        <v>0.97000002861000001</v>
      </c>
      <c r="K16" s="18">
        <v>0.97000002861000001</v>
      </c>
      <c r="L16" s="18">
        <v>1</v>
      </c>
      <c r="M16" s="18">
        <v>1</v>
      </c>
      <c r="N16" s="18">
        <v>1</v>
      </c>
      <c r="O16" s="18">
        <v>0.23000000417200001</v>
      </c>
      <c r="P16" s="18">
        <v>0.72000002861000001</v>
      </c>
      <c r="Q16" s="18">
        <v>1</v>
      </c>
      <c r="R16" s="18">
        <v>0.93000000715300002</v>
      </c>
      <c r="S16" s="18">
        <v>0.98000001907300005</v>
      </c>
      <c r="T16" s="18">
        <v>1.9999999553000001E-2</v>
      </c>
      <c r="U16" s="18">
        <v>2.99999993294E-2</v>
      </c>
      <c r="V16" s="18">
        <v>0</v>
      </c>
      <c r="W16" s="18">
        <v>1</v>
      </c>
      <c r="X16" s="18">
        <v>0.49000000953700001</v>
      </c>
      <c r="Y16" s="18">
        <v>0.83999997377400004</v>
      </c>
      <c r="Z16" s="18">
        <v>0.69999998807899999</v>
      </c>
      <c r="AA16" s="18">
        <v>0.68999999761599995</v>
      </c>
      <c r="AB16" s="18">
        <v>3.9999999105899998E-2</v>
      </c>
      <c r="AC16" s="18">
        <v>0.89999997615799998</v>
      </c>
      <c r="AD16" s="18">
        <v>0.18000000715299999</v>
      </c>
      <c r="AE16" s="18">
        <v>0.69999998807899999</v>
      </c>
      <c r="AF16" s="18">
        <v>1</v>
      </c>
      <c r="AG16" s="18">
        <v>0.52999997138999999</v>
      </c>
      <c r="AH16" s="18">
        <v>0.52999997138999999</v>
      </c>
      <c r="AI16" s="18">
        <v>0.30000001192100001</v>
      </c>
      <c r="AJ16" s="18">
        <v>0</v>
      </c>
      <c r="AK16" s="18">
        <v>0.95999997854200003</v>
      </c>
      <c r="AL16" s="18">
        <v>0.28000000119200003</v>
      </c>
      <c r="AM16" s="18">
        <v>0</v>
      </c>
      <c r="AN16" s="18">
        <v>1</v>
      </c>
      <c r="AO16" s="18">
        <v>0.99000000953699996</v>
      </c>
      <c r="AP16" s="18">
        <v>0</v>
      </c>
      <c r="AQ16" s="18">
        <v>0.75999999046300004</v>
      </c>
      <c r="AR16" s="18">
        <v>0.98000001907300005</v>
      </c>
      <c r="AS16" s="18">
        <v>0.68999999761599995</v>
      </c>
      <c r="AT16" s="18">
        <v>0.95999997854200003</v>
      </c>
      <c r="AU16" s="18">
        <v>0.5</v>
      </c>
      <c r="AV16" s="18">
        <v>0.47999998927100002</v>
      </c>
      <c r="AW16" s="18">
        <v>1</v>
      </c>
      <c r="AX16" s="18">
        <v>9.9999997764800008E-3</v>
      </c>
      <c r="AY16" s="18">
        <v>3.9999999105899998E-2</v>
      </c>
      <c r="AZ16" s="18">
        <v>0.46999999880799997</v>
      </c>
      <c r="BA16" s="18">
        <v>0.93999999761599995</v>
      </c>
      <c r="BB16" s="18">
        <v>1.9999999553000001E-2</v>
      </c>
      <c r="BC16" s="18">
        <v>1</v>
      </c>
      <c r="BD16" s="18">
        <v>1.9999999553000001E-2</v>
      </c>
      <c r="BE16" s="18">
        <v>0</v>
      </c>
      <c r="BF16" s="18">
        <v>0.310000002384</v>
      </c>
      <c r="BG16" s="18">
        <v>0</v>
      </c>
      <c r="BH16" s="18">
        <v>0</v>
      </c>
      <c r="BI16" s="18">
        <v>1.9999999553000001E-2</v>
      </c>
      <c r="BJ16" s="18">
        <v>0.109999999404</v>
      </c>
      <c r="BK16" s="18">
        <v>1</v>
      </c>
      <c r="BL16" s="18">
        <v>0</v>
      </c>
      <c r="BM16" s="18">
        <v>0</v>
      </c>
      <c r="BN16" s="18">
        <v>7.0000000298000006E-2</v>
      </c>
      <c r="BO16" s="18">
        <v>0.15000000595999999</v>
      </c>
      <c r="BP16" s="18">
        <v>0.77999997138999999</v>
      </c>
      <c r="BQ16" s="18">
        <v>0.93999999761599995</v>
      </c>
      <c r="BR16" s="18">
        <v>0</v>
      </c>
      <c r="BS16" s="18">
        <v>9.9999997764800008E-3</v>
      </c>
      <c r="BT16" s="18">
        <v>0</v>
      </c>
      <c r="BU16" s="18">
        <v>3.9999999105899998E-2</v>
      </c>
      <c r="BV16" s="18">
        <v>0</v>
      </c>
      <c r="BW16" s="18">
        <v>0</v>
      </c>
      <c r="BX16" s="18">
        <v>0</v>
      </c>
      <c r="BY16" s="18">
        <v>0</v>
      </c>
      <c r="BZ16" s="18">
        <v>2.99999993294E-2</v>
      </c>
      <c r="CA16" s="18">
        <v>0</v>
      </c>
      <c r="CB16" s="18">
        <v>0</v>
      </c>
      <c r="CC16" s="18">
        <v>2.99999993294E-2</v>
      </c>
      <c r="CD16" s="18">
        <v>1</v>
      </c>
      <c r="CE16" s="18">
        <v>0</v>
      </c>
      <c r="CF16" s="18">
        <v>0</v>
      </c>
      <c r="CG16" s="18">
        <v>0</v>
      </c>
      <c r="CH16" s="18">
        <v>0</v>
      </c>
      <c r="CI16" s="18">
        <v>9.9999997764800008E-3</v>
      </c>
      <c r="CJ16" s="18">
        <v>0</v>
      </c>
      <c r="CK16" s="18">
        <v>0</v>
      </c>
      <c r="CL16" s="18">
        <v>0</v>
      </c>
      <c r="CM16" s="18">
        <v>0.109999999404</v>
      </c>
      <c r="CN16" s="18">
        <v>0</v>
      </c>
      <c r="CO16" s="18">
        <v>0</v>
      </c>
      <c r="CP16" s="18">
        <v>1.9999999553000001E-2</v>
      </c>
      <c r="CQ16" s="18">
        <v>1.9999999553000001E-2</v>
      </c>
      <c r="CR16" s="18">
        <v>9.9999997764800008E-3</v>
      </c>
      <c r="CS16" s="18">
        <v>0</v>
      </c>
      <c r="CT16" s="18">
        <v>0.18000000715299999</v>
      </c>
      <c r="CW16" s="99" t="s">
        <v>367</v>
      </c>
      <c r="CX16" s="5"/>
      <c r="CY16" s="80">
        <v>14</v>
      </c>
      <c r="CZ16" s="259">
        <f t="shared" si="1"/>
        <v>0.89200000166900006</v>
      </c>
      <c r="DA16" s="72">
        <f t="shared" si="2"/>
        <v>0.82666665315633336</v>
      </c>
      <c r="DB16" s="260">
        <f t="shared" si="3"/>
        <v>0.85333331425966674</v>
      </c>
      <c r="DC16" s="261">
        <f t="shared" si="4"/>
        <v>0.71999998887399996</v>
      </c>
      <c r="DD16" s="154">
        <f t="shared" si="5"/>
        <v>0.41666666666666669</v>
      </c>
      <c r="DE16" s="262">
        <f t="shared" si="6"/>
        <v>0.11428571439214287</v>
      </c>
      <c r="DF16" s="263">
        <f t="shared" si="7"/>
        <v>0.1899999997889</v>
      </c>
      <c r="DG16" s="264">
        <f t="shared" si="8"/>
        <v>0.47000000377500001</v>
      </c>
      <c r="DH16" s="265">
        <f t="shared" si="9"/>
        <v>0.98666667938233343</v>
      </c>
      <c r="DI16" s="266">
        <f t="shared" si="10"/>
        <v>0.98000001907333323</v>
      </c>
      <c r="DJ16" s="267">
        <f t="shared" si="11"/>
        <v>0.44000001003329997</v>
      </c>
      <c r="DL16" s="18">
        <f t="shared" si="12"/>
        <v>0.89200000166900006</v>
      </c>
      <c r="DM16" s="18">
        <f t="shared" si="0"/>
        <v>0.82333331989750669</v>
      </c>
      <c r="DN16" s="18">
        <f t="shared" si="0"/>
        <v>0.84999998100084007</v>
      </c>
      <c r="DO16" s="18">
        <f t="shared" si="0"/>
        <v>0.71999998887399996</v>
      </c>
      <c r="DP16" s="18">
        <f t="shared" si="0"/>
        <v>0.41666666666666669</v>
      </c>
      <c r="DQ16" s="18">
        <f t="shared" si="0"/>
        <v>0.11428571439214287</v>
      </c>
      <c r="DR16" s="18">
        <f t="shared" si="0"/>
        <v>0.18833333315948667</v>
      </c>
      <c r="DS16" s="18">
        <f t="shared" si="0"/>
        <v>0.47000000377500001</v>
      </c>
      <c r="DT16" s="18">
        <f t="shared" si="0"/>
        <v>0.98666667938233343</v>
      </c>
      <c r="DU16" s="18">
        <f t="shared" si="0"/>
        <v>0.98000001907333323</v>
      </c>
      <c r="DV16" s="18">
        <f t="shared" si="0"/>
        <v>0.44000001003329997</v>
      </c>
      <c r="DX16" s="144">
        <v>1</v>
      </c>
    </row>
    <row r="17" spans="1:128" x14ac:dyDescent="0.2">
      <c r="A17" s="3" t="s">
        <v>14</v>
      </c>
      <c r="B17" s="3" t="s">
        <v>14</v>
      </c>
      <c r="C17" s="3">
        <v>1</v>
      </c>
      <c r="D17" s="3">
        <v>1</v>
      </c>
      <c r="E17" s="18">
        <v>0.66000002599999996</v>
      </c>
      <c r="F17" s="18">
        <v>0.670000017</v>
      </c>
      <c r="G17" s="18">
        <v>0.829999983</v>
      </c>
      <c r="H17" s="18">
        <v>0.50999998999999996</v>
      </c>
      <c r="I17" s="18">
        <v>0.80000001200000004</v>
      </c>
      <c r="J17" s="18">
        <v>0.60000002399999997</v>
      </c>
      <c r="K17" s="18">
        <v>0.34000000400000002</v>
      </c>
      <c r="L17" s="18">
        <v>0.63999998599999997</v>
      </c>
      <c r="M17" s="18">
        <v>7.9999998000000003E-2</v>
      </c>
      <c r="N17" s="18">
        <v>0.34000000400000002</v>
      </c>
      <c r="O17" s="18">
        <v>0.23000000400000001</v>
      </c>
      <c r="P17" s="18">
        <v>0.55000001200000004</v>
      </c>
      <c r="Q17" s="18">
        <v>0.25999999000000001</v>
      </c>
      <c r="R17" s="18">
        <v>0.34000000400000002</v>
      </c>
      <c r="S17" s="18">
        <v>0.37000000500000002</v>
      </c>
      <c r="T17" s="18">
        <v>0.37999999499999998</v>
      </c>
      <c r="U17" s="18">
        <v>1</v>
      </c>
      <c r="V17" s="18">
        <v>0.87000000499999997</v>
      </c>
      <c r="W17" s="18">
        <v>0.27000001099999998</v>
      </c>
      <c r="X17" s="18">
        <v>0.189999998</v>
      </c>
      <c r="Y17" s="18">
        <v>0.17000000200000001</v>
      </c>
      <c r="Z17" s="18">
        <v>0.5</v>
      </c>
      <c r="AA17" s="18">
        <v>0.540000021</v>
      </c>
      <c r="AB17" s="18">
        <v>0.75999998999999996</v>
      </c>
      <c r="AC17" s="18">
        <v>0.189999998</v>
      </c>
      <c r="AD17" s="18">
        <v>0.31999999299999998</v>
      </c>
      <c r="AE17" s="18">
        <v>0.18000000699999999</v>
      </c>
      <c r="AF17" s="18">
        <v>0.49000000999999999</v>
      </c>
      <c r="AG17" s="18">
        <v>0.15000000599999999</v>
      </c>
      <c r="AH17" s="18">
        <v>0.50999998999999996</v>
      </c>
      <c r="AI17" s="18">
        <v>0.20000000300000001</v>
      </c>
      <c r="AJ17" s="18">
        <v>7.9999998000000003E-2</v>
      </c>
      <c r="AK17" s="18">
        <v>0.74000001000000004</v>
      </c>
      <c r="AL17" s="18">
        <v>0.58999997400000004</v>
      </c>
      <c r="AM17" s="18">
        <v>0.46000000800000002</v>
      </c>
      <c r="AN17" s="18">
        <v>9.0000003999999995E-2</v>
      </c>
      <c r="AO17" s="18">
        <v>0.439999998</v>
      </c>
      <c r="AP17" s="18">
        <v>0.689999998</v>
      </c>
      <c r="AQ17" s="18">
        <v>0.15999999600000001</v>
      </c>
      <c r="AR17" s="18">
        <v>0.15999999600000001</v>
      </c>
      <c r="AS17" s="18">
        <v>0.469999999</v>
      </c>
      <c r="AT17" s="18">
        <v>5.9999998999999998E-2</v>
      </c>
      <c r="AU17" s="18">
        <v>0.560000002</v>
      </c>
      <c r="AV17" s="18">
        <v>7.9999998000000003E-2</v>
      </c>
      <c r="AW17" s="18">
        <v>0.02</v>
      </c>
      <c r="AX17" s="18">
        <v>0.25</v>
      </c>
      <c r="AY17" s="18">
        <v>0.109999999</v>
      </c>
      <c r="AZ17" s="18">
        <v>0.28999999199999998</v>
      </c>
      <c r="BA17" s="18">
        <v>0.119999997</v>
      </c>
      <c r="BB17" s="18">
        <v>0.15000000599999999</v>
      </c>
      <c r="BC17" s="18">
        <v>0.02</v>
      </c>
      <c r="BD17" s="18">
        <v>5.0000001000000002E-2</v>
      </c>
      <c r="BE17" s="18">
        <v>0.25</v>
      </c>
      <c r="BF17" s="18">
        <v>0.15999999600000001</v>
      </c>
      <c r="BG17" s="18">
        <v>0.75999998999999996</v>
      </c>
      <c r="BH17" s="18">
        <v>0.18000000699999999</v>
      </c>
      <c r="BI17" s="18">
        <v>0.15000000599999999</v>
      </c>
      <c r="BJ17" s="18">
        <v>0.68000000699999996</v>
      </c>
      <c r="BK17" s="18">
        <v>0.27000001099999998</v>
      </c>
      <c r="BL17" s="18">
        <v>0.670000017</v>
      </c>
      <c r="BM17" s="18">
        <v>0.15999999600000001</v>
      </c>
      <c r="BN17" s="18">
        <v>0</v>
      </c>
      <c r="BO17" s="18">
        <v>5.9999998999999998E-2</v>
      </c>
      <c r="BP17" s="18">
        <v>5.9999998999999998E-2</v>
      </c>
      <c r="BQ17" s="18">
        <v>0.15000000599999999</v>
      </c>
      <c r="BR17" s="18">
        <v>0.62000000499999997</v>
      </c>
      <c r="BS17" s="18">
        <v>7.9999998000000003E-2</v>
      </c>
      <c r="BT17" s="18">
        <v>0.23000000400000001</v>
      </c>
      <c r="BU17" s="18">
        <v>0.27000001099999998</v>
      </c>
      <c r="BV17" s="18">
        <v>0.02</v>
      </c>
      <c r="BW17" s="18">
        <v>0.28999999199999998</v>
      </c>
      <c r="BX17" s="18">
        <v>0.44999998800000002</v>
      </c>
      <c r="BY17" s="18">
        <v>0</v>
      </c>
      <c r="BZ17" s="18">
        <v>0.43000000700000002</v>
      </c>
      <c r="CA17" s="18">
        <v>0.579999983</v>
      </c>
      <c r="CB17" s="18">
        <v>0.469999999</v>
      </c>
      <c r="CC17" s="18">
        <v>0.25999999000000001</v>
      </c>
      <c r="CD17" s="18">
        <v>5.0000001000000002E-2</v>
      </c>
      <c r="CE17" s="18">
        <v>9.0000003999999995E-2</v>
      </c>
      <c r="CF17" s="18">
        <v>0.01</v>
      </c>
      <c r="CG17" s="18">
        <v>0.469999999</v>
      </c>
      <c r="CH17" s="18">
        <v>7.9999998000000003E-2</v>
      </c>
      <c r="CI17" s="18">
        <v>0.30000001199999998</v>
      </c>
      <c r="CJ17" s="18">
        <v>0.219999999</v>
      </c>
      <c r="CK17" s="18">
        <v>0.189999998</v>
      </c>
      <c r="CL17" s="18">
        <v>0.27000001099999998</v>
      </c>
      <c r="CM17" s="18">
        <v>0</v>
      </c>
      <c r="CN17" s="18">
        <v>0.189999998</v>
      </c>
      <c r="CO17" s="18">
        <v>0.23000000400000001</v>
      </c>
      <c r="CP17" s="18">
        <v>5.9999998999999998E-2</v>
      </c>
      <c r="CQ17" s="18">
        <v>0.25</v>
      </c>
      <c r="CR17" s="18">
        <v>0.28999999199999998</v>
      </c>
      <c r="CS17" s="18">
        <v>0.23000000400000001</v>
      </c>
      <c r="CT17" s="18">
        <v>0</v>
      </c>
      <c r="CW17" s="99" t="s">
        <v>368</v>
      </c>
      <c r="CX17" s="5"/>
      <c r="CY17" s="80">
        <v>15</v>
      </c>
      <c r="CZ17" s="259">
        <f t="shared" si="1"/>
        <v>0.25599999820000002</v>
      </c>
      <c r="DA17" s="72">
        <f t="shared" si="2"/>
        <v>9.6666668999999997E-2</v>
      </c>
      <c r="DB17" s="260">
        <f t="shared" si="3"/>
        <v>0.249999999</v>
      </c>
      <c r="DC17" s="261">
        <f t="shared" si="4"/>
        <v>0.24666666733333331</v>
      </c>
      <c r="DD17" s="154">
        <f t="shared" si="5"/>
        <v>0.50333332999999991</v>
      </c>
      <c r="DE17" s="262">
        <f t="shared" si="6"/>
        <v>0.34571428385714287</v>
      </c>
      <c r="DF17" s="263">
        <f t="shared" si="7"/>
        <v>0.14166666983333334</v>
      </c>
      <c r="DG17" s="264">
        <f t="shared" si="8"/>
        <v>0.45000000299999998</v>
      </c>
      <c r="DH17" s="265">
        <f t="shared" si="9"/>
        <v>0.61333334433333331</v>
      </c>
      <c r="DI17" s="266">
        <f t="shared" si="10"/>
        <v>0.34000000866666663</v>
      </c>
      <c r="DJ17" s="267">
        <f t="shared" si="11"/>
        <v>0.15666666600000001</v>
      </c>
      <c r="DL17" s="18">
        <f t="shared" si="12"/>
        <v>0.25399999820000002</v>
      </c>
      <c r="DM17" s="18">
        <f t="shared" si="0"/>
        <v>9.6666668999999997E-2</v>
      </c>
      <c r="DN17" s="18">
        <f t="shared" si="0"/>
        <v>0.249999999</v>
      </c>
      <c r="DO17" s="18">
        <f t="shared" si="0"/>
        <v>0.21666666599999998</v>
      </c>
      <c r="DP17" s="18">
        <f t="shared" si="0"/>
        <v>0.50333332999999991</v>
      </c>
      <c r="DQ17" s="18">
        <f t="shared" si="0"/>
        <v>0.33142856942857146</v>
      </c>
      <c r="DR17" s="18">
        <f t="shared" si="0"/>
        <v>0.11166666866666668</v>
      </c>
      <c r="DS17" s="18">
        <f t="shared" si="0"/>
        <v>0.37333333499999999</v>
      </c>
      <c r="DT17" s="18">
        <f t="shared" si="0"/>
        <v>0.58333334299999995</v>
      </c>
      <c r="DU17" s="18">
        <f t="shared" si="0"/>
        <v>0.34000000866666663</v>
      </c>
      <c r="DV17" s="18">
        <f t="shared" si="0"/>
        <v>0.15666666600000001</v>
      </c>
      <c r="DX17" s="144">
        <v>0.119999997318</v>
      </c>
    </row>
    <row r="18" spans="1:128" x14ac:dyDescent="0.2">
      <c r="A18" s="3" t="s">
        <v>15</v>
      </c>
      <c r="B18" s="3" t="s">
        <v>15</v>
      </c>
      <c r="C18" s="3">
        <v>2</v>
      </c>
      <c r="D18" s="3">
        <v>2</v>
      </c>
      <c r="E18" s="18">
        <v>0.62999999500000003</v>
      </c>
      <c r="F18" s="18">
        <v>0.72000002900000004</v>
      </c>
      <c r="G18" s="18">
        <v>0.74000001000000004</v>
      </c>
      <c r="H18" s="18">
        <v>0.34999999399999998</v>
      </c>
      <c r="I18" s="18">
        <v>0.75999998999999996</v>
      </c>
      <c r="J18" s="18">
        <v>0.02</v>
      </c>
      <c r="K18" s="18">
        <v>0.62999999500000003</v>
      </c>
      <c r="L18" s="18">
        <v>0.87000000499999997</v>
      </c>
      <c r="M18" s="18">
        <v>0.62000000499999997</v>
      </c>
      <c r="N18" s="18">
        <v>0.68000000699999996</v>
      </c>
      <c r="O18" s="18">
        <v>0.709999979</v>
      </c>
      <c r="P18" s="18">
        <v>0.27000001099999998</v>
      </c>
      <c r="Q18" s="18">
        <v>0.5</v>
      </c>
      <c r="R18" s="18">
        <v>0.730000019</v>
      </c>
      <c r="S18" s="18">
        <v>0.769999981</v>
      </c>
      <c r="T18" s="18">
        <v>0.790000021</v>
      </c>
      <c r="U18" s="18">
        <v>0.730000019</v>
      </c>
      <c r="V18" s="18">
        <v>0.74000001000000004</v>
      </c>
      <c r="W18" s="18">
        <v>0.37999999499999998</v>
      </c>
      <c r="X18" s="18">
        <v>0.730000019</v>
      </c>
      <c r="Y18" s="18">
        <v>0.44999998800000002</v>
      </c>
      <c r="Z18" s="18">
        <v>0.25</v>
      </c>
      <c r="AA18" s="18">
        <v>0.60000002399999997</v>
      </c>
      <c r="AB18" s="18">
        <v>0.62000000499999997</v>
      </c>
      <c r="AC18" s="18">
        <v>0.46000000800000002</v>
      </c>
      <c r="AD18" s="18">
        <v>0.34000000400000002</v>
      </c>
      <c r="AE18" s="18">
        <v>0.34999999399999998</v>
      </c>
      <c r="AF18" s="18">
        <v>0.43000000700000002</v>
      </c>
      <c r="AG18" s="18">
        <v>0.49000000999999999</v>
      </c>
      <c r="AH18" s="18">
        <v>0.27000001099999998</v>
      </c>
      <c r="AI18" s="18">
        <v>0.25</v>
      </c>
      <c r="AJ18" s="18">
        <v>0.02</v>
      </c>
      <c r="AK18" s="18">
        <v>0.01</v>
      </c>
      <c r="AL18" s="18">
        <v>0.36000001399999998</v>
      </c>
      <c r="AM18" s="18">
        <v>3.9999999000000001E-2</v>
      </c>
      <c r="AN18" s="18">
        <v>0.62999999500000003</v>
      </c>
      <c r="AO18" s="18">
        <v>0.44999998800000002</v>
      </c>
      <c r="AP18" s="18">
        <v>0.87000000499999997</v>
      </c>
      <c r="AQ18" s="18">
        <v>0.55000001200000004</v>
      </c>
      <c r="AR18" s="18">
        <v>0.519999981</v>
      </c>
      <c r="AS18" s="18">
        <v>0.689999998</v>
      </c>
      <c r="AT18" s="18">
        <v>0.28999999199999998</v>
      </c>
      <c r="AU18" s="18">
        <v>0.23000000400000001</v>
      </c>
      <c r="AV18" s="18">
        <v>0.14000000100000001</v>
      </c>
      <c r="AW18" s="18">
        <v>0.69999998799999996</v>
      </c>
      <c r="AX18" s="18">
        <v>0.40999999599999998</v>
      </c>
      <c r="AY18" s="18">
        <v>0.34000000400000002</v>
      </c>
      <c r="AZ18" s="18">
        <v>0.12999999500000001</v>
      </c>
      <c r="BA18" s="18">
        <v>0.38999998600000002</v>
      </c>
      <c r="BB18" s="18">
        <v>0.14000000100000001</v>
      </c>
      <c r="BC18" s="18">
        <v>0.14000000100000001</v>
      </c>
      <c r="BD18" s="18">
        <v>9.0000003999999995E-2</v>
      </c>
      <c r="BE18" s="18">
        <v>0.02</v>
      </c>
      <c r="BF18" s="18">
        <v>0.17000000200000001</v>
      </c>
      <c r="BG18" s="18">
        <v>0.47999998900000002</v>
      </c>
      <c r="BH18" s="18">
        <v>0.540000021</v>
      </c>
      <c r="BI18" s="18">
        <v>0</v>
      </c>
      <c r="BJ18" s="18">
        <v>0.280000001</v>
      </c>
      <c r="BK18" s="18">
        <v>0.469999999</v>
      </c>
      <c r="BL18" s="18">
        <v>0.02</v>
      </c>
      <c r="BM18" s="18">
        <v>0.55000001200000004</v>
      </c>
      <c r="BN18" s="18">
        <v>0</v>
      </c>
      <c r="BO18" s="18">
        <v>0</v>
      </c>
      <c r="BP18" s="18">
        <v>0.40000000600000002</v>
      </c>
      <c r="BQ18" s="18">
        <v>0.01</v>
      </c>
      <c r="BR18" s="18">
        <v>0.439999998</v>
      </c>
      <c r="BS18" s="18">
        <v>0.62000000499999997</v>
      </c>
      <c r="BT18" s="18">
        <v>0.23000000400000001</v>
      </c>
      <c r="BU18" s="18">
        <v>0.66000002599999996</v>
      </c>
      <c r="BV18" s="18">
        <v>0.61000001400000003</v>
      </c>
      <c r="BW18" s="18">
        <v>0.28999999199999998</v>
      </c>
      <c r="BX18" s="18">
        <v>0.10000000100000001</v>
      </c>
      <c r="BY18" s="18">
        <v>0</v>
      </c>
      <c r="BZ18" s="18">
        <v>0.18000000699999999</v>
      </c>
      <c r="CA18" s="18">
        <v>0.119999997</v>
      </c>
      <c r="CB18" s="18">
        <v>0.44999998800000002</v>
      </c>
      <c r="CC18" s="18">
        <v>0.10000000100000001</v>
      </c>
      <c r="CD18" s="18">
        <v>0</v>
      </c>
      <c r="CE18" s="18">
        <v>0</v>
      </c>
      <c r="CF18" s="18">
        <v>0</v>
      </c>
      <c r="CG18" s="18">
        <v>0.10000000100000001</v>
      </c>
      <c r="CH18" s="18">
        <v>0.30000001199999998</v>
      </c>
      <c r="CI18" s="18">
        <v>5.0000001000000002E-2</v>
      </c>
      <c r="CJ18" s="18">
        <v>2.9999998999999999E-2</v>
      </c>
      <c r="CK18" s="18">
        <v>0.20000000300000001</v>
      </c>
      <c r="CL18" s="18">
        <v>0</v>
      </c>
      <c r="CM18" s="18">
        <v>0.02</v>
      </c>
      <c r="CN18" s="18">
        <v>9.0000003999999995E-2</v>
      </c>
      <c r="CO18" s="18">
        <v>0.02</v>
      </c>
      <c r="CP18" s="18">
        <v>2.9999998999999999E-2</v>
      </c>
      <c r="CQ18" s="18">
        <v>7.9999998000000003E-2</v>
      </c>
      <c r="CR18" s="18">
        <v>0.17000000200000001</v>
      </c>
      <c r="CS18" s="18">
        <v>0.02</v>
      </c>
      <c r="CT18" s="18">
        <v>2.9999998999999999E-2</v>
      </c>
      <c r="CW18" s="99" t="s">
        <v>369</v>
      </c>
      <c r="CX18" s="5"/>
      <c r="CY18" s="80">
        <v>16</v>
      </c>
      <c r="CZ18" s="259">
        <f t="shared" si="1"/>
        <v>0.31999999579999999</v>
      </c>
      <c r="DA18" s="72">
        <f t="shared" si="2"/>
        <v>0.25</v>
      </c>
      <c r="DB18" s="260">
        <f t="shared" si="3"/>
        <v>0.33333333333333331</v>
      </c>
      <c r="DC18" s="261">
        <f t="shared" si="4"/>
        <v>0.52333333133333337</v>
      </c>
      <c r="DD18" s="154">
        <f t="shared" si="5"/>
        <v>0.21333334100000001</v>
      </c>
      <c r="DE18" s="262">
        <f t="shared" si="6"/>
        <v>0.13714286042857141</v>
      </c>
      <c r="DF18" s="263">
        <f t="shared" si="7"/>
        <v>0.141666667</v>
      </c>
      <c r="DG18" s="264">
        <f t="shared" si="8"/>
        <v>0.60333332433333331</v>
      </c>
      <c r="DH18" s="265">
        <f t="shared" si="9"/>
        <v>0.5666666726666667</v>
      </c>
      <c r="DI18" s="266">
        <f t="shared" si="10"/>
        <v>0.42333333333333334</v>
      </c>
      <c r="DJ18" s="267">
        <f t="shared" si="11"/>
        <v>0.36999999499999997</v>
      </c>
      <c r="DL18" s="18">
        <f t="shared" si="12"/>
        <v>0.31999999579999999</v>
      </c>
      <c r="DM18" s="18">
        <f t="shared" si="0"/>
        <v>0.24666666666666667</v>
      </c>
      <c r="DN18" s="18">
        <f t="shared" si="0"/>
        <v>0.33333333333333331</v>
      </c>
      <c r="DO18" s="18">
        <f t="shared" si="0"/>
        <v>0.52333333133333337</v>
      </c>
      <c r="DP18" s="18">
        <f t="shared" si="0"/>
        <v>0.21333334100000001</v>
      </c>
      <c r="DQ18" s="18">
        <f t="shared" si="0"/>
        <v>0.13714286042857141</v>
      </c>
      <c r="DR18" s="18">
        <f t="shared" si="0"/>
        <v>0.141666667</v>
      </c>
      <c r="DS18" s="18">
        <f t="shared" si="0"/>
        <v>0.60333332433333331</v>
      </c>
      <c r="DT18" s="18">
        <f t="shared" si="0"/>
        <v>0.5666666726666667</v>
      </c>
      <c r="DU18" s="18">
        <f t="shared" si="0"/>
        <v>0.42333333333333334</v>
      </c>
      <c r="DV18" s="18">
        <f t="shared" si="0"/>
        <v>0.36999999499999997</v>
      </c>
      <c r="DX18" s="144">
        <v>0.83999997377400004</v>
      </c>
    </row>
    <row r="19" spans="1:128" x14ac:dyDescent="0.2">
      <c r="A19" s="3" t="s">
        <v>16</v>
      </c>
      <c r="B19" s="3" t="s">
        <v>16</v>
      </c>
      <c r="C19" s="3">
        <v>1</v>
      </c>
      <c r="D19" s="3">
        <v>1</v>
      </c>
      <c r="E19" s="18">
        <v>1</v>
      </c>
      <c r="F19" s="18">
        <v>1</v>
      </c>
      <c r="G19" s="18">
        <v>0.69999998799999996</v>
      </c>
      <c r="H19" s="18">
        <v>1</v>
      </c>
      <c r="I19" s="18">
        <v>1</v>
      </c>
      <c r="J19" s="18">
        <v>1</v>
      </c>
      <c r="K19" s="18">
        <v>0.46000000800000002</v>
      </c>
      <c r="L19" s="18">
        <v>0</v>
      </c>
      <c r="M19" s="18">
        <v>1</v>
      </c>
      <c r="N19" s="18">
        <v>0.280000001</v>
      </c>
      <c r="O19" s="18">
        <v>0.49000000999999999</v>
      </c>
      <c r="P19" s="18">
        <v>1</v>
      </c>
      <c r="Q19" s="18">
        <v>1</v>
      </c>
      <c r="R19" s="18">
        <v>0.689999998</v>
      </c>
      <c r="S19" s="18">
        <v>1</v>
      </c>
      <c r="T19" s="18">
        <v>1</v>
      </c>
      <c r="U19" s="18">
        <v>0.58999997400000004</v>
      </c>
      <c r="V19" s="18">
        <v>0.36000001399999998</v>
      </c>
      <c r="W19" s="18">
        <v>0.5</v>
      </c>
      <c r="X19" s="18">
        <v>0.50999998999999996</v>
      </c>
      <c r="Y19" s="18">
        <v>0.74000001000000004</v>
      </c>
      <c r="Z19" s="18">
        <v>1</v>
      </c>
      <c r="AA19" s="18">
        <v>0.47999998900000002</v>
      </c>
      <c r="AB19" s="18">
        <v>0.72000002900000004</v>
      </c>
      <c r="AC19" s="18">
        <v>1</v>
      </c>
      <c r="AD19" s="18">
        <v>0.94999998799999996</v>
      </c>
      <c r="AE19" s="18">
        <v>1</v>
      </c>
      <c r="AF19" s="18">
        <v>0</v>
      </c>
      <c r="AG19" s="18">
        <v>0.64999997600000003</v>
      </c>
      <c r="AH19" s="18">
        <v>5.9999998999999998E-2</v>
      </c>
      <c r="AI19" s="18">
        <v>1</v>
      </c>
      <c r="AJ19" s="18">
        <v>1</v>
      </c>
      <c r="AK19" s="18">
        <v>0</v>
      </c>
      <c r="AL19" s="18">
        <v>0.69999998799999996</v>
      </c>
      <c r="AM19" s="18">
        <v>0.49000000999999999</v>
      </c>
      <c r="AN19" s="18">
        <v>5.9999998999999998E-2</v>
      </c>
      <c r="AO19" s="18">
        <v>0.50999998999999996</v>
      </c>
      <c r="AP19" s="18">
        <v>0</v>
      </c>
      <c r="AQ19" s="18">
        <v>0.5</v>
      </c>
      <c r="AR19" s="18">
        <v>7.9999998000000003E-2</v>
      </c>
      <c r="AS19" s="18">
        <v>0.109999999</v>
      </c>
      <c r="AT19" s="18">
        <v>1</v>
      </c>
      <c r="AU19" s="18">
        <v>0.10000000100000001</v>
      </c>
      <c r="AV19" s="18">
        <v>0</v>
      </c>
      <c r="AW19" s="18">
        <v>0.01</v>
      </c>
      <c r="AX19" s="18">
        <v>0.64999997600000003</v>
      </c>
      <c r="AY19" s="18">
        <v>0.89999997600000003</v>
      </c>
      <c r="AZ19" s="18">
        <v>0.790000021</v>
      </c>
      <c r="BA19" s="18">
        <v>1</v>
      </c>
      <c r="BB19" s="18">
        <v>0.14000000100000001</v>
      </c>
      <c r="BC19" s="18">
        <v>1</v>
      </c>
      <c r="BD19" s="18">
        <v>1</v>
      </c>
      <c r="BE19" s="18">
        <v>0.209999993</v>
      </c>
      <c r="BF19" s="18">
        <v>0.49000000999999999</v>
      </c>
      <c r="BG19" s="18">
        <v>0.5</v>
      </c>
      <c r="BH19" s="18">
        <v>0.25999999000000001</v>
      </c>
      <c r="BI19" s="18">
        <v>0.27000001099999998</v>
      </c>
      <c r="BJ19" s="18">
        <v>5.0000001000000002E-2</v>
      </c>
      <c r="BK19" s="18">
        <v>0.89999997600000003</v>
      </c>
      <c r="BL19" s="18">
        <v>1</v>
      </c>
      <c r="BM19" s="18">
        <v>3.9999999000000001E-2</v>
      </c>
      <c r="BN19" s="18">
        <v>0.219999999</v>
      </c>
      <c r="BO19" s="18">
        <v>5.9999998999999998E-2</v>
      </c>
      <c r="BP19" s="18">
        <v>1</v>
      </c>
      <c r="BQ19" s="18">
        <v>0</v>
      </c>
      <c r="BR19" s="18">
        <v>0</v>
      </c>
      <c r="BS19" s="18">
        <v>1</v>
      </c>
      <c r="BT19" s="18">
        <v>0.49000000999999999</v>
      </c>
      <c r="BU19" s="18">
        <v>5.0000001000000002E-2</v>
      </c>
      <c r="BV19" s="18">
        <v>0.5</v>
      </c>
      <c r="BW19" s="18">
        <v>0</v>
      </c>
      <c r="BX19" s="18">
        <v>0.25</v>
      </c>
      <c r="BY19" s="18">
        <v>0</v>
      </c>
      <c r="BZ19" s="18">
        <v>0</v>
      </c>
      <c r="CA19" s="18">
        <v>0.25</v>
      </c>
      <c r="CB19" s="18">
        <v>0.109999999</v>
      </c>
      <c r="CC19" s="18">
        <v>0.219999999</v>
      </c>
      <c r="CD19" s="18">
        <v>0.27000001099999998</v>
      </c>
      <c r="CE19" s="18">
        <v>0</v>
      </c>
      <c r="CF19" s="18">
        <v>5.9999998999999998E-2</v>
      </c>
      <c r="CG19" s="18">
        <v>0</v>
      </c>
      <c r="CH19" s="18">
        <v>0.31999999299999998</v>
      </c>
      <c r="CI19" s="18">
        <v>7.9999998000000003E-2</v>
      </c>
      <c r="CJ19" s="18">
        <v>0</v>
      </c>
      <c r="CK19" s="18">
        <v>5.0000001000000002E-2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0.01</v>
      </c>
      <c r="CR19" s="18">
        <v>0</v>
      </c>
      <c r="CS19" s="18">
        <v>0</v>
      </c>
      <c r="CT19" s="18">
        <v>0</v>
      </c>
      <c r="CW19" s="99" t="s">
        <v>370</v>
      </c>
      <c r="CX19" s="5"/>
      <c r="CY19" s="80">
        <v>17</v>
      </c>
      <c r="CZ19" s="259">
        <f t="shared" si="1"/>
        <v>0.76000000219999997</v>
      </c>
      <c r="DA19" s="72">
        <f t="shared" si="2"/>
        <v>0.75666667033333335</v>
      </c>
      <c r="DB19" s="260">
        <f t="shared" si="3"/>
        <v>1</v>
      </c>
      <c r="DC19" s="261">
        <f t="shared" si="4"/>
        <v>0.58666665833333331</v>
      </c>
      <c r="DD19" s="154">
        <f t="shared" si="5"/>
        <v>0.43666666633333334</v>
      </c>
      <c r="DE19" s="262">
        <f t="shared" si="6"/>
        <v>0.20428571428571426</v>
      </c>
      <c r="DF19" s="263">
        <f t="shared" si="7"/>
        <v>1.9999999666666667E-2</v>
      </c>
      <c r="DG19" s="264">
        <f t="shared" si="8"/>
        <v>0.81333333266666674</v>
      </c>
      <c r="DH19" s="265">
        <f t="shared" si="9"/>
        <v>1</v>
      </c>
      <c r="DI19" s="266">
        <f t="shared" si="10"/>
        <v>0.82000000266666662</v>
      </c>
      <c r="DJ19" s="267">
        <f t="shared" si="11"/>
        <v>0.65999999133333331</v>
      </c>
      <c r="DL19" s="18">
        <f t="shared" si="12"/>
        <v>0.53800000219999999</v>
      </c>
      <c r="DM19" s="18">
        <f t="shared" ref="DM19:DM22" si="13">DA19-DA45</f>
        <v>0.55333333699999998</v>
      </c>
      <c r="DN19" s="18">
        <f t="shared" ref="DN19:DN22" si="14">DB19-DB45</f>
        <v>0.47333333333333327</v>
      </c>
      <c r="DO19" s="18">
        <f t="shared" ref="DO19:DO22" si="15">DC19-DC45</f>
        <v>0.3266666583333333</v>
      </c>
      <c r="DP19" s="18">
        <f t="shared" ref="DP19:DP22" si="16">DD19-DD45</f>
        <v>0.32999999966666665</v>
      </c>
      <c r="DQ19" s="18">
        <f t="shared" ref="DQ19:DQ22" si="17">DE19-DE45</f>
        <v>-2.2857142857142854E-2</v>
      </c>
      <c r="DR19" s="18">
        <f t="shared" ref="DR19:DR22" si="18">DF19-DF45</f>
        <v>-9.8333333666666661E-2</v>
      </c>
      <c r="DS19" s="18">
        <f t="shared" ref="DS19:DS22" si="19">DG19-DG45</f>
        <v>0.5299999993333333</v>
      </c>
      <c r="DT19" s="18">
        <f t="shared" ref="DT19:DT22" si="20">DH19-DH45</f>
        <v>0.24333333333333329</v>
      </c>
      <c r="DU19" s="18">
        <f t="shared" ref="DU19:DU22" si="21">DI19-DI45</f>
        <v>3.0000002666666581E-2</v>
      </c>
      <c r="DV19" s="18">
        <f t="shared" ref="DV19:DV22" si="22">DJ19-DJ45</f>
        <v>0.65999999133333331</v>
      </c>
      <c r="DX19" s="144">
        <v>1</v>
      </c>
    </row>
    <row r="20" spans="1:128" x14ac:dyDescent="0.2">
      <c r="A20" s="3" t="s">
        <v>17</v>
      </c>
      <c r="B20" s="3" t="s">
        <v>17</v>
      </c>
      <c r="C20" s="3">
        <v>2</v>
      </c>
      <c r="D20" s="3">
        <v>2</v>
      </c>
      <c r="E20" s="18">
        <v>0.5</v>
      </c>
      <c r="F20" s="18">
        <v>0.709999979</v>
      </c>
      <c r="G20" s="18">
        <v>0.730000019</v>
      </c>
      <c r="H20" s="18">
        <v>0.189999998</v>
      </c>
      <c r="I20" s="18">
        <v>0.23000000400000001</v>
      </c>
      <c r="J20" s="18">
        <v>0.38999998600000002</v>
      </c>
      <c r="K20" s="18">
        <v>0.69999998799999996</v>
      </c>
      <c r="L20" s="18">
        <v>0.18000000699999999</v>
      </c>
      <c r="M20" s="18">
        <v>0.64999997600000003</v>
      </c>
      <c r="N20" s="18">
        <v>0.66000002599999996</v>
      </c>
      <c r="O20" s="18">
        <v>0.12999999500000001</v>
      </c>
      <c r="P20" s="18">
        <v>0.49000000999999999</v>
      </c>
      <c r="Q20" s="18">
        <v>0.40999999599999998</v>
      </c>
      <c r="R20" s="18">
        <v>0.280000001</v>
      </c>
      <c r="S20" s="18">
        <v>0.219999999</v>
      </c>
      <c r="T20" s="18">
        <v>0.38999998600000002</v>
      </c>
      <c r="U20" s="18">
        <v>0.280000001</v>
      </c>
      <c r="V20" s="18">
        <v>0.730000019</v>
      </c>
      <c r="W20" s="18">
        <v>0.40000000600000002</v>
      </c>
      <c r="X20" s="18">
        <v>0.37999999499999998</v>
      </c>
      <c r="Y20" s="18">
        <v>0.15999999600000001</v>
      </c>
      <c r="Z20" s="18">
        <v>0.209999993</v>
      </c>
      <c r="AA20" s="18">
        <v>0.55000001200000004</v>
      </c>
      <c r="AB20" s="18">
        <v>0.5</v>
      </c>
      <c r="AC20" s="18">
        <v>0.34000000400000002</v>
      </c>
      <c r="AD20" s="18">
        <v>0.17000000200000001</v>
      </c>
      <c r="AE20" s="18">
        <v>0.34000000400000002</v>
      </c>
      <c r="AF20" s="18">
        <v>0.23000000400000001</v>
      </c>
      <c r="AG20" s="18">
        <v>0.310000002</v>
      </c>
      <c r="AH20" s="18">
        <v>0.49000000999999999</v>
      </c>
      <c r="AI20" s="18">
        <v>0.5</v>
      </c>
      <c r="AJ20" s="18">
        <v>0.790000021</v>
      </c>
      <c r="AK20" s="18">
        <v>0.469999999</v>
      </c>
      <c r="AL20" s="18">
        <v>0.12999999500000001</v>
      </c>
      <c r="AM20" s="18">
        <v>0.730000019</v>
      </c>
      <c r="AN20" s="18">
        <v>0.02</v>
      </c>
      <c r="AO20" s="18">
        <v>0.25999999000000001</v>
      </c>
      <c r="AP20" s="18">
        <v>0.280000001</v>
      </c>
      <c r="AQ20" s="18">
        <v>0.44999998800000002</v>
      </c>
      <c r="AR20" s="18">
        <v>0.60000002399999997</v>
      </c>
      <c r="AS20" s="18">
        <v>0.189999998</v>
      </c>
      <c r="AT20" s="18">
        <v>0.40000000600000002</v>
      </c>
      <c r="AU20" s="18">
        <v>7.9999998000000003E-2</v>
      </c>
      <c r="AV20" s="18">
        <v>0.93000000699999996</v>
      </c>
      <c r="AW20" s="18">
        <v>0.28999999199999998</v>
      </c>
      <c r="AX20" s="18">
        <v>0.31999999299999998</v>
      </c>
      <c r="AY20" s="18">
        <v>0.43000000700000002</v>
      </c>
      <c r="AZ20" s="18">
        <v>0.28999999199999998</v>
      </c>
      <c r="BA20" s="18">
        <v>5.0000001000000002E-2</v>
      </c>
      <c r="BB20" s="18">
        <v>0</v>
      </c>
      <c r="BC20" s="18">
        <v>0.5</v>
      </c>
      <c r="BD20" s="18">
        <v>0.790000021</v>
      </c>
      <c r="BE20" s="18">
        <v>0.730000019</v>
      </c>
      <c r="BF20" s="18">
        <v>0</v>
      </c>
      <c r="BG20" s="18">
        <v>0.52999997099999996</v>
      </c>
      <c r="BH20" s="18">
        <v>0.34000000400000002</v>
      </c>
      <c r="BI20" s="18">
        <v>0.37999999499999998</v>
      </c>
      <c r="BJ20" s="18">
        <v>0.10000000100000001</v>
      </c>
      <c r="BK20" s="18">
        <v>0.17000000200000001</v>
      </c>
      <c r="BL20" s="18">
        <v>0</v>
      </c>
      <c r="BM20" s="18">
        <v>0</v>
      </c>
      <c r="BN20" s="18">
        <v>0.64999997600000003</v>
      </c>
      <c r="BO20" s="18">
        <v>0.61000001400000003</v>
      </c>
      <c r="BP20" s="18">
        <v>0.61000001400000003</v>
      </c>
      <c r="BQ20" s="18">
        <v>0</v>
      </c>
      <c r="BR20" s="18">
        <v>0.01</v>
      </c>
      <c r="BS20" s="18">
        <v>0</v>
      </c>
      <c r="BT20" s="18">
        <v>0.15999999600000001</v>
      </c>
      <c r="BU20" s="18">
        <v>0.01</v>
      </c>
      <c r="BV20" s="18">
        <v>0.109999999</v>
      </c>
      <c r="BW20" s="18">
        <v>0.01</v>
      </c>
      <c r="BX20" s="18">
        <v>0.01</v>
      </c>
      <c r="BY20" s="18">
        <v>0.02</v>
      </c>
      <c r="BZ20" s="18">
        <v>0</v>
      </c>
      <c r="CA20" s="18">
        <v>0</v>
      </c>
      <c r="CB20" s="18">
        <v>0.02</v>
      </c>
      <c r="CC20" s="18">
        <v>0.25</v>
      </c>
      <c r="CD20" s="18">
        <v>0</v>
      </c>
      <c r="CE20" s="18">
        <v>0.01</v>
      </c>
      <c r="CF20" s="18">
        <v>0</v>
      </c>
      <c r="CG20" s="18">
        <v>0</v>
      </c>
      <c r="CH20" s="18">
        <v>0.87000000499999997</v>
      </c>
      <c r="CI20" s="18">
        <v>0.01</v>
      </c>
      <c r="CJ20" s="18">
        <v>0</v>
      </c>
      <c r="CK20" s="18">
        <v>0</v>
      </c>
      <c r="CL20" s="18">
        <v>0.01</v>
      </c>
      <c r="CM20" s="18">
        <v>0</v>
      </c>
      <c r="CN20" s="18">
        <v>0.17000000200000001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W20" s="166" t="s">
        <v>371</v>
      </c>
      <c r="CX20" s="5"/>
      <c r="CY20" s="80">
        <v>18</v>
      </c>
      <c r="CZ20" s="259">
        <f t="shared" si="1"/>
        <v>0.37199999680000001</v>
      </c>
      <c r="DA20" s="72">
        <f t="shared" si="2"/>
        <v>0.3166666726666667</v>
      </c>
      <c r="DB20" s="260">
        <f t="shared" si="3"/>
        <v>0.31666666766666668</v>
      </c>
      <c r="DC20" s="261">
        <f t="shared" si="4"/>
        <v>0.18333333366666668</v>
      </c>
      <c r="DD20" s="154">
        <f t="shared" si="5"/>
        <v>0.33000000666666662</v>
      </c>
      <c r="DE20" s="262">
        <f t="shared" si="6"/>
        <v>0.16142857342857142</v>
      </c>
      <c r="DF20" s="263">
        <f t="shared" si="7"/>
        <v>5.0000000000000001E-3</v>
      </c>
      <c r="DG20" s="264">
        <f t="shared" si="8"/>
        <v>0.176666667</v>
      </c>
      <c r="DH20" s="265">
        <f t="shared" si="9"/>
        <v>0.46666665899999998</v>
      </c>
      <c r="DI20" s="266">
        <f t="shared" si="10"/>
        <v>0.57999998333333336</v>
      </c>
      <c r="DJ20" s="267">
        <f t="shared" si="11"/>
        <v>0.51000001033333331</v>
      </c>
      <c r="DL20" s="18">
        <f t="shared" si="12"/>
        <v>0.36999999680000001</v>
      </c>
      <c r="DM20" s="18">
        <f t="shared" si="13"/>
        <v>0.3066666726666667</v>
      </c>
      <c r="DN20" s="18">
        <f t="shared" si="14"/>
        <v>0.30666666766666667</v>
      </c>
      <c r="DO20" s="18">
        <f t="shared" si="15"/>
        <v>0.18333333366666668</v>
      </c>
      <c r="DP20" s="18">
        <f t="shared" si="16"/>
        <v>0.33000000666666662</v>
      </c>
      <c r="DQ20" s="18">
        <f t="shared" si="17"/>
        <v>0.15857143057142856</v>
      </c>
      <c r="DR20" s="18">
        <f t="shared" si="18"/>
        <v>3.3333333333333331E-3</v>
      </c>
      <c r="DS20" s="18">
        <f t="shared" si="19"/>
        <v>0.176666667</v>
      </c>
      <c r="DT20" s="18">
        <f t="shared" si="20"/>
        <v>0.46333332566666663</v>
      </c>
      <c r="DU20" s="18">
        <f t="shared" si="21"/>
        <v>0.57999998333333336</v>
      </c>
      <c r="DV20" s="18">
        <f t="shared" si="22"/>
        <v>0.51000001033333331</v>
      </c>
      <c r="DX20" s="144">
        <v>0.83999997377400004</v>
      </c>
    </row>
    <row r="21" spans="1:128" x14ac:dyDescent="0.2">
      <c r="A21" s="3" t="s">
        <v>18</v>
      </c>
      <c r="B21" s="3" t="s">
        <v>18</v>
      </c>
      <c r="C21" s="3">
        <v>1</v>
      </c>
      <c r="D21" s="3">
        <v>1</v>
      </c>
      <c r="E21" s="18">
        <v>1</v>
      </c>
      <c r="F21" s="18">
        <v>1</v>
      </c>
      <c r="G21" s="18">
        <v>1</v>
      </c>
      <c r="H21" s="18">
        <v>1</v>
      </c>
      <c r="I21" s="18">
        <v>0.93</v>
      </c>
      <c r="J21" s="18">
        <v>1</v>
      </c>
      <c r="K21" s="18">
        <v>1</v>
      </c>
      <c r="L21" s="18">
        <v>1</v>
      </c>
      <c r="M21" s="18">
        <v>1</v>
      </c>
      <c r="N21" s="18">
        <v>0.89</v>
      </c>
      <c r="O21" s="18">
        <v>1</v>
      </c>
      <c r="P21" s="18">
        <v>0.84</v>
      </c>
      <c r="Q21" s="18">
        <v>0.85</v>
      </c>
      <c r="R21" s="18">
        <v>0.82</v>
      </c>
      <c r="S21" s="18">
        <v>0.91</v>
      </c>
      <c r="T21" s="18">
        <v>1</v>
      </c>
      <c r="U21" s="18">
        <v>0.51</v>
      </c>
      <c r="V21" s="18">
        <v>0.74</v>
      </c>
      <c r="W21" s="18">
        <v>0.66</v>
      </c>
      <c r="X21" s="18">
        <v>0.71</v>
      </c>
      <c r="Y21" s="18">
        <v>0.82</v>
      </c>
      <c r="Z21" s="18">
        <v>0.74</v>
      </c>
      <c r="AA21" s="18">
        <v>0.85</v>
      </c>
      <c r="AB21" s="18">
        <v>0.54</v>
      </c>
      <c r="AC21" s="18">
        <v>0.28999999999999998</v>
      </c>
      <c r="AD21" s="18">
        <v>0.96</v>
      </c>
      <c r="AE21" s="18">
        <v>0.77</v>
      </c>
      <c r="AF21" s="18">
        <v>0.62</v>
      </c>
      <c r="AG21" s="18">
        <v>0.85</v>
      </c>
      <c r="AH21" s="18">
        <v>0.56000000000000005</v>
      </c>
      <c r="AI21" s="18">
        <v>0.84</v>
      </c>
      <c r="AJ21" s="18">
        <v>1</v>
      </c>
      <c r="AK21" s="18">
        <v>1</v>
      </c>
      <c r="AL21" s="18">
        <v>0.54</v>
      </c>
      <c r="AM21" s="18">
        <v>0.75</v>
      </c>
      <c r="AN21" s="18">
        <v>0.84</v>
      </c>
      <c r="AO21" s="18">
        <v>0.15</v>
      </c>
      <c r="AP21" s="18">
        <v>0</v>
      </c>
      <c r="AQ21" s="18">
        <v>0</v>
      </c>
      <c r="AR21" s="18">
        <v>1</v>
      </c>
      <c r="AS21" s="18">
        <v>0</v>
      </c>
      <c r="AT21" s="18">
        <v>0.02</v>
      </c>
      <c r="AU21" s="18">
        <v>0.97</v>
      </c>
      <c r="AV21" s="18">
        <v>1</v>
      </c>
      <c r="AW21" s="18">
        <v>0.43</v>
      </c>
      <c r="AX21" s="18">
        <v>0.98</v>
      </c>
      <c r="AY21" s="18">
        <v>0.94</v>
      </c>
      <c r="AZ21" s="18">
        <v>0.28000000000000003</v>
      </c>
      <c r="BA21" s="18">
        <v>0.06</v>
      </c>
      <c r="BB21" s="18">
        <v>0.96</v>
      </c>
      <c r="BC21" s="18">
        <v>0</v>
      </c>
      <c r="BD21" s="18">
        <v>1</v>
      </c>
      <c r="BE21" s="18">
        <v>1</v>
      </c>
      <c r="BF21" s="18">
        <v>0.21</v>
      </c>
      <c r="BG21" s="18">
        <v>0.4</v>
      </c>
      <c r="BH21" s="18">
        <v>0</v>
      </c>
      <c r="BI21" s="18">
        <v>1</v>
      </c>
      <c r="BJ21" s="18">
        <v>0.88</v>
      </c>
      <c r="BK21" s="18">
        <v>0.04</v>
      </c>
      <c r="BL21" s="18">
        <v>0</v>
      </c>
      <c r="BM21" s="18">
        <v>0.92</v>
      </c>
      <c r="BN21" s="18">
        <v>1</v>
      </c>
      <c r="BO21" s="18">
        <v>1</v>
      </c>
      <c r="BP21" s="18">
        <v>0</v>
      </c>
      <c r="BQ21" s="18">
        <v>1</v>
      </c>
      <c r="BR21" s="18">
        <v>0</v>
      </c>
      <c r="BS21" s="18">
        <v>0</v>
      </c>
      <c r="BT21" s="18">
        <v>0.03</v>
      </c>
      <c r="BU21" s="18">
        <v>0.51</v>
      </c>
      <c r="BV21" s="18">
        <v>0</v>
      </c>
      <c r="BW21" s="18">
        <v>0</v>
      </c>
      <c r="BX21" s="18">
        <v>0</v>
      </c>
      <c r="BY21" s="18">
        <v>0.09</v>
      </c>
      <c r="BZ21" s="18">
        <v>0.49</v>
      </c>
      <c r="CA21" s="18">
        <v>0.11</v>
      </c>
      <c r="CB21" s="18">
        <v>0</v>
      </c>
      <c r="CC21" s="18">
        <v>0.61</v>
      </c>
      <c r="CD21" s="18">
        <v>0</v>
      </c>
      <c r="CE21" s="18">
        <v>0</v>
      </c>
      <c r="CF21" s="18">
        <v>0</v>
      </c>
      <c r="CG21" s="18">
        <v>0.12</v>
      </c>
      <c r="CH21" s="18">
        <v>0.05</v>
      </c>
      <c r="CI21" s="18">
        <v>0</v>
      </c>
      <c r="CJ21" s="18">
        <v>0.13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W21" s="166" t="s">
        <v>372</v>
      </c>
      <c r="CX21" s="5"/>
      <c r="CY21" s="80">
        <v>19</v>
      </c>
      <c r="CZ21" s="259">
        <f t="shared" si="1"/>
        <v>0.38800000000000001</v>
      </c>
      <c r="DA21" s="72">
        <f t="shared" si="2"/>
        <v>0.25666666666666665</v>
      </c>
      <c r="DB21" s="260">
        <f t="shared" si="3"/>
        <v>0.35000000000000003</v>
      </c>
      <c r="DC21" s="261">
        <f t="shared" si="4"/>
        <v>0.30333333333333329</v>
      </c>
      <c r="DD21" s="154">
        <f t="shared" si="5"/>
        <v>0.46666666666666662</v>
      </c>
      <c r="DE21" s="262">
        <f t="shared" si="6"/>
        <v>0.48999999999999994</v>
      </c>
      <c r="DF21" s="263">
        <f t="shared" si="7"/>
        <v>0.22166666666666668</v>
      </c>
      <c r="DG21" s="264">
        <f t="shared" si="8"/>
        <v>0.96333333333333337</v>
      </c>
      <c r="DH21" s="265">
        <f t="shared" si="9"/>
        <v>1</v>
      </c>
      <c r="DI21" s="266">
        <f t="shared" si="10"/>
        <v>1</v>
      </c>
      <c r="DJ21" s="267">
        <f t="shared" si="11"/>
        <v>0.92666666666666664</v>
      </c>
      <c r="DL21" s="18">
        <f t="shared" si="12"/>
        <v>0.38800000000000001</v>
      </c>
      <c r="DM21" s="18">
        <f t="shared" si="13"/>
        <v>0.25666666666666665</v>
      </c>
      <c r="DN21" s="18">
        <f t="shared" si="14"/>
        <v>0.31333333353200005</v>
      </c>
      <c r="DO21" s="18">
        <f t="shared" si="15"/>
        <v>0.30333333333333329</v>
      </c>
      <c r="DP21" s="18">
        <f t="shared" si="16"/>
        <v>0.46666666666666662</v>
      </c>
      <c r="DQ21" s="18">
        <f t="shared" si="17"/>
        <v>0.48999999999999994</v>
      </c>
      <c r="DR21" s="18">
        <f t="shared" si="18"/>
        <v>0.22166666666666668</v>
      </c>
      <c r="DS21" s="18">
        <f t="shared" si="19"/>
        <v>0.96333333333333337</v>
      </c>
      <c r="DT21" s="18">
        <f t="shared" si="20"/>
        <v>1</v>
      </c>
      <c r="DU21" s="18">
        <f t="shared" si="21"/>
        <v>1</v>
      </c>
      <c r="DV21" s="18">
        <f t="shared" si="22"/>
        <v>0.92666666666666664</v>
      </c>
      <c r="DX21" s="144">
        <v>0.94</v>
      </c>
    </row>
    <row r="22" spans="1:128" ht="16" thickBot="1" x14ac:dyDescent="0.25">
      <c r="A22" s="3" t="s">
        <v>19</v>
      </c>
      <c r="B22" s="3" t="s">
        <v>19</v>
      </c>
      <c r="C22" s="3">
        <v>2</v>
      </c>
      <c r="D22" s="3">
        <v>2</v>
      </c>
      <c r="E22" s="18">
        <v>0.76999998092699995</v>
      </c>
      <c r="F22" s="18">
        <v>0.360000014305</v>
      </c>
      <c r="G22" s="18">
        <v>0.56999999284699998</v>
      </c>
      <c r="H22" s="18">
        <v>0.109999999404</v>
      </c>
      <c r="I22" s="18">
        <v>0.68000000715300002</v>
      </c>
      <c r="J22" s="18">
        <v>0.98000001907300005</v>
      </c>
      <c r="K22" s="18">
        <v>0.79000002145799997</v>
      </c>
      <c r="L22" s="18">
        <v>0.49000000953700001</v>
      </c>
      <c r="M22" s="18">
        <v>0.98000001907300005</v>
      </c>
      <c r="N22" s="18">
        <v>0.56999999284699998</v>
      </c>
      <c r="O22" s="18">
        <v>0.18000000715299999</v>
      </c>
      <c r="P22" s="18">
        <v>0.58999997377400004</v>
      </c>
      <c r="Q22" s="18">
        <v>0.56999999284699998</v>
      </c>
      <c r="R22" s="18">
        <v>0.66000002622599996</v>
      </c>
      <c r="S22" s="18">
        <v>0.62999999523200001</v>
      </c>
      <c r="T22" s="18">
        <v>0.239999994636</v>
      </c>
      <c r="U22" s="18">
        <v>0.50999999046300004</v>
      </c>
      <c r="V22" s="18">
        <v>0.58999997377400004</v>
      </c>
      <c r="W22" s="18">
        <v>0.81000000238400005</v>
      </c>
      <c r="X22" s="18">
        <v>0.54000002145799997</v>
      </c>
      <c r="Y22" s="18">
        <v>0.62000000476799999</v>
      </c>
      <c r="Z22" s="18">
        <v>0.75</v>
      </c>
      <c r="AA22" s="18">
        <v>0.85000002384200002</v>
      </c>
      <c r="AB22" s="18">
        <v>0.98000001907300005</v>
      </c>
      <c r="AC22" s="18">
        <v>0.69999998807899999</v>
      </c>
      <c r="AD22" s="18">
        <v>0.69999998807899999</v>
      </c>
      <c r="AE22" s="18">
        <v>0.37000000476799999</v>
      </c>
      <c r="AF22" s="18">
        <v>0.30000001192100001</v>
      </c>
      <c r="AG22" s="18">
        <v>0.62999999523200001</v>
      </c>
      <c r="AH22" s="18">
        <v>0.40000000596000002</v>
      </c>
      <c r="AI22" s="18">
        <v>0.76999998092699995</v>
      </c>
      <c r="AJ22" s="18">
        <v>0.97000002861000001</v>
      </c>
      <c r="AK22" s="18">
        <v>0.37999999523200001</v>
      </c>
      <c r="AL22" s="18">
        <v>0.70999997854200003</v>
      </c>
      <c r="AM22" s="18">
        <v>0.54000002145799997</v>
      </c>
      <c r="AN22" s="18">
        <v>0.25999999046299999</v>
      </c>
      <c r="AO22" s="18">
        <v>0.75</v>
      </c>
      <c r="AP22" s="18">
        <v>0.44999998807899999</v>
      </c>
      <c r="AQ22" s="18">
        <v>0.14000000059600001</v>
      </c>
      <c r="AR22" s="18">
        <v>0.670000016689</v>
      </c>
      <c r="AS22" s="18">
        <v>0.66000002622599996</v>
      </c>
      <c r="AT22" s="18">
        <v>0.31999999284699998</v>
      </c>
      <c r="AU22" s="18">
        <v>0.109999999404</v>
      </c>
      <c r="AV22" s="18">
        <v>0.829999983311</v>
      </c>
      <c r="AW22" s="18">
        <v>0.27000001072899998</v>
      </c>
      <c r="AX22" s="18">
        <v>0.15000000595999999</v>
      </c>
      <c r="AY22" s="18">
        <v>0.60000002384200002</v>
      </c>
      <c r="AZ22" s="18">
        <v>0.189999997616</v>
      </c>
      <c r="BA22" s="18">
        <v>0.34999999403999998</v>
      </c>
      <c r="BB22" s="18">
        <v>0.87999999523200001</v>
      </c>
      <c r="BC22" s="18">
        <v>0.28000000119200003</v>
      </c>
      <c r="BD22" s="18">
        <v>0.31999999284699998</v>
      </c>
      <c r="BE22" s="18">
        <v>0.27000001072899998</v>
      </c>
      <c r="BF22" s="18">
        <v>0.25</v>
      </c>
      <c r="BG22" s="18">
        <v>0.80000001192100001</v>
      </c>
      <c r="BH22" s="18">
        <v>9.0000003576300003E-2</v>
      </c>
      <c r="BI22" s="18">
        <v>0.81000000238400005</v>
      </c>
      <c r="BJ22" s="18">
        <v>0.20999999344299999</v>
      </c>
      <c r="BK22" s="18">
        <v>0.75</v>
      </c>
      <c r="BL22" s="18">
        <v>0.31999999284699998</v>
      </c>
      <c r="BM22" s="18">
        <v>0.28000000119200003</v>
      </c>
      <c r="BN22" s="18">
        <v>0.93000000715300002</v>
      </c>
      <c r="BO22" s="18">
        <v>0.360000014305</v>
      </c>
      <c r="BP22" s="18">
        <v>0.46000000834499999</v>
      </c>
      <c r="BQ22" s="18">
        <v>5.0000000745099998E-2</v>
      </c>
      <c r="BR22" s="18">
        <v>0.77999997138999999</v>
      </c>
      <c r="BS22" s="18">
        <v>0.25</v>
      </c>
      <c r="BT22" s="18">
        <v>7.99999982119E-2</v>
      </c>
      <c r="BU22" s="18">
        <v>5.9999998658900003E-2</v>
      </c>
      <c r="BV22" s="18">
        <v>0.89999997615799998</v>
      </c>
      <c r="BW22" s="18">
        <v>0.10000000149</v>
      </c>
      <c r="BX22" s="18">
        <v>0.27000001072899998</v>
      </c>
      <c r="BY22" s="18">
        <v>9.9999997764800008E-3</v>
      </c>
      <c r="BZ22" s="18">
        <v>9.0000003576300003E-2</v>
      </c>
      <c r="CA22" s="18">
        <v>0.70999997854200003</v>
      </c>
      <c r="CB22" s="18">
        <v>0.50999999046300004</v>
      </c>
      <c r="CC22" s="18">
        <v>0.109999999404</v>
      </c>
      <c r="CD22" s="18">
        <v>0.62999999523200001</v>
      </c>
      <c r="CE22" s="18">
        <v>1.9999999553000001E-2</v>
      </c>
      <c r="CF22" s="18">
        <v>7.99999982119E-2</v>
      </c>
      <c r="CG22" s="18">
        <v>0.119999997318</v>
      </c>
      <c r="CH22" s="18">
        <v>5.0000000745099998E-2</v>
      </c>
      <c r="CI22" s="18">
        <v>9.9999997764800008E-3</v>
      </c>
      <c r="CJ22" s="18">
        <v>0.670000016689</v>
      </c>
      <c r="CK22" s="18">
        <v>9.0000003576300003E-2</v>
      </c>
      <c r="CL22" s="18">
        <v>1.9999999553000001E-2</v>
      </c>
      <c r="CM22" s="18">
        <v>7.0000000298000006E-2</v>
      </c>
      <c r="CN22" s="18">
        <v>0.28000000119200003</v>
      </c>
      <c r="CO22" s="18">
        <v>7.0000000298000006E-2</v>
      </c>
      <c r="CP22" s="18">
        <v>5.0000000745099998E-2</v>
      </c>
      <c r="CQ22" s="18">
        <v>7.99999982119E-2</v>
      </c>
      <c r="CR22" s="18">
        <v>0.33000001311299998</v>
      </c>
      <c r="CS22" s="18">
        <v>9.9999997764800008E-3</v>
      </c>
      <c r="CT22" s="18">
        <v>2.99999993294E-2</v>
      </c>
      <c r="CW22" s="166" t="s">
        <v>373</v>
      </c>
      <c r="CX22" s="5"/>
      <c r="CY22" s="80">
        <v>20</v>
      </c>
      <c r="CZ22" s="268">
        <f t="shared" si="1"/>
        <v>0.51999999880780001</v>
      </c>
      <c r="DA22" s="269">
        <f t="shared" si="2"/>
        <v>0.48666666944833326</v>
      </c>
      <c r="DB22" s="270">
        <f t="shared" si="3"/>
        <v>0.58999999364199995</v>
      </c>
      <c r="DC22" s="271">
        <f t="shared" si="4"/>
        <v>0.5466666718326666</v>
      </c>
      <c r="DD22" s="162">
        <f t="shared" si="5"/>
        <v>0.41999999682100003</v>
      </c>
      <c r="DE22" s="272">
        <f t="shared" si="6"/>
        <v>0.37857142756035428</v>
      </c>
      <c r="DF22" s="273">
        <f t="shared" si="7"/>
        <v>9.8333332066699988E-2</v>
      </c>
      <c r="DG22" s="274">
        <f t="shared" si="8"/>
        <v>0.52000000079499997</v>
      </c>
      <c r="DH22" s="275">
        <f t="shared" si="9"/>
        <v>0.4133333315453333</v>
      </c>
      <c r="DI22" s="276">
        <f t="shared" si="10"/>
        <v>0.91666668653466665</v>
      </c>
      <c r="DJ22" s="277">
        <f t="shared" si="11"/>
        <v>0.68000000715266662</v>
      </c>
      <c r="DL22" s="18">
        <f t="shared" si="12"/>
        <v>0.51399999900780002</v>
      </c>
      <c r="DM22" s="18">
        <f t="shared" si="13"/>
        <v>0.4833333361149999</v>
      </c>
      <c r="DN22" s="18">
        <f t="shared" si="14"/>
        <v>0.5733333273086666</v>
      </c>
      <c r="DO22" s="18">
        <f t="shared" si="15"/>
        <v>0.53333333883266665</v>
      </c>
      <c r="DP22" s="18">
        <f t="shared" si="16"/>
        <v>0.34666666515433336</v>
      </c>
      <c r="DQ22" s="18">
        <f t="shared" si="17"/>
        <v>0.37285714198892572</v>
      </c>
      <c r="DR22" s="18">
        <f t="shared" si="18"/>
        <v>9.8333332066699988E-2</v>
      </c>
      <c r="DS22" s="18">
        <f t="shared" si="19"/>
        <v>0.51000000112833332</v>
      </c>
      <c r="DT22" s="18">
        <f t="shared" si="20"/>
        <v>0.37666666487866662</v>
      </c>
      <c r="DU22" s="18">
        <f t="shared" si="21"/>
        <v>0.91666668653466665</v>
      </c>
      <c r="DV22" s="18">
        <f t="shared" si="22"/>
        <v>0.66333334081933326</v>
      </c>
      <c r="DX22" s="144">
        <v>0.58999997377400004</v>
      </c>
    </row>
    <row r="23" spans="1:128" s="6" customFormat="1" ht="16" thickBot="1" x14ac:dyDescent="0.25">
      <c r="A23" s="4"/>
      <c r="B23" s="4" t="s">
        <v>52</v>
      </c>
      <c r="C23" s="4"/>
      <c r="D23" s="4"/>
      <c r="E23" s="6">
        <f t="shared" ref="E23:AJ23" si="23">AVERAGE(E3:E22)</f>
        <v>0.81450000069240003</v>
      </c>
      <c r="F23" s="6">
        <f t="shared" si="23"/>
        <v>0.76850000266129992</v>
      </c>
      <c r="G23" s="6">
        <f t="shared" si="23"/>
        <v>0.72900000009605015</v>
      </c>
      <c r="H23" s="6">
        <f t="shared" si="23"/>
        <v>0.67400000098909996</v>
      </c>
      <c r="I23" s="6">
        <f t="shared" si="23"/>
        <v>0.63100000368615006</v>
      </c>
      <c r="J23" s="6">
        <f t="shared" si="23"/>
        <v>0.62000000145364986</v>
      </c>
      <c r="K23" s="6">
        <f t="shared" si="23"/>
        <v>0.61600000130931509</v>
      </c>
      <c r="L23" s="6">
        <f t="shared" si="23"/>
        <v>0.56650000150934998</v>
      </c>
      <c r="M23" s="6">
        <f t="shared" si="23"/>
        <v>0.55349999742909994</v>
      </c>
      <c r="N23" s="6">
        <f t="shared" si="23"/>
        <v>0.5530000038689501</v>
      </c>
      <c r="O23" s="6">
        <f t="shared" si="23"/>
        <v>0.53300000115070001</v>
      </c>
      <c r="P23" s="6">
        <f t="shared" si="23"/>
        <v>0.52300000018969994</v>
      </c>
      <c r="Q23" s="6">
        <f t="shared" si="23"/>
        <v>0.522499999442125</v>
      </c>
      <c r="R23" s="6">
        <f t="shared" si="23"/>
        <v>0.5040000036314739</v>
      </c>
      <c r="S23" s="6">
        <f t="shared" si="23"/>
        <v>0.50249999738969997</v>
      </c>
      <c r="T23" s="6">
        <f t="shared" si="23"/>
        <v>0.49749999995235</v>
      </c>
      <c r="U23" s="6">
        <f t="shared" si="23"/>
        <v>0.49700000001246991</v>
      </c>
      <c r="V23" s="6">
        <f t="shared" si="23"/>
        <v>0.47450000181684998</v>
      </c>
      <c r="W23" s="6">
        <f t="shared" si="23"/>
        <v>0.47200000153109994</v>
      </c>
      <c r="X23" s="6">
        <f t="shared" si="23"/>
        <v>0.45750000163541998</v>
      </c>
      <c r="Y23" s="6">
        <f t="shared" si="23"/>
        <v>0.45199999937315</v>
      </c>
      <c r="Z23" s="6">
        <f t="shared" si="23"/>
        <v>0.44899999750030001</v>
      </c>
      <c r="AA23" s="6">
        <f t="shared" si="23"/>
        <v>0.44800000394305001</v>
      </c>
      <c r="AB23" s="6">
        <f t="shared" si="23"/>
        <v>0.44250000337019496</v>
      </c>
      <c r="AC23" s="6">
        <f t="shared" si="23"/>
        <v>0.43349999845056503</v>
      </c>
      <c r="AD23" s="6">
        <f t="shared" si="23"/>
        <v>0.43099999858421895</v>
      </c>
      <c r="AE23" s="6">
        <f t="shared" si="23"/>
        <v>0.42699999895790003</v>
      </c>
      <c r="AF23" s="6">
        <f t="shared" si="23"/>
        <v>0.42200000202935495</v>
      </c>
      <c r="AG23" s="6">
        <f t="shared" si="23"/>
        <v>0.41999999752345002</v>
      </c>
      <c r="AH23" s="6">
        <f t="shared" si="23"/>
        <v>0.41799999793699999</v>
      </c>
      <c r="AI23" s="6">
        <f t="shared" si="23"/>
        <v>0.40950000018179999</v>
      </c>
      <c r="AJ23" s="6">
        <f t="shared" si="23"/>
        <v>0.40900000149604993</v>
      </c>
      <c r="AK23" s="6">
        <f t="shared" ref="AK23:BP23" si="24">AVERAGE(AK3:AK22)</f>
        <v>0.39349999840325001</v>
      </c>
      <c r="AL23" s="6">
        <f t="shared" si="24"/>
        <v>0.38299999640425003</v>
      </c>
      <c r="AM23" s="6">
        <f t="shared" si="24"/>
        <v>0.35850000357424994</v>
      </c>
      <c r="AN23" s="6">
        <f t="shared" si="24"/>
        <v>0.35649999835990004</v>
      </c>
      <c r="AO23" s="6">
        <f t="shared" si="24"/>
        <v>0.35499999917175501</v>
      </c>
      <c r="AP23" s="6">
        <f t="shared" si="24"/>
        <v>0.33899999924235003</v>
      </c>
      <c r="AQ23" s="6">
        <f t="shared" si="24"/>
        <v>0.33549999842137002</v>
      </c>
      <c r="AR23" s="6">
        <f t="shared" si="24"/>
        <v>0.33400000233415</v>
      </c>
      <c r="AS23" s="6">
        <f t="shared" si="24"/>
        <v>0.3330000007153</v>
      </c>
      <c r="AT23" s="6">
        <f t="shared" si="24"/>
        <v>0.332999998065724</v>
      </c>
      <c r="AU23" s="6">
        <f t="shared" si="24"/>
        <v>0.33199999973274996</v>
      </c>
      <c r="AV23" s="6">
        <f t="shared" si="24"/>
        <v>0.32750000144804997</v>
      </c>
      <c r="AW23" s="6">
        <f t="shared" si="24"/>
        <v>0.32449999737615004</v>
      </c>
      <c r="AX23" s="6">
        <f t="shared" si="24"/>
        <v>0.32399999761958898</v>
      </c>
      <c r="AY23" s="6">
        <f t="shared" si="24"/>
        <v>0.31949999865924505</v>
      </c>
      <c r="AZ23" s="6">
        <f t="shared" si="24"/>
        <v>0.31549999834835007</v>
      </c>
      <c r="BA23" s="6">
        <f t="shared" si="24"/>
        <v>0.31399999685694996</v>
      </c>
      <c r="BB23" s="6">
        <f t="shared" si="24"/>
        <v>0.31100000085449991</v>
      </c>
      <c r="BC23" s="6">
        <f t="shared" si="24"/>
        <v>0.30449999977544495</v>
      </c>
      <c r="BD23" s="6">
        <f t="shared" si="24"/>
        <v>0.30100000230055002</v>
      </c>
      <c r="BE23" s="6">
        <f t="shared" si="24"/>
        <v>0.29849999944434996</v>
      </c>
      <c r="BF23" s="6">
        <f t="shared" si="24"/>
        <v>0.28750000045000002</v>
      </c>
      <c r="BG23" s="6">
        <f t="shared" si="24"/>
        <v>0.27699999726155</v>
      </c>
      <c r="BH23" s="6">
        <f t="shared" si="24"/>
        <v>0.27350000127881502</v>
      </c>
      <c r="BI23" s="6">
        <f t="shared" si="24"/>
        <v>0.27250000122369999</v>
      </c>
      <c r="BJ23" s="6">
        <f t="shared" si="24"/>
        <v>0.26849999980689498</v>
      </c>
      <c r="BK23" s="6">
        <f t="shared" si="24"/>
        <v>0.26599999880960001</v>
      </c>
      <c r="BL23" s="6">
        <f t="shared" si="24"/>
        <v>0.26500000049235001</v>
      </c>
      <c r="BM23" s="6">
        <f t="shared" si="24"/>
        <v>0.26500000023176501</v>
      </c>
      <c r="BN23" s="6">
        <f t="shared" si="24"/>
        <v>0.26299999892355003</v>
      </c>
      <c r="BO23" s="6">
        <f t="shared" si="24"/>
        <v>0.25549999975565002</v>
      </c>
      <c r="BP23" s="6">
        <f t="shared" si="24"/>
        <v>0.25099999973770004</v>
      </c>
      <c r="BQ23" s="6">
        <f t="shared" ref="BQ23:CT23" si="25">AVERAGE(BQ3:BQ22)</f>
        <v>0.24650000230420493</v>
      </c>
      <c r="BR23" s="6">
        <f t="shared" si="25"/>
        <v>0.24649999915024998</v>
      </c>
      <c r="BS23" s="6">
        <f t="shared" si="25"/>
        <v>0.22949999945967398</v>
      </c>
      <c r="BT23" s="6">
        <f t="shared" si="25"/>
        <v>0.22249999990494498</v>
      </c>
      <c r="BU23" s="6">
        <f t="shared" si="25"/>
        <v>0.208000002257864</v>
      </c>
      <c r="BV23" s="6">
        <f t="shared" si="25"/>
        <v>0.19850000018475</v>
      </c>
      <c r="BW23" s="6">
        <f t="shared" si="25"/>
        <v>0.19699999784399996</v>
      </c>
      <c r="BX23" s="6">
        <f t="shared" si="25"/>
        <v>0.19450000189375</v>
      </c>
      <c r="BY23" s="6">
        <f t="shared" si="25"/>
        <v>0.18650000184617396</v>
      </c>
      <c r="BZ23" s="6">
        <f t="shared" si="25"/>
        <v>0.18500000105015496</v>
      </c>
      <c r="CA23" s="6">
        <f t="shared" si="25"/>
        <v>0.17199999697345</v>
      </c>
      <c r="CB23" s="6">
        <f t="shared" si="25"/>
        <v>0.17099999821004502</v>
      </c>
      <c r="CC23" s="6">
        <f t="shared" si="25"/>
        <v>0.15699999946648502</v>
      </c>
      <c r="CD23" s="6">
        <f t="shared" si="25"/>
        <v>0.15050000036689398</v>
      </c>
      <c r="CE23" s="6">
        <f t="shared" si="25"/>
        <v>0.14049999755504999</v>
      </c>
      <c r="CF23" s="6">
        <f t="shared" si="25"/>
        <v>0.124499999920195</v>
      </c>
      <c r="CG23" s="6">
        <f t="shared" si="25"/>
        <v>0.12350000111602402</v>
      </c>
      <c r="CH23" s="6">
        <f t="shared" si="25"/>
        <v>0.12000000010946998</v>
      </c>
      <c r="CI23" s="6">
        <f t="shared" si="25"/>
        <v>0.11900000194697198</v>
      </c>
      <c r="CJ23" s="6">
        <f t="shared" si="25"/>
        <v>0.11650000137734999</v>
      </c>
      <c r="CK23" s="6">
        <f t="shared" si="25"/>
        <v>0.11300000068368501</v>
      </c>
      <c r="CL23" s="6">
        <f t="shared" si="25"/>
        <v>9.4500000227450004E-2</v>
      </c>
      <c r="CM23" s="6">
        <f t="shared" si="25"/>
        <v>8.5000000391139002E-2</v>
      </c>
      <c r="CN23" s="6">
        <f t="shared" si="25"/>
        <v>8.0500001004499999E-2</v>
      </c>
      <c r="CO23" s="6">
        <f t="shared" si="25"/>
        <v>7.8500001058964999E-2</v>
      </c>
      <c r="CP23" s="6">
        <f t="shared" si="25"/>
        <v>6.4999999795705005E-2</v>
      </c>
      <c r="CQ23" s="6">
        <f t="shared" si="25"/>
        <v>6.2000000052714999E-2</v>
      </c>
      <c r="CR23" s="6">
        <f t="shared" si="25"/>
        <v>5.6500000422697996E-2</v>
      </c>
      <c r="CS23" s="6">
        <f t="shared" si="25"/>
        <v>3.9000000529419002E-2</v>
      </c>
      <c r="CT23" s="6">
        <f t="shared" si="25"/>
        <v>2.6999999946270004E-2</v>
      </c>
      <c r="CU23" s="4"/>
      <c r="CV23" s="4"/>
      <c r="CW23" s="165" t="s">
        <v>374</v>
      </c>
      <c r="CX23" s="6" t="s">
        <v>217</v>
      </c>
      <c r="CY23" s="279" t="s">
        <v>52</v>
      </c>
      <c r="CZ23" s="239">
        <f>AVERAGE(CZ3:CZ22)</f>
        <v>0.393899999653755</v>
      </c>
      <c r="DA23" s="240">
        <f t="shared" ref="DA23:DJ23" si="26">AVERAGE(DA3:DA22)</f>
        <v>0.27616666635416476</v>
      </c>
      <c r="DB23" s="240">
        <f t="shared" si="26"/>
        <v>0.4051666646721962</v>
      </c>
      <c r="DC23" s="240">
        <f t="shared" si="26"/>
        <v>0.35566666503190003</v>
      </c>
      <c r="DD23" s="240">
        <f t="shared" si="26"/>
        <v>0.37850000000681666</v>
      </c>
      <c r="DE23" s="240">
        <f t="shared" si="26"/>
        <v>0.25357142921892117</v>
      </c>
      <c r="DF23" s="240">
        <f t="shared" si="26"/>
        <v>0.16166666638923402</v>
      </c>
      <c r="DG23" s="241">
        <f t="shared" si="26"/>
        <v>0.53166666780702287</v>
      </c>
      <c r="DH23" s="240">
        <f t="shared" si="26"/>
        <v>0.75233333478093323</v>
      </c>
      <c r="DI23" s="240">
        <f t="shared" si="26"/>
        <v>0.59650000006402182</v>
      </c>
      <c r="DJ23" s="242">
        <f t="shared" si="26"/>
        <v>0.35433333372506504</v>
      </c>
      <c r="DK23" s="242"/>
      <c r="DL23" s="242">
        <f t="shared" ref="DL23" si="27">AVERAGE(DL3:DL22)</f>
        <v>0.37599999979387178</v>
      </c>
      <c r="DM23" s="242">
        <f t="shared" ref="DM23" si="28">AVERAGE(DM3:DM22)</f>
        <v>0.26049999968024135</v>
      </c>
      <c r="DN23" s="242">
        <f t="shared" ref="DN23" si="29">AVERAGE(DN3:DN22)</f>
        <v>0.37183333141565833</v>
      </c>
      <c r="DO23" s="242">
        <f t="shared" ref="DO23" si="30">AVERAGE(DO3:DO22)</f>
        <v>0.3383333316968013</v>
      </c>
      <c r="DP23" s="242">
        <f t="shared" ref="DP23" si="31">AVERAGE(DP3:DP22)</f>
        <v>0.35399999998119436</v>
      </c>
      <c r="DQ23" s="242">
        <f t="shared" ref="DQ23" si="32">AVERAGE(DQ3:DQ22)</f>
        <v>0.22571428630308316</v>
      </c>
      <c r="DR23" s="242">
        <f t="shared" ref="DR23" si="33">AVERAGE(DR3:DR22)</f>
        <v>0.14908333292178166</v>
      </c>
      <c r="DS23" s="242">
        <f t="shared" ref="DS23" si="34">AVERAGE(DS3:DS22)</f>
        <v>0.50050000095762548</v>
      </c>
      <c r="DT23" s="242">
        <f t="shared" ref="DT23" si="35">AVERAGE(DT3:DT22)</f>
        <v>0.67233333438838405</v>
      </c>
      <c r="DU23" s="242">
        <f t="shared" ref="DU23" si="36">AVERAGE(DU3:DU22)</f>
        <v>0.53266666665663898</v>
      </c>
      <c r="DV23" s="242">
        <f t="shared" ref="DV23" si="37">AVERAGE(DV3:DV22)</f>
        <v>0.35183333376408366</v>
      </c>
    </row>
    <row r="24" spans="1:128" s="6" customFormat="1" ht="16" thickBot="1" x14ac:dyDescent="0.25">
      <c r="A24" s="4"/>
      <c r="B24" s="4" t="s">
        <v>53</v>
      </c>
      <c r="C24" s="4"/>
      <c r="D24" s="4"/>
      <c r="E24" s="6">
        <f t="shared" ref="E24:AJ24" si="38">STDEV(E3:E22)</f>
        <v>0.26589422153702674</v>
      </c>
      <c r="F24" s="6">
        <f t="shared" si="38"/>
        <v>0.303943813236214</v>
      </c>
      <c r="G24" s="6">
        <f t="shared" si="38"/>
        <v>0.29769111825899269</v>
      </c>
      <c r="H24" s="6">
        <f t="shared" si="38"/>
        <v>0.39937319493399881</v>
      </c>
      <c r="I24" s="6">
        <f t="shared" si="38"/>
        <v>0.33014988567324294</v>
      </c>
      <c r="J24" s="6">
        <f t="shared" si="38"/>
        <v>0.42207507676485873</v>
      </c>
      <c r="K24" s="6">
        <f t="shared" si="38"/>
        <v>0.39520014938801595</v>
      </c>
      <c r="L24" s="6">
        <f t="shared" si="38"/>
        <v>0.38882109320187425</v>
      </c>
      <c r="M24" s="6">
        <f t="shared" si="38"/>
        <v>0.38717974892371376</v>
      </c>
      <c r="N24" s="6">
        <f t="shared" si="38"/>
        <v>0.319524317802793</v>
      </c>
      <c r="O24" s="6">
        <f t="shared" si="38"/>
        <v>0.41971293408390176</v>
      </c>
      <c r="P24" s="6">
        <f t="shared" si="38"/>
        <v>0.37366041448449727</v>
      </c>
      <c r="Q24" s="6">
        <f t="shared" si="38"/>
        <v>0.41265348033964677</v>
      </c>
      <c r="R24" s="6">
        <f t="shared" si="38"/>
        <v>0.35281425175108466</v>
      </c>
      <c r="S24" s="6">
        <f t="shared" si="38"/>
        <v>0.3482115969285593</v>
      </c>
      <c r="T24" s="6">
        <f t="shared" si="38"/>
        <v>0.38063485994927476</v>
      </c>
      <c r="U24" s="6">
        <f t="shared" si="38"/>
        <v>0.30546082796705382</v>
      </c>
      <c r="V24" s="6">
        <f t="shared" si="38"/>
        <v>0.36229495250953431</v>
      </c>
      <c r="W24" s="6">
        <f t="shared" si="38"/>
        <v>0.33718025945837266</v>
      </c>
      <c r="X24" s="6">
        <f t="shared" si="38"/>
        <v>0.34201993021681754</v>
      </c>
      <c r="Y24" s="6">
        <f t="shared" si="38"/>
        <v>0.35201076463647718</v>
      </c>
      <c r="Z24" s="6">
        <f t="shared" si="38"/>
        <v>0.31810127509244701</v>
      </c>
      <c r="AA24" s="6">
        <f t="shared" si="38"/>
        <v>0.29648112020759926</v>
      </c>
      <c r="AB24" s="6">
        <f t="shared" si="38"/>
        <v>0.35917852652962534</v>
      </c>
      <c r="AC24" s="6">
        <f t="shared" si="38"/>
        <v>0.34365335692073712</v>
      </c>
      <c r="AD24" s="6">
        <f t="shared" si="38"/>
        <v>0.37724625294248898</v>
      </c>
      <c r="AE24" s="6">
        <f t="shared" si="38"/>
        <v>0.34887940804489781</v>
      </c>
      <c r="AF24" s="6">
        <f t="shared" si="38"/>
        <v>0.37218557915981415</v>
      </c>
      <c r="AG24" s="6">
        <f t="shared" si="38"/>
        <v>0.30857908374050158</v>
      </c>
      <c r="AH24" s="6">
        <f t="shared" si="38"/>
        <v>0.35467701910353089</v>
      </c>
      <c r="AI24" s="6">
        <f t="shared" si="38"/>
        <v>0.34245975410951313</v>
      </c>
      <c r="AJ24" s="6">
        <f t="shared" si="38"/>
        <v>0.41236034558047752</v>
      </c>
      <c r="AK24" s="6">
        <f t="shared" ref="AK24:BP24" si="39">STDEV(AK3:AK22)</f>
        <v>0.39279397124892906</v>
      </c>
      <c r="AL24" s="6">
        <f t="shared" si="39"/>
        <v>0.31509563826473974</v>
      </c>
      <c r="AM24" s="6">
        <f t="shared" si="39"/>
        <v>0.33219010346270228</v>
      </c>
      <c r="AN24" s="6">
        <f t="shared" si="39"/>
        <v>0.38228227309742735</v>
      </c>
      <c r="AO24" s="6">
        <f t="shared" si="39"/>
        <v>0.35550557071169631</v>
      </c>
      <c r="AP24" s="6">
        <f t="shared" si="39"/>
        <v>0.34946425269467574</v>
      </c>
      <c r="AQ24" s="6">
        <f t="shared" si="39"/>
        <v>0.32053368244058877</v>
      </c>
      <c r="AR24" s="6">
        <f t="shared" si="39"/>
        <v>0.32722759200860713</v>
      </c>
      <c r="AS24" s="6">
        <f t="shared" si="39"/>
        <v>0.28262118986558354</v>
      </c>
      <c r="AT24" s="6">
        <f t="shared" si="39"/>
        <v>0.39675127945482724</v>
      </c>
      <c r="AU24" s="6">
        <f t="shared" si="39"/>
        <v>0.33523911313208421</v>
      </c>
      <c r="AV24" s="6">
        <f t="shared" si="39"/>
        <v>0.37990130371850445</v>
      </c>
      <c r="AW24" s="6">
        <f t="shared" si="39"/>
        <v>0.33920145901976068</v>
      </c>
      <c r="AX24" s="6">
        <f t="shared" si="39"/>
        <v>0.31728121147070543</v>
      </c>
      <c r="AY24" s="6">
        <f t="shared" si="39"/>
        <v>0.344619925598456</v>
      </c>
      <c r="AZ24" s="6">
        <f t="shared" si="39"/>
        <v>0.31698373078742031</v>
      </c>
      <c r="BA24" s="6">
        <f t="shared" si="39"/>
        <v>0.31756308766036334</v>
      </c>
      <c r="BB24" s="6">
        <f t="shared" si="39"/>
        <v>0.38914075483262389</v>
      </c>
      <c r="BC24" s="6">
        <f t="shared" si="39"/>
        <v>0.38125105719304342</v>
      </c>
      <c r="BD24" s="6">
        <f t="shared" si="39"/>
        <v>0.38103598629389729</v>
      </c>
      <c r="BE24" s="6">
        <f t="shared" si="39"/>
        <v>0.32496599077854627</v>
      </c>
      <c r="BF24" s="6">
        <f t="shared" si="39"/>
        <v>0.33070697834591939</v>
      </c>
      <c r="BG24" s="6">
        <f t="shared" si="39"/>
        <v>0.31927714134213175</v>
      </c>
      <c r="BH24" s="6">
        <f t="shared" si="39"/>
        <v>0.31957661193238801</v>
      </c>
      <c r="BI24" s="6">
        <f t="shared" si="39"/>
        <v>0.34727321308417203</v>
      </c>
      <c r="BJ24" s="6">
        <f t="shared" si="39"/>
        <v>0.27246004023967413</v>
      </c>
      <c r="BK24" s="6">
        <f t="shared" si="39"/>
        <v>0.30389402325743831</v>
      </c>
      <c r="BL24" s="6">
        <f t="shared" si="39"/>
        <v>0.3913068527655173</v>
      </c>
      <c r="BM24" s="6">
        <f t="shared" si="39"/>
        <v>0.31130455624138659</v>
      </c>
      <c r="BN24" s="6">
        <f t="shared" si="39"/>
        <v>0.3587712943919269</v>
      </c>
      <c r="BO24" s="6">
        <f t="shared" si="39"/>
        <v>0.33766184988877462</v>
      </c>
      <c r="BP24" s="6">
        <f t="shared" si="39"/>
        <v>0.29765575142435874</v>
      </c>
      <c r="BQ24" s="6">
        <f t="shared" ref="BQ24:CT24" si="40">STDEV(BQ3:BQ22)</f>
        <v>0.35890586976231043</v>
      </c>
      <c r="BR24" s="6">
        <f t="shared" si="40"/>
        <v>0.27375122940368946</v>
      </c>
      <c r="BS24" s="6">
        <f t="shared" si="40"/>
        <v>0.33041401398856862</v>
      </c>
      <c r="BT24" s="6">
        <f t="shared" si="40"/>
        <v>0.30430031802904267</v>
      </c>
      <c r="BU24" s="6">
        <f t="shared" si="40"/>
        <v>0.28688160268725216</v>
      </c>
      <c r="BV24" s="6">
        <f t="shared" si="40"/>
        <v>0.25240474825249953</v>
      </c>
      <c r="BW24" s="6">
        <f t="shared" si="40"/>
        <v>0.25013890600767585</v>
      </c>
      <c r="BX24" s="6">
        <f t="shared" si="40"/>
        <v>0.30773322740133091</v>
      </c>
      <c r="BY24" s="6">
        <f t="shared" si="40"/>
        <v>0.3278362109033599</v>
      </c>
      <c r="BZ24" s="6">
        <f t="shared" si="40"/>
        <v>0.28819766560571408</v>
      </c>
      <c r="CA24" s="6">
        <f t="shared" si="40"/>
        <v>0.23225665812756921</v>
      </c>
      <c r="CB24" s="6">
        <f t="shared" si="40"/>
        <v>0.1988360842817182</v>
      </c>
      <c r="CC24" s="6">
        <f t="shared" si="40"/>
        <v>0.20599182316207706</v>
      </c>
      <c r="CD24" s="6">
        <f t="shared" si="40"/>
        <v>0.26749274441502063</v>
      </c>
      <c r="CE24" s="6">
        <f t="shared" si="40"/>
        <v>0.27757359888121663</v>
      </c>
      <c r="CF24" s="6">
        <f t="shared" si="40"/>
        <v>0.25359468041830818</v>
      </c>
      <c r="CG24" s="6">
        <f t="shared" si="40"/>
        <v>0.19380606524605601</v>
      </c>
      <c r="CH24" s="6">
        <f t="shared" si="40"/>
        <v>0.20344403180680898</v>
      </c>
      <c r="CI24" s="6">
        <f t="shared" si="40"/>
        <v>0.22687581035672155</v>
      </c>
      <c r="CJ24" s="6">
        <f t="shared" si="40"/>
        <v>0.23537819958655221</v>
      </c>
      <c r="CK24" s="6">
        <f t="shared" si="40"/>
        <v>0.21618948860536819</v>
      </c>
      <c r="CL24" s="6">
        <f t="shared" si="40"/>
        <v>0.16981336548516079</v>
      </c>
      <c r="CM24" s="6">
        <f t="shared" si="40"/>
        <v>0.18132552912667591</v>
      </c>
      <c r="CN24" s="6">
        <f t="shared" si="40"/>
        <v>0.12215068525402939</v>
      </c>
      <c r="CO24" s="6">
        <f t="shared" si="40"/>
        <v>0.15692019584890313</v>
      </c>
      <c r="CP24" s="6">
        <f t="shared" si="40"/>
        <v>0.15942330271157731</v>
      </c>
      <c r="CQ24" s="6">
        <f t="shared" si="40"/>
        <v>0.12076946306977097</v>
      </c>
      <c r="CR24" s="6">
        <f t="shared" si="40"/>
        <v>0.10189132609595743</v>
      </c>
      <c r="CS24" s="6">
        <f t="shared" si="40"/>
        <v>7.2685336099956088E-2</v>
      </c>
      <c r="CT24" s="6">
        <f t="shared" si="40"/>
        <v>5.9391652691413624E-2</v>
      </c>
      <c r="CU24" s="4"/>
      <c r="CV24" s="4"/>
      <c r="CW24" s="225" t="s">
        <v>375</v>
      </c>
      <c r="CX24" s="6" t="s">
        <v>217</v>
      </c>
      <c r="CY24" s="280" t="s">
        <v>53</v>
      </c>
      <c r="CZ24" s="243">
        <f>STDEV(CZ3:CZ22)</f>
        <v>0.29793144829247231</v>
      </c>
      <c r="DA24" s="243">
        <f t="shared" ref="DA24:DJ24" si="41">STDEV(DA3:DA22)</f>
        <v>0.2276584969113106</v>
      </c>
      <c r="DB24" s="243">
        <f t="shared" si="41"/>
        <v>0.31636361161804499</v>
      </c>
      <c r="DC24" s="243">
        <f t="shared" si="41"/>
        <v>0.23635165347348541</v>
      </c>
      <c r="DD24" s="243">
        <f t="shared" si="41"/>
        <v>0.2913920508911253</v>
      </c>
      <c r="DE24" s="243">
        <f t="shared" si="41"/>
        <v>0.20353508466766956</v>
      </c>
      <c r="DF24" s="243">
        <f t="shared" si="41"/>
        <v>0.20314846318981816</v>
      </c>
      <c r="DG24" s="243">
        <f t="shared" si="41"/>
        <v>0.31009430735404941</v>
      </c>
      <c r="DH24" s="243">
        <f t="shared" si="41"/>
        <v>0.30355419066818884</v>
      </c>
      <c r="DI24" s="243">
        <f t="shared" si="41"/>
        <v>0.36519397327420217</v>
      </c>
      <c r="DJ24" s="243">
        <f t="shared" si="41"/>
        <v>0.25533626509315993</v>
      </c>
      <c r="DK24" s="243"/>
      <c r="DL24" s="243">
        <f t="shared" ref="DL24:DV24" si="42">STDEV(DL3:DL22)</f>
        <v>0.28002255645313395</v>
      </c>
      <c r="DM24" s="243">
        <f t="shared" si="42"/>
        <v>0.20720720035101509</v>
      </c>
      <c r="DN24" s="243">
        <f t="shared" si="42"/>
        <v>0.28414944205659226</v>
      </c>
      <c r="DO24" s="243">
        <f t="shared" si="42"/>
        <v>0.23046735930486967</v>
      </c>
      <c r="DP24" s="243">
        <f t="shared" si="42"/>
        <v>0.27985710635701971</v>
      </c>
      <c r="DQ24" s="243">
        <f t="shared" si="42"/>
        <v>0.20585312786143214</v>
      </c>
      <c r="DR24" s="243">
        <f t="shared" si="42"/>
        <v>0.19774937925004368</v>
      </c>
      <c r="DS24" s="243">
        <f t="shared" si="42"/>
        <v>0.2906018655395714</v>
      </c>
      <c r="DT24" s="243">
        <f t="shared" si="42"/>
        <v>0.31385380595475321</v>
      </c>
      <c r="DU24" s="243">
        <f t="shared" si="42"/>
        <v>0.36471185529181394</v>
      </c>
      <c r="DV24" s="243">
        <f t="shared" si="42"/>
        <v>0.25483505745722096</v>
      </c>
    </row>
    <row r="25" spans="1:128" s="6" customFormat="1" ht="16" thickBot="1" x14ac:dyDescent="0.25">
      <c r="A25" s="4"/>
      <c r="B25" s="4" t="s">
        <v>54</v>
      </c>
      <c r="C25" s="4"/>
      <c r="D25" s="4"/>
      <c r="E25" s="6">
        <f t="shared" ref="E25:AJ25" si="43">E24/SQRT(20)</f>
        <v>5.9455755418118039E-2</v>
      </c>
      <c r="F25" s="6">
        <f t="shared" si="43"/>
        <v>6.7963902773667484E-2</v>
      </c>
      <c r="G25" s="6">
        <f t="shared" si="43"/>
        <v>6.6565757672503653E-2</v>
      </c>
      <c r="H25" s="6">
        <f t="shared" si="43"/>
        <v>8.9302561226369592E-2</v>
      </c>
      <c r="I25" s="6">
        <f t="shared" si="43"/>
        <v>7.3823758712915508E-2</v>
      </c>
      <c r="J25" s="6">
        <f t="shared" si="43"/>
        <v>9.4378856325466609E-2</v>
      </c>
      <c r="K25" s="6">
        <f t="shared" si="43"/>
        <v>8.8369439874967551E-2</v>
      </c>
      <c r="L25" s="6">
        <f t="shared" si="43"/>
        <v>8.6943039548517217E-2</v>
      </c>
      <c r="M25" s="6">
        <f t="shared" si="43"/>
        <v>8.6576023810472497E-2</v>
      </c>
      <c r="N25" s="6">
        <f t="shared" si="43"/>
        <v>7.1447809507129131E-2</v>
      </c>
      <c r="O25" s="6">
        <f t="shared" si="43"/>
        <v>9.385066516474927E-2</v>
      </c>
      <c r="P25" s="6">
        <f t="shared" si="43"/>
        <v>8.355300872880829E-2</v>
      </c>
      <c r="Q25" s="6">
        <f t="shared" si="43"/>
        <v>9.2272123319132315E-2</v>
      </c>
      <c r="R25" s="6">
        <f t="shared" si="43"/>
        <v>7.889166503461495E-2</v>
      </c>
      <c r="S25" s="6">
        <f t="shared" si="43"/>
        <v>7.7862480128601558E-2</v>
      </c>
      <c r="T25" s="6">
        <f t="shared" si="43"/>
        <v>8.5112542145269046E-2</v>
      </c>
      <c r="U25" s="6">
        <f t="shared" si="43"/>
        <v>6.8303117579770117E-2</v>
      </c>
      <c r="V25" s="6">
        <f t="shared" si="43"/>
        <v>8.1011614171637672E-2</v>
      </c>
      <c r="W25" s="6">
        <f t="shared" si="43"/>
        <v>7.5395798081993759E-2</v>
      </c>
      <c r="X25" s="6">
        <f t="shared" si="43"/>
        <v>7.6477981362453831E-2</v>
      </c>
      <c r="Y25" s="6">
        <f t="shared" si="43"/>
        <v>7.8711999853884204E-2</v>
      </c>
      <c r="Z25" s="6">
        <f t="shared" si="43"/>
        <v>7.1129607483607221E-2</v>
      </c>
      <c r="AA25" s="6">
        <f t="shared" si="43"/>
        <v>6.6295193882947842E-2</v>
      </c>
      <c r="AB25" s="6">
        <f t="shared" si="43"/>
        <v>8.0314760137845387E-2</v>
      </c>
      <c r="AC25" s="6">
        <f t="shared" si="43"/>
        <v>7.6843226677076604E-2</v>
      </c>
      <c r="AD25" s="6">
        <f t="shared" si="43"/>
        <v>8.435482658364854E-2</v>
      </c>
      <c r="AE25" s="6">
        <f t="shared" si="43"/>
        <v>7.8011807233827848E-2</v>
      </c>
      <c r="AF25" s="6">
        <f t="shared" si="43"/>
        <v>8.3223225524647351E-2</v>
      </c>
      <c r="AG25" s="6">
        <f t="shared" si="43"/>
        <v>6.9000380767836156E-2</v>
      </c>
      <c r="AH25" s="6">
        <f t="shared" si="43"/>
        <v>7.9308192477248657E-2</v>
      </c>
      <c r="AI25" s="6">
        <f t="shared" si="43"/>
        <v>7.6576328974673424E-2</v>
      </c>
      <c r="AJ25" s="6">
        <f t="shared" si="43"/>
        <v>9.2206576394325265E-2</v>
      </c>
      <c r="AK25" s="6">
        <f t="shared" ref="AK25:BP25" si="44">AK24/SQRT(20)</f>
        <v>8.7831402086470334E-2</v>
      </c>
      <c r="AL25" s="6">
        <f t="shared" si="44"/>
        <v>7.0457526657364183E-2</v>
      </c>
      <c r="AM25" s="6">
        <f t="shared" si="44"/>
        <v>7.4279965279529056E-2</v>
      </c>
      <c r="AN25" s="6">
        <f t="shared" si="44"/>
        <v>8.5480914923898657E-2</v>
      </c>
      <c r="AO25" s="6">
        <f t="shared" si="44"/>
        <v>7.9493462249121113E-2</v>
      </c>
      <c r="AP25" s="6">
        <f t="shared" si="44"/>
        <v>7.81425824731459E-2</v>
      </c>
      <c r="AQ25" s="6">
        <f t="shared" si="44"/>
        <v>7.1673510301548712E-2</v>
      </c>
      <c r="AR25" s="6">
        <f t="shared" si="44"/>
        <v>7.3170313984481247E-2</v>
      </c>
      <c r="AS25" s="6">
        <f t="shared" si="44"/>
        <v>6.3196019242131946E-2</v>
      </c>
      <c r="AT25" s="6">
        <f t="shared" si="44"/>
        <v>8.8716283102100932E-2</v>
      </c>
      <c r="AU25" s="6">
        <f t="shared" si="44"/>
        <v>7.4961744568008262E-2</v>
      </c>
      <c r="AV25" s="6">
        <f t="shared" si="44"/>
        <v>8.4948513985536947E-2</v>
      </c>
      <c r="AW25" s="6">
        <f t="shared" si="44"/>
        <v>7.5847752043529407E-2</v>
      </c>
      <c r="AX25" s="6">
        <f t="shared" si="44"/>
        <v>7.0946235683198328E-2</v>
      </c>
      <c r="AY25" s="6">
        <f t="shared" si="44"/>
        <v>7.7059358003906744E-2</v>
      </c>
      <c r="AZ25" s="6">
        <f t="shared" si="44"/>
        <v>7.0879716980216473E-2</v>
      </c>
      <c r="BA25" s="6">
        <f t="shared" si="44"/>
        <v>7.1009265115329706E-2</v>
      </c>
      <c r="BB25" s="6">
        <f t="shared" si="44"/>
        <v>8.7014518062132673E-2</v>
      </c>
      <c r="BC25" s="6">
        <f t="shared" si="44"/>
        <v>8.5250328037730527E-2</v>
      </c>
      <c r="BD25" s="6">
        <f t="shared" si="44"/>
        <v>8.5202236722683247E-2</v>
      </c>
      <c r="BE25" s="6">
        <f t="shared" si="44"/>
        <v>7.2664604575639918E-2</v>
      </c>
      <c r="BF25" s="6">
        <f t="shared" si="44"/>
        <v>7.3948328421502674E-2</v>
      </c>
      <c r="BG25" s="6">
        <f t="shared" si="44"/>
        <v>7.1392539170281502E-2</v>
      </c>
      <c r="BH25" s="6">
        <f t="shared" si="44"/>
        <v>7.1459502829989002E-2</v>
      </c>
      <c r="BI25" s="6">
        <f t="shared" si="44"/>
        <v>7.7652651122097807E-2</v>
      </c>
      <c r="BJ25" s="6">
        <f t="shared" si="44"/>
        <v>6.0923917112823939E-2</v>
      </c>
      <c r="BK25" s="6">
        <f t="shared" si="44"/>
        <v>6.7952769395953405E-2</v>
      </c>
      <c r="BL25" s="6">
        <f t="shared" si="44"/>
        <v>8.7498872284519816E-2</v>
      </c>
      <c r="BM25" s="6">
        <f t="shared" si="44"/>
        <v>6.9609814946114679E-2</v>
      </c>
      <c r="BN25" s="6">
        <f t="shared" si="44"/>
        <v>8.0223700263593753E-2</v>
      </c>
      <c r="BO25" s="6">
        <f t="shared" si="44"/>
        <v>7.5503484975962987E-2</v>
      </c>
      <c r="BP25" s="6">
        <f t="shared" si="44"/>
        <v>6.6557849407864592E-2</v>
      </c>
      <c r="BQ25" s="6">
        <f t="shared" ref="BQ25:CT25" si="45">BQ24/SQRT(20)</f>
        <v>8.0253792231221241E-2</v>
      </c>
      <c r="BR25" s="6">
        <f t="shared" si="45"/>
        <v>6.1212635787078883E-2</v>
      </c>
      <c r="BS25" s="6">
        <f t="shared" si="45"/>
        <v>7.3882819599700583E-2</v>
      </c>
      <c r="BT25" s="6">
        <f t="shared" si="45"/>
        <v>6.8043619668774424E-2</v>
      </c>
      <c r="BU25" s="6">
        <f t="shared" si="45"/>
        <v>6.414867651027821E-2</v>
      </c>
      <c r="BV25" s="6">
        <f t="shared" si="45"/>
        <v>5.6439417493631017E-2</v>
      </c>
      <c r="BW25" s="6">
        <f t="shared" si="45"/>
        <v>5.5932759765059369E-2</v>
      </c>
      <c r="BX25" s="6">
        <f t="shared" si="45"/>
        <v>6.8811241540477686E-2</v>
      </c>
      <c r="BY25" s="6">
        <f t="shared" si="45"/>
        <v>7.3306405306587039E-2</v>
      </c>
      <c r="BZ25" s="6">
        <f t="shared" si="45"/>
        <v>6.4442957125112971E-2</v>
      </c>
      <c r="CA25" s="6">
        <f t="shared" si="45"/>
        <v>5.1934167580017378E-2</v>
      </c>
      <c r="CB25" s="6">
        <f t="shared" si="45"/>
        <v>4.4461100083379931E-2</v>
      </c>
      <c r="CC25" s="6">
        <f t="shared" si="45"/>
        <v>4.6061171939951996E-2</v>
      </c>
      <c r="CD25" s="6">
        <f t="shared" si="45"/>
        <v>5.9813195999996335E-2</v>
      </c>
      <c r="CE25" s="6">
        <f t="shared" si="45"/>
        <v>6.2067343585765995E-2</v>
      </c>
      <c r="CF25" s="6">
        <f t="shared" si="45"/>
        <v>5.6705494414767188E-2</v>
      </c>
      <c r="CG25" s="6">
        <f t="shared" si="45"/>
        <v>4.3336353634194073E-2</v>
      </c>
      <c r="CH25" s="6">
        <f t="shared" si="45"/>
        <v>4.549146847366542E-2</v>
      </c>
      <c r="CI25" s="6">
        <f t="shared" si="45"/>
        <v>5.0730973440798015E-2</v>
      </c>
      <c r="CJ25" s="6">
        <f t="shared" si="45"/>
        <v>5.263216546970436E-2</v>
      </c>
      <c r="CK25" s="6">
        <f t="shared" si="45"/>
        <v>4.8341439254251946E-2</v>
      </c>
      <c r="CL25" s="6">
        <f t="shared" si="45"/>
        <v>3.7971422871283605E-2</v>
      </c>
      <c r="CM25" s="6">
        <f t="shared" si="45"/>
        <v>4.0545620918336536E-2</v>
      </c>
      <c r="CN25" s="6">
        <f t="shared" si="45"/>
        <v>2.7313723572619086E-2</v>
      </c>
      <c r="CO25" s="6">
        <f t="shared" si="45"/>
        <v>3.5088422496072767E-2</v>
      </c>
      <c r="CP25" s="6">
        <f t="shared" si="45"/>
        <v>3.564813420606134E-2</v>
      </c>
      <c r="CQ25" s="6">
        <f t="shared" si="45"/>
        <v>2.7004872903015831E-2</v>
      </c>
      <c r="CR25" s="6">
        <f t="shared" si="45"/>
        <v>2.2783593146815904E-2</v>
      </c>
      <c r="CS25" s="6">
        <f t="shared" si="45"/>
        <v>1.6252935248692126E-2</v>
      </c>
      <c r="CT25" s="6">
        <f t="shared" si="45"/>
        <v>1.328037727140592E-2</v>
      </c>
      <c r="CU25" s="4"/>
      <c r="CV25" s="4"/>
      <c r="CW25" s="225" t="s">
        <v>376</v>
      </c>
      <c r="CX25" s="6" t="s">
        <v>217</v>
      </c>
      <c r="CY25" s="281" t="s">
        <v>54</v>
      </c>
      <c r="CZ25" s="245">
        <f>CZ24/SQRT(20)</f>
        <v>6.6619497101693168E-2</v>
      </c>
      <c r="DA25" s="246">
        <f t="shared" ref="DA25:DA48" si="46">AVERAGE(CD25,BP25,AE25)</f>
        <v>6.8127617547229583E-2</v>
      </c>
      <c r="DB25" s="246">
        <f t="shared" ref="DB25:DB48" si="47">AVERAGE(AT25,Z25,AC25)</f>
        <v>7.8896372420928243E-2</v>
      </c>
      <c r="DC25" s="246">
        <f t="shared" ref="DC25:DC48" si="48">AVERAGE(BA25,AS25,AG25)</f>
        <v>6.7735221708432602E-2</v>
      </c>
      <c r="DD25" s="246">
        <f t="shared" ref="DD25:DD48" si="49">AVERAGE(BX25,AH25,P25)</f>
        <v>7.7224147582178215E-2</v>
      </c>
      <c r="DE25" s="246">
        <f t="shared" ref="DE25:DE48" si="50">AVERAGE(CN25,CG25,BY25,BB25,AU25,AM25,AL25)</f>
        <v>6.4381462440062057E-2</v>
      </c>
      <c r="DF25" s="246">
        <f t="shared" ref="DF25:DF48" si="51">AVERAGE(CO25,CM25,CF25,CE25,BZ25,AN25)</f>
        <v>5.7388458910659017E-2</v>
      </c>
      <c r="DG25" s="247">
        <f t="shared" ref="DG25:DG48" si="52">AVERAGE(AD25,O25,I25)</f>
        <v>8.4009750153771101E-2</v>
      </c>
      <c r="DH25" s="246">
        <f t="shared" ref="DH25:DH48" si="53">AVERAGE(E25,F25,H25)</f>
        <v>7.224073980605171E-2</v>
      </c>
      <c r="DI25" s="246">
        <f t="shared" ref="DI25:DI48" si="54">AVERAGE(M25,K25,J25)</f>
        <v>8.9774773336968886E-2</v>
      </c>
      <c r="DJ25" s="248">
        <f t="shared" ref="DJ25:DJ48" si="55">AVERAGE(AY25,AR25,AI25)</f>
        <v>7.5602000321020477E-2</v>
      </c>
      <c r="DK25" s="248"/>
      <c r="DL25" s="248">
        <f t="shared" ref="DL25" si="56">AVERAGE(BA25,AT25,AK25)</f>
        <v>8.2518983434633653E-2</v>
      </c>
      <c r="DM25" s="248">
        <f t="shared" ref="DM25" si="57">AVERAGE(BB25,AU25,AL25)</f>
        <v>7.7477929762501702E-2</v>
      </c>
      <c r="DN25" s="248">
        <f t="shared" ref="DN25" si="58">AVERAGE(BC25,AV25,AM25)</f>
        <v>8.1492935767598848E-2</v>
      </c>
      <c r="DO25" s="248">
        <f t="shared" ref="DO25" si="59">AVERAGE(BD25,AW25,AN25)</f>
        <v>8.217696789670377E-2</v>
      </c>
      <c r="DP25" s="248">
        <f t="shared" ref="DP25" si="60">AVERAGE(BE25,AX25,AO25)</f>
        <v>7.4368100835986453E-2</v>
      </c>
      <c r="DQ25" s="248">
        <f t="shared" ref="DQ25" si="61">AVERAGE(BF25,AY25,AP25)</f>
        <v>7.6383422966185097E-2</v>
      </c>
      <c r="DR25" s="248">
        <f t="shared" ref="DR25" si="62">AVERAGE(BG25,AZ25,AQ25)</f>
        <v>7.1315255484015572E-2</v>
      </c>
      <c r="DS25" s="248">
        <f t="shared" ref="DS25" si="63">AVERAGE(BH25,BA25,AR25)</f>
        <v>7.187969397659999E-2</v>
      </c>
      <c r="DT25" s="248">
        <f t="shared" ref="DT25" si="64">AVERAGE(BI25,BB25,AS25)</f>
        <v>7.5954396142120809E-2</v>
      </c>
      <c r="DU25" s="248">
        <f t="shared" ref="DU25" si="65">AVERAGE(BJ25,BC25,AT25)</f>
        <v>7.8296842750885123E-2</v>
      </c>
      <c r="DV25" s="248">
        <f t="shared" ref="DV25" si="66">AVERAGE(BK25,BD25,AU25)</f>
        <v>7.60389168955483E-2</v>
      </c>
    </row>
    <row r="26" spans="1:128" ht="16" thickBot="1" x14ac:dyDescent="0.25">
      <c r="A26" s="5"/>
      <c r="B26" s="5"/>
      <c r="C26" s="5"/>
      <c r="D26" s="5"/>
      <c r="CW26" s="226" t="s">
        <v>377</v>
      </c>
      <c r="CX26" s="5" t="s">
        <v>217</v>
      </c>
      <c r="CY26" s="278" t="s">
        <v>217</v>
      </c>
      <c r="CZ26" s="238" t="s">
        <v>217</v>
      </c>
      <c r="DA26" s="39"/>
      <c r="DB26" s="39"/>
      <c r="DC26" s="39"/>
      <c r="DD26" s="39"/>
      <c r="DE26" s="39"/>
      <c r="DF26" s="39"/>
      <c r="DG26" s="236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</row>
    <row r="27" spans="1:128" s="6" customFormat="1" ht="16" thickBot="1" x14ac:dyDescent="0.25">
      <c r="A27" s="4"/>
      <c r="B27" s="4" t="s">
        <v>56</v>
      </c>
      <c r="C27" s="4"/>
      <c r="D27" s="4"/>
      <c r="CU27" s="4"/>
      <c r="CV27" s="4"/>
      <c r="CW27" s="225" t="s">
        <v>378</v>
      </c>
      <c r="CX27" s="6" t="s">
        <v>217</v>
      </c>
      <c r="CY27" s="235"/>
      <c r="CZ27" s="234"/>
      <c r="DA27" s="39"/>
      <c r="DB27" s="39"/>
      <c r="DC27" s="39"/>
      <c r="DD27" s="39"/>
      <c r="DE27" s="39"/>
      <c r="DF27" s="39"/>
      <c r="DG27" s="236"/>
      <c r="DH27" s="39"/>
      <c r="DI27" s="39"/>
      <c r="DJ27" s="39"/>
      <c r="DK27" s="237"/>
      <c r="DL27" s="237"/>
      <c r="DM27" s="237"/>
      <c r="DN27" s="237"/>
      <c r="DO27" s="237"/>
      <c r="DP27" s="237"/>
      <c r="DQ27" s="237"/>
      <c r="DR27" s="237"/>
      <c r="DS27" s="237"/>
      <c r="DT27" s="237"/>
      <c r="DU27" s="237"/>
      <c r="DV27" s="237"/>
    </row>
    <row r="28" spans="1:128" s="6" customFormat="1" ht="16" thickBot="1" x14ac:dyDescent="0.25">
      <c r="A28" s="4"/>
      <c r="B28" s="4" t="s">
        <v>20</v>
      </c>
      <c r="C28" s="4" t="s">
        <v>21</v>
      </c>
      <c r="D28" s="4" t="s">
        <v>51</v>
      </c>
      <c r="E28" s="6" t="s">
        <v>80</v>
      </c>
      <c r="F28" s="6" t="s">
        <v>72</v>
      </c>
      <c r="G28" s="8" t="s">
        <v>94</v>
      </c>
      <c r="H28" s="6" t="s">
        <v>91</v>
      </c>
      <c r="I28" s="6" t="s">
        <v>140</v>
      </c>
      <c r="J28" s="6" t="s">
        <v>78</v>
      </c>
      <c r="K28" s="6" t="s">
        <v>81</v>
      </c>
      <c r="L28" s="6" t="s">
        <v>65</v>
      </c>
      <c r="M28" s="6" t="s">
        <v>133</v>
      </c>
      <c r="N28" s="6" t="s">
        <v>59</v>
      </c>
      <c r="O28" s="6" t="s">
        <v>97</v>
      </c>
      <c r="P28" s="6" t="s">
        <v>121</v>
      </c>
      <c r="Q28" s="6" t="s">
        <v>92</v>
      </c>
      <c r="R28" s="6" t="s">
        <v>129</v>
      </c>
      <c r="S28" s="6" t="s">
        <v>115</v>
      </c>
      <c r="T28" s="6" t="s">
        <v>93</v>
      </c>
      <c r="U28" s="6" t="s">
        <v>128</v>
      </c>
      <c r="V28" s="6" t="s">
        <v>95</v>
      </c>
      <c r="W28" s="6" t="s">
        <v>76</v>
      </c>
      <c r="X28" s="6" t="s">
        <v>145</v>
      </c>
      <c r="Y28" s="6" t="s">
        <v>84</v>
      </c>
      <c r="Z28" s="6" t="s">
        <v>70</v>
      </c>
      <c r="AA28" s="6" t="s">
        <v>61</v>
      </c>
      <c r="AB28" s="6" t="s">
        <v>117</v>
      </c>
      <c r="AC28" s="6" t="s">
        <v>144</v>
      </c>
      <c r="AD28" s="6" t="s">
        <v>130</v>
      </c>
      <c r="AE28" s="6" t="s">
        <v>139</v>
      </c>
      <c r="AF28" s="6" t="s">
        <v>141</v>
      </c>
      <c r="AG28" s="6" t="s">
        <v>108</v>
      </c>
      <c r="AH28" s="6" t="s">
        <v>120</v>
      </c>
      <c r="AI28" s="6" t="s">
        <v>86</v>
      </c>
      <c r="AJ28" s="6" t="s">
        <v>113</v>
      </c>
      <c r="AK28" s="6" t="s">
        <v>150</v>
      </c>
      <c r="AL28" s="6" t="s">
        <v>125</v>
      </c>
      <c r="AM28" s="6" t="s">
        <v>96</v>
      </c>
      <c r="AN28" s="6" t="s">
        <v>104</v>
      </c>
      <c r="AO28" s="6" t="s">
        <v>110</v>
      </c>
      <c r="AP28" s="8" t="s">
        <v>138</v>
      </c>
      <c r="AQ28" s="6" t="s">
        <v>103</v>
      </c>
      <c r="AR28" s="6" t="s">
        <v>89</v>
      </c>
      <c r="AS28" s="6" t="s">
        <v>135</v>
      </c>
      <c r="AT28" s="6" t="s">
        <v>149</v>
      </c>
      <c r="AU28" s="6" t="s">
        <v>85</v>
      </c>
      <c r="AV28" s="6" t="s">
        <v>63</v>
      </c>
      <c r="AW28" s="6" t="s">
        <v>98</v>
      </c>
      <c r="AX28" s="6" t="s">
        <v>131</v>
      </c>
      <c r="AY28" s="6" t="s">
        <v>112</v>
      </c>
      <c r="AZ28" s="6" t="s">
        <v>100</v>
      </c>
      <c r="BA28" s="6" t="s">
        <v>127</v>
      </c>
      <c r="BB28" s="6" t="s">
        <v>122</v>
      </c>
      <c r="BC28" s="6" t="s">
        <v>99</v>
      </c>
      <c r="BD28" s="6" t="s">
        <v>124</v>
      </c>
      <c r="BE28" s="6" t="s">
        <v>132</v>
      </c>
      <c r="BF28" s="6" t="s">
        <v>116</v>
      </c>
      <c r="BG28" s="6" t="s">
        <v>119</v>
      </c>
      <c r="BH28" s="6" t="s">
        <v>146</v>
      </c>
      <c r="BI28" s="6" t="s">
        <v>107</v>
      </c>
      <c r="BJ28" s="6" t="s">
        <v>109</v>
      </c>
      <c r="BK28" s="6" t="s">
        <v>74</v>
      </c>
      <c r="BL28" s="6" t="s">
        <v>77</v>
      </c>
      <c r="BM28" s="6" t="s">
        <v>60</v>
      </c>
      <c r="BN28" s="6" t="s">
        <v>106</v>
      </c>
      <c r="BO28" s="6" t="s">
        <v>151</v>
      </c>
      <c r="BP28" s="6" t="s">
        <v>67</v>
      </c>
      <c r="BQ28" s="6" t="s">
        <v>123</v>
      </c>
      <c r="BR28" s="6" t="s">
        <v>142</v>
      </c>
      <c r="BS28" s="6" t="s">
        <v>134</v>
      </c>
      <c r="BT28" s="6" t="s">
        <v>148</v>
      </c>
      <c r="BU28" s="6" t="s">
        <v>82</v>
      </c>
      <c r="BV28" s="6" t="s">
        <v>73</v>
      </c>
      <c r="BW28" s="6" t="s">
        <v>143</v>
      </c>
      <c r="BX28" s="6" t="s">
        <v>118</v>
      </c>
      <c r="BY28" s="6" t="s">
        <v>105</v>
      </c>
      <c r="BZ28" s="6" t="s">
        <v>102</v>
      </c>
      <c r="CA28" s="6" t="s">
        <v>68</v>
      </c>
      <c r="CB28" s="6" t="s">
        <v>87</v>
      </c>
      <c r="CC28" s="6" t="s">
        <v>71</v>
      </c>
      <c r="CD28" s="6" t="s">
        <v>152</v>
      </c>
      <c r="CE28" s="6" t="s">
        <v>90</v>
      </c>
      <c r="CF28" s="6" t="s">
        <v>101</v>
      </c>
      <c r="CG28" s="6" t="s">
        <v>136</v>
      </c>
      <c r="CH28" s="6" t="s">
        <v>62</v>
      </c>
      <c r="CI28" s="6" t="s">
        <v>83</v>
      </c>
      <c r="CJ28" s="6" t="s">
        <v>69</v>
      </c>
      <c r="CK28" s="6" t="s">
        <v>137</v>
      </c>
      <c r="CL28" s="6" t="s">
        <v>75</v>
      </c>
      <c r="CM28" s="6" t="s">
        <v>114</v>
      </c>
      <c r="CN28" s="6" t="s">
        <v>66</v>
      </c>
      <c r="CO28" s="6" t="s">
        <v>147</v>
      </c>
      <c r="CP28" s="6" t="s">
        <v>79</v>
      </c>
      <c r="CQ28" s="6" t="s">
        <v>111</v>
      </c>
      <c r="CR28" s="6" t="s">
        <v>126</v>
      </c>
      <c r="CS28" s="6" t="s">
        <v>88</v>
      </c>
      <c r="CT28" s="6" t="s">
        <v>64</v>
      </c>
      <c r="CU28" s="4" t="s">
        <v>52</v>
      </c>
      <c r="CV28" s="4" t="s">
        <v>53</v>
      </c>
      <c r="CW28" s="225" t="s">
        <v>379</v>
      </c>
      <c r="CX28" s="6" t="s">
        <v>217</v>
      </c>
      <c r="CY28" s="235"/>
      <c r="CZ28" s="282" t="s">
        <v>406</v>
      </c>
      <c r="DA28" s="71" t="s">
        <v>407</v>
      </c>
      <c r="DB28" s="142" t="s">
        <v>408</v>
      </c>
      <c r="DC28" s="147" t="s">
        <v>409</v>
      </c>
      <c r="DD28" s="136" t="s">
        <v>410</v>
      </c>
      <c r="DE28" s="135" t="s">
        <v>411</v>
      </c>
      <c r="DF28" s="148" t="s">
        <v>412</v>
      </c>
      <c r="DG28" s="149" t="s">
        <v>413</v>
      </c>
      <c r="DH28" s="150" t="s">
        <v>414</v>
      </c>
      <c r="DI28" s="141" t="s">
        <v>415</v>
      </c>
      <c r="DJ28" s="283" t="s">
        <v>416</v>
      </c>
      <c r="DK28" s="237"/>
      <c r="DL28" s="237"/>
      <c r="DM28" s="237"/>
      <c r="DN28" s="237"/>
      <c r="DO28" s="237"/>
      <c r="DP28" s="237"/>
      <c r="DQ28" s="237"/>
      <c r="DR28" s="237"/>
      <c r="DS28" s="237"/>
      <c r="DT28" s="237"/>
      <c r="DU28" s="237"/>
      <c r="DV28" s="237"/>
    </row>
    <row r="29" spans="1:128" x14ac:dyDescent="0.2">
      <c r="A29" s="3"/>
      <c r="B29" s="3" t="s">
        <v>0</v>
      </c>
      <c r="C29" s="3">
        <v>2</v>
      </c>
      <c r="D29" s="3">
        <v>2</v>
      </c>
      <c r="E29" s="2">
        <v>0</v>
      </c>
      <c r="F29" s="2">
        <v>0</v>
      </c>
      <c r="G29" s="2">
        <v>0</v>
      </c>
      <c r="H29" s="2">
        <v>0</v>
      </c>
      <c r="I29" s="2">
        <v>9.9999997764800008E-3</v>
      </c>
      <c r="J29" s="2">
        <v>0</v>
      </c>
      <c r="K29" s="2">
        <v>0</v>
      </c>
      <c r="L29" s="2">
        <v>0</v>
      </c>
      <c r="M29" s="2">
        <v>9.9999997764800008E-3</v>
      </c>
      <c r="N29" s="2">
        <v>9.9999997764800008E-3</v>
      </c>
      <c r="O29" s="2">
        <v>0</v>
      </c>
      <c r="P29" s="2">
        <v>9.9999997764800008E-3</v>
      </c>
      <c r="Q29" s="2">
        <v>0</v>
      </c>
      <c r="R29" s="2">
        <v>9.9999997764800008E-3</v>
      </c>
      <c r="S29" s="2">
        <v>9.9999997764800008E-3</v>
      </c>
      <c r="T29" s="2">
        <v>0</v>
      </c>
      <c r="U29" s="2">
        <v>9.9999997764800008E-3</v>
      </c>
      <c r="V29" s="2">
        <v>0</v>
      </c>
      <c r="W29" s="2">
        <v>0</v>
      </c>
      <c r="X29" s="2">
        <v>9.9999997764800008E-3</v>
      </c>
      <c r="Y29" s="2">
        <v>9.9999997764800008E-3</v>
      </c>
      <c r="Z29" s="2">
        <v>0</v>
      </c>
      <c r="AA29" s="2">
        <v>0</v>
      </c>
      <c r="AB29" s="2">
        <v>9.9999997764800008E-3</v>
      </c>
      <c r="AC29" s="2">
        <v>9.9999997764800008E-3</v>
      </c>
      <c r="AD29" s="2">
        <v>9.9999997764800008E-3</v>
      </c>
      <c r="AE29" s="2">
        <v>9.9999997764800008E-3</v>
      </c>
      <c r="AF29" s="2">
        <v>9.9999997764800008E-3</v>
      </c>
      <c r="AG29" s="2">
        <v>0</v>
      </c>
      <c r="AH29" s="2">
        <v>9.9999997764800008E-3</v>
      </c>
      <c r="AI29" s="2">
        <v>9.9999997764800008E-3</v>
      </c>
      <c r="AJ29" s="2">
        <v>9.9999997764800008E-3</v>
      </c>
      <c r="AK29" s="2">
        <v>9.9999997764800008E-3</v>
      </c>
      <c r="AL29" s="2">
        <v>9.9999997764800008E-3</v>
      </c>
      <c r="AM29" s="2">
        <v>0</v>
      </c>
      <c r="AN29" s="2">
        <v>0</v>
      </c>
      <c r="AO29" s="2">
        <v>9.9999997764800008E-3</v>
      </c>
      <c r="AP29" s="2">
        <v>9.9999997764800008E-3</v>
      </c>
      <c r="AQ29" s="2">
        <v>0</v>
      </c>
      <c r="AR29" s="2">
        <v>0</v>
      </c>
      <c r="AS29" s="2">
        <v>9.9999997764800008E-3</v>
      </c>
      <c r="AT29" s="2">
        <v>9.9999997764800008E-3</v>
      </c>
      <c r="AU29" s="2">
        <v>9.9999997764800008E-3</v>
      </c>
      <c r="AV29" s="2">
        <v>0</v>
      </c>
      <c r="AW29" s="2">
        <v>0</v>
      </c>
      <c r="AX29" s="2">
        <v>9.9999997764800008E-3</v>
      </c>
      <c r="AY29" s="2">
        <v>9.9999997764800008E-3</v>
      </c>
      <c r="AZ29" s="2">
        <v>0</v>
      </c>
      <c r="BA29" s="2">
        <v>9.9999997764800008E-3</v>
      </c>
      <c r="BB29" s="2">
        <v>9.9999997764800008E-3</v>
      </c>
      <c r="BC29" s="2">
        <v>0</v>
      </c>
      <c r="BD29" s="2">
        <v>9.9999997764800008E-3</v>
      </c>
      <c r="BE29" s="2">
        <v>9.9999997764800008E-3</v>
      </c>
      <c r="BF29" s="2">
        <v>9.9999997764800008E-3</v>
      </c>
      <c r="BG29" s="2">
        <v>9.9999997764800008E-3</v>
      </c>
      <c r="BH29" s="2">
        <v>9.9999997764800008E-3</v>
      </c>
      <c r="BI29" s="2">
        <v>0</v>
      </c>
      <c r="BJ29" s="2">
        <v>9.9999997764800008E-3</v>
      </c>
      <c r="BK29" s="2">
        <v>0</v>
      </c>
      <c r="BL29" s="2">
        <v>0</v>
      </c>
      <c r="BM29" s="2">
        <v>9.9999997764800008E-3</v>
      </c>
      <c r="BN29" s="2">
        <v>0</v>
      </c>
      <c r="BO29" s="2">
        <v>9.9999997764800008E-3</v>
      </c>
      <c r="BP29" s="2">
        <v>0</v>
      </c>
      <c r="BQ29" s="2">
        <v>9.9999997764800008E-3</v>
      </c>
      <c r="BR29" s="2">
        <v>9.9999997764800008E-3</v>
      </c>
      <c r="BS29" s="2">
        <v>9.9999997764800008E-3</v>
      </c>
      <c r="BT29" s="2">
        <v>9.9999997764800008E-3</v>
      </c>
      <c r="BU29" s="2">
        <v>9.9999997764800008E-3</v>
      </c>
      <c r="BV29" s="2">
        <v>0</v>
      </c>
      <c r="BW29" s="2">
        <v>9.9999997764800008E-3</v>
      </c>
      <c r="BX29" s="2">
        <v>9.9999997764800008E-3</v>
      </c>
      <c r="BY29" s="2">
        <v>0</v>
      </c>
      <c r="BZ29" s="2">
        <v>0</v>
      </c>
      <c r="CA29" s="2">
        <v>0.20000000298000001</v>
      </c>
      <c r="CB29" s="2">
        <v>0.109999999404</v>
      </c>
      <c r="CC29" s="2">
        <v>0</v>
      </c>
      <c r="CD29" s="2">
        <v>9.9999997764800008E-3</v>
      </c>
      <c r="CE29" s="2">
        <v>0</v>
      </c>
      <c r="CF29" s="2">
        <v>0</v>
      </c>
      <c r="CG29" s="2">
        <v>9.9999997764800008E-3</v>
      </c>
      <c r="CH29" s="2">
        <v>0</v>
      </c>
      <c r="CI29" s="2">
        <v>9.9999997764800008E-3</v>
      </c>
      <c r="CJ29" s="2">
        <v>5.9999998658900003E-2</v>
      </c>
      <c r="CK29" s="2">
        <v>9.9999997764800008E-3</v>
      </c>
      <c r="CL29" s="2">
        <v>0</v>
      </c>
      <c r="CM29" s="2">
        <v>9.9999997764800008E-3</v>
      </c>
      <c r="CN29" s="2">
        <v>0</v>
      </c>
      <c r="CO29" s="2">
        <v>9.9999997764800008E-3</v>
      </c>
      <c r="CP29" s="2">
        <v>0</v>
      </c>
      <c r="CQ29" s="2">
        <v>9.9999997764800008E-3</v>
      </c>
      <c r="CR29" s="2">
        <v>5.9999998658900003E-2</v>
      </c>
      <c r="CS29" s="2">
        <v>0</v>
      </c>
      <c r="CT29" s="2">
        <v>0</v>
      </c>
      <c r="CW29" s="226" t="s">
        <v>380</v>
      </c>
      <c r="CX29" s="24" t="s">
        <v>217</v>
      </c>
      <c r="CY29" s="80">
        <v>1</v>
      </c>
      <c r="CZ29" s="151">
        <f>AVERAGE(BC29,AZ29,AO29,Q29,W29)</f>
        <v>1.999999955296E-3</v>
      </c>
      <c r="DA29" s="72">
        <f t="shared" si="46"/>
        <v>6.6666665176533342E-3</v>
      </c>
      <c r="DB29" s="260">
        <f t="shared" si="47"/>
        <v>6.6666665176533342E-3</v>
      </c>
      <c r="DC29" s="261">
        <f t="shared" si="48"/>
        <v>6.6666665176533342E-3</v>
      </c>
      <c r="DD29" s="154">
        <f t="shared" si="49"/>
        <v>9.9999997764800008E-3</v>
      </c>
      <c r="DE29" s="262">
        <f t="shared" si="50"/>
        <v>5.7142855865600006E-3</v>
      </c>
      <c r="DF29" s="263">
        <f t="shared" si="51"/>
        <v>3.3333332588266671E-3</v>
      </c>
      <c r="DG29" s="264">
        <f t="shared" si="52"/>
        <v>6.6666665176533342E-3</v>
      </c>
      <c r="DH29" s="265">
        <f t="shared" si="53"/>
        <v>0</v>
      </c>
      <c r="DI29" s="266">
        <f t="shared" si="54"/>
        <v>3.3333332588266671E-3</v>
      </c>
      <c r="DJ29" s="267">
        <f t="shared" si="55"/>
        <v>6.6666665176533342E-3</v>
      </c>
    </row>
    <row r="30" spans="1:128" x14ac:dyDescent="0.2">
      <c r="A30" s="3"/>
      <c r="B30" s="3" t="s">
        <v>1</v>
      </c>
      <c r="C30" s="3">
        <v>1</v>
      </c>
      <c r="D30" s="3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W30" s="226" t="s">
        <v>381</v>
      </c>
      <c r="CX30" s="24" t="s">
        <v>217</v>
      </c>
      <c r="CY30" s="80">
        <v>2</v>
      </c>
      <c r="CZ30" s="151">
        <f t="shared" ref="CZ30:CZ48" si="67">AVERAGE(BC30,AZ30,AO30,Q30,W30)</f>
        <v>0</v>
      </c>
      <c r="DA30" s="72">
        <f t="shared" si="46"/>
        <v>0</v>
      </c>
      <c r="DB30" s="260">
        <f t="shared" si="47"/>
        <v>0</v>
      </c>
      <c r="DC30" s="261">
        <f t="shared" si="48"/>
        <v>0</v>
      </c>
      <c r="DD30" s="154">
        <f t="shared" si="49"/>
        <v>0</v>
      </c>
      <c r="DE30" s="262">
        <f t="shared" si="50"/>
        <v>0</v>
      </c>
      <c r="DF30" s="263">
        <f t="shared" si="51"/>
        <v>0</v>
      </c>
      <c r="DG30" s="264">
        <f t="shared" si="52"/>
        <v>0</v>
      </c>
      <c r="DH30" s="265">
        <f t="shared" si="53"/>
        <v>0</v>
      </c>
      <c r="DI30" s="266">
        <f t="shared" si="54"/>
        <v>0</v>
      </c>
      <c r="DJ30" s="267">
        <f t="shared" si="55"/>
        <v>0</v>
      </c>
    </row>
    <row r="31" spans="1:128" x14ac:dyDescent="0.2">
      <c r="A31" s="3"/>
      <c r="B31" s="3" t="s">
        <v>2</v>
      </c>
      <c r="C31" s="3">
        <v>2</v>
      </c>
      <c r="D31" s="3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W31" s="226" t="s">
        <v>382</v>
      </c>
      <c r="CX31" s="24" t="s">
        <v>217</v>
      </c>
      <c r="CY31" s="80">
        <v>3</v>
      </c>
      <c r="CZ31" s="151">
        <f t="shared" si="67"/>
        <v>0</v>
      </c>
      <c r="DA31" s="72">
        <f t="shared" si="46"/>
        <v>0</v>
      </c>
      <c r="DB31" s="260">
        <f t="shared" si="47"/>
        <v>0</v>
      </c>
      <c r="DC31" s="261">
        <f t="shared" si="48"/>
        <v>0</v>
      </c>
      <c r="DD31" s="154">
        <f t="shared" si="49"/>
        <v>0</v>
      </c>
      <c r="DE31" s="262">
        <f t="shared" si="50"/>
        <v>0</v>
      </c>
      <c r="DF31" s="263">
        <f t="shared" si="51"/>
        <v>0</v>
      </c>
      <c r="DG31" s="264">
        <f t="shared" si="52"/>
        <v>0</v>
      </c>
      <c r="DH31" s="265">
        <f t="shared" si="53"/>
        <v>0</v>
      </c>
      <c r="DI31" s="266">
        <f t="shared" si="54"/>
        <v>0</v>
      </c>
      <c r="DJ31" s="267">
        <f t="shared" si="55"/>
        <v>0</v>
      </c>
    </row>
    <row r="32" spans="1:128" x14ac:dyDescent="0.2">
      <c r="A32" s="3"/>
      <c r="B32" s="3" t="s">
        <v>3</v>
      </c>
      <c r="C32" s="3">
        <v>1</v>
      </c>
      <c r="D32" s="3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1.9999999553000001E-2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9.9999997764800008E-3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9.9999997764800008E-3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9.9999997764800008E-3</v>
      </c>
      <c r="BK32" s="2">
        <v>0</v>
      </c>
      <c r="BL32" s="2">
        <v>0</v>
      </c>
      <c r="BM32" s="2">
        <v>9.9999997764800008E-3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3.9999999105899998E-2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9.9999997764800008E-3</v>
      </c>
      <c r="CR32" s="2">
        <v>0</v>
      </c>
      <c r="CS32" s="2">
        <v>0</v>
      </c>
      <c r="CT32" s="2">
        <v>0</v>
      </c>
      <c r="CW32" s="227" t="s">
        <v>383</v>
      </c>
      <c r="CX32" s="5"/>
      <c r="CY32" s="80">
        <v>4</v>
      </c>
      <c r="CZ32" s="151">
        <f t="shared" si="67"/>
        <v>1.999999955296E-3</v>
      </c>
      <c r="DA32" s="72">
        <f t="shared" si="46"/>
        <v>0</v>
      </c>
      <c r="DB32" s="260">
        <f t="shared" si="47"/>
        <v>0</v>
      </c>
      <c r="DC32" s="261">
        <f t="shared" si="48"/>
        <v>0</v>
      </c>
      <c r="DD32" s="154">
        <f t="shared" si="49"/>
        <v>0</v>
      </c>
      <c r="DE32" s="262">
        <f t="shared" si="50"/>
        <v>0</v>
      </c>
      <c r="DF32" s="263">
        <f t="shared" si="51"/>
        <v>0</v>
      </c>
      <c r="DG32" s="264">
        <f t="shared" si="52"/>
        <v>0</v>
      </c>
      <c r="DH32" s="265">
        <f t="shared" si="53"/>
        <v>0</v>
      </c>
      <c r="DI32" s="266">
        <f t="shared" si="54"/>
        <v>0</v>
      </c>
      <c r="DJ32" s="267">
        <f t="shared" si="55"/>
        <v>0</v>
      </c>
    </row>
    <row r="33" spans="1:114" x14ac:dyDescent="0.2">
      <c r="A33" s="3"/>
      <c r="B33" s="3" t="s">
        <v>4</v>
      </c>
      <c r="C33" s="3">
        <v>2</v>
      </c>
      <c r="D33" s="3">
        <v>2</v>
      </c>
      <c r="E33" s="2">
        <v>0.40999999642399998</v>
      </c>
      <c r="F33" s="2">
        <v>0.34000000357600002</v>
      </c>
      <c r="G33" s="2">
        <v>0.18000000715299999</v>
      </c>
      <c r="H33" s="2">
        <v>0</v>
      </c>
      <c r="I33" s="2">
        <v>0</v>
      </c>
      <c r="J33" s="2">
        <v>0.31999999284699998</v>
      </c>
      <c r="K33" s="2">
        <v>0.10000000149</v>
      </c>
      <c r="L33" s="2">
        <v>0</v>
      </c>
      <c r="M33" s="2">
        <v>0</v>
      </c>
      <c r="N33" s="2">
        <v>0</v>
      </c>
      <c r="O33" s="2">
        <v>0.360000014305</v>
      </c>
      <c r="P33" s="2">
        <v>1.9999999553000001E-2</v>
      </c>
      <c r="Q33" s="2">
        <v>0</v>
      </c>
      <c r="R33" s="2">
        <v>0</v>
      </c>
      <c r="S33" s="2">
        <v>1.9999999553000001E-2</v>
      </c>
      <c r="T33" s="2">
        <v>0</v>
      </c>
      <c r="U33" s="2">
        <v>0</v>
      </c>
      <c r="V33" s="2">
        <v>0.310000002384</v>
      </c>
      <c r="W33" s="2">
        <v>9.9999997764800008E-3</v>
      </c>
      <c r="X33" s="2">
        <v>9.9999997764800008E-3</v>
      </c>
      <c r="Y33" s="2">
        <v>9.9999997764800008E-3</v>
      </c>
      <c r="Z33" s="2">
        <v>2.99999993294E-2</v>
      </c>
      <c r="AA33" s="2">
        <v>0</v>
      </c>
      <c r="AB33" s="2">
        <v>0.439999997616</v>
      </c>
      <c r="AC33" s="2">
        <v>9.9999997764800008E-3</v>
      </c>
      <c r="AD33" s="2">
        <v>0</v>
      </c>
      <c r="AE33" s="2">
        <v>0</v>
      </c>
      <c r="AF33" s="2">
        <v>0</v>
      </c>
      <c r="AG33" s="2">
        <v>9.9999997764800008E-3</v>
      </c>
      <c r="AH33" s="2">
        <v>7.99999982119E-2</v>
      </c>
      <c r="AI33" s="2">
        <v>9.9999997764800008E-3</v>
      </c>
      <c r="AJ33" s="2">
        <v>1.9999999553000001E-2</v>
      </c>
      <c r="AK33" s="2">
        <v>9.9999997764800008E-3</v>
      </c>
      <c r="AL33" s="2">
        <v>0</v>
      </c>
      <c r="AM33" s="2">
        <v>1.9999999553000001E-2</v>
      </c>
      <c r="AN33" s="2">
        <v>9.9999997764800008E-3</v>
      </c>
      <c r="AO33" s="2">
        <v>9.9999997764800008E-3</v>
      </c>
      <c r="AP33" s="2">
        <v>0</v>
      </c>
      <c r="AQ33" s="2">
        <v>9.9999997764800008E-3</v>
      </c>
      <c r="AR33" s="2">
        <v>0</v>
      </c>
      <c r="AS33" s="2">
        <v>0</v>
      </c>
      <c r="AT33" s="2">
        <v>9.9999997764800008E-3</v>
      </c>
      <c r="AU33" s="2">
        <v>9.9999997764800008E-3</v>
      </c>
      <c r="AV33" s="2">
        <v>0</v>
      </c>
      <c r="AW33" s="2">
        <v>9.9999997764800008E-3</v>
      </c>
      <c r="AX33" s="2">
        <v>0</v>
      </c>
      <c r="AY33" s="2">
        <v>9.9999997764800008E-3</v>
      </c>
      <c r="AZ33" s="2">
        <v>9.9999997764800008E-3</v>
      </c>
      <c r="BA33" s="2">
        <v>0</v>
      </c>
      <c r="BB33" s="2">
        <v>0.239999994636</v>
      </c>
      <c r="BC33" s="2">
        <v>9.9999997764800008E-3</v>
      </c>
      <c r="BD33" s="2">
        <v>0</v>
      </c>
      <c r="BE33" s="2">
        <v>0</v>
      </c>
      <c r="BF33" s="2">
        <v>0.310000002384</v>
      </c>
      <c r="BG33" s="2">
        <v>0.40999999642399998</v>
      </c>
      <c r="BH33" s="2">
        <v>9.9999997764800008E-3</v>
      </c>
      <c r="BI33" s="2">
        <v>9.9999997764800008E-3</v>
      </c>
      <c r="BJ33" s="2">
        <v>0.219999998808</v>
      </c>
      <c r="BK33" s="2">
        <v>9.9999997764800008E-3</v>
      </c>
      <c r="BL33" s="2">
        <v>9.9999997764800008E-3</v>
      </c>
      <c r="BM33" s="2">
        <v>2.99999993294E-2</v>
      </c>
      <c r="BN33" s="2">
        <v>9.9999997764800008E-3</v>
      </c>
      <c r="BO33" s="2">
        <v>9.9999997764800008E-3</v>
      </c>
      <c r="BP33" s="2">
        <v>0</v>
      </c>
      <c r="BQ33" s="2">
        <v>0</v>
      </c>
      <c r="BR33" s="2">
        <v>9.9999997764800008E-3</v>
      </c>
      <c r="BS33" s="2">
        <v>0</v>
      </c>
      <c r="BT33" s="2">
        <v>9.9999997764800008E-3</v>
      </c>
      <c r="BU33" s="2">
        <v>9.9999997764800008E-3</v>
      </c>
      <c r="BV33" s="2">
        <v>9.9999997764800008E-3</v>
      </c>
      <c r="BW33" s="2">
        <v>0.28000000119200003</v>
      </c>
      <c r="BX33" s="2">
        <v>0.20999999344299999</v>
      </c>
      <c r="BY33" s="2">
        <v>9.9999997764800008E-3</v>
      </c>
      <c r="BZ33" s="2">
        <v>9.9999997764800008E-3</v>
      </c>
      <c r="CA33" s="2">
        <v>0.34999999403999998</v>
      </c>
      <c r="CB33" s="2">
        <v>0.37999999523200001</v>
      </c>
      <c r="CC33" s="2">
        <v>2.99999993294E-2</v>
      </c>
      <c r="CD33" s="2">
        <v>9.9999997764800008E-3</v>
      </c>
      <c r="CE33" s="2">
        <v>0</v>
      </c>
      <c r="CF33" s="2">
        <v>9.9999997764800008E-3</v>
      </c>
      <c r="CG33" s="2">
        <v>0</v>
      </c>
      <c r="CH33" s="2">
        <v>0</v>
      </c>
      <c r="CI33" s="2">
        <v>9.9999997764800008E-3</v>
      </c>
      <c r="CJ33" s="2">
        <v>0.18000000715299999</v>
      </c>
      <c r="CK33" s="2">
        <v>0</v>
      </c>
      <c r="CL33" s="2">
        <v>9.9999997764800008E-3</v>
      </c>
      <c r="CM33" s="2">
        <v>1.9999999553000001E-2</v>
      </c>
      <c r="CN33" s="2">
        <v>0</v>
      </c>
      <c r="CO33" s="2">
        <v>9.9999997764800008E-3</v>
      </c>
      <c r="CP33" s="2">
        <v>0.14000000059600001</v>
      </c>
      <c r="CQ33" s="2">
        <v>9.9999997764800008E-3</v>
      </c>
      <c r="CR33" s="2">
        <v>0.37999999523200001</v>
      </c>
      <c r="CS33" s="2">
        <v>1.9999999553000001E-2</v>
      </c>
      <c r="CT33" s="2">
        <v>0</v>
      </c>
      <c r="CW33" s="227" t="s">
        <v>384</v>
      </c>
      <c r="CX33" s="5"/>
      <c r="CY33" s="80">
        <v>5</v>
      </c>
      <c r="CZ33" s="151">
        <f t="shared" si="67"/>
        <v>7.999999821184E-3</v>
      </c>
      <c r="DA33" s="72">
        <f t="shared" si="46"/>
        <v>3.3333332588266671E-3</v>
      </c>
      <c r="DB33" s="260">
        <f t="shared" si="47"/>
        <v>1.6666666294119999E-2</v>
      </c>
      <c r="DC33" s="261">
        <f t="shared" si="48"/>
        <v>3.3333332588266671E-3</v>
      </c>
      <c r="DD33" s="154">
        <f t="shared" si="49"/>
        <v>0.10333333040263333</v>
      </c>
      <c r="DE33" s="262">
        <f t="shared" si="50"/>
        <v>3.9999999105994291E-2</v>
      </c>
      <c r="DF33" s="263">
        <f t="shared" si="51"/>
        <v>9.9999997764866674E-3</v>
      </c>
      <c r="DG33" s="264">
        <f t="shared" si="52"/>
        <v>0.12000000476833333</v>
      </c>
      <c r="DH33" s="265">
        <f t="shared" si="53"/>
        <v>0.25</v>
      </c>
      <c r="DI33" s="266">
        <f t="shared" si="54"/>
        <v>0.13999999811233332</v>
      </c>
      <c r="DJ33" s="267">
        <f t="shared" si="55"/>
        <v>6.6666665176533342E-3</v>
      </c>
    </row>
    <row r="34" spans="1:114" x14ac:dyDescent="0.2">
      <c r="A34" s="3"/>
      <c r="B34" s="3" t="s">
        <v>5</v>
      </c>
      <c r="C34" s="3">
        <v>1</v>
      </c>
      <c r="D34" s="3">
        <v>1</v>
      </c>
      <c r="E34" s="18">
        <v>0</v>
      </c>
      <c r="F34" s="18">
        <v>0</v>
      </c>
      <c r="G34" s="18">
        <v>0</v>
      </c>
      <c r="H34" s="18">
        <v>0</v>
      </c>
      <c r="I34" s="18">
        <v>0.01</v>
      </c>
      <c r="J34" s="18">
        <v>0</v>
      </c>
      <c r="K34" s="18">
        <v>0</v>
      </c>
      <c r="L34" s="18">
        <v>0</v>
      </c>
      <c r="M34" s="18">
        <v>0.02</v>
      </c>
      <c r="N34" s="18">
        <v>0.01</v>
      </c>
      <c r="O34" s="18">
        <v>0</v>
      </c>
      <c r="P34" s="18">
        <v>0.02</v>
      </c>
      <c r="Q34" s="18">
        <v>0.04</v>
      </c>
      <c r="R34" s="18">
        <v>0.01</v>
      </c>
      <c r="S34" s="18">
        <v>0</v>
      </c>
      <c r="T34" s="18">
        <v>0</v>
      </c>
      <c r="U34" s="18">
        <v>0.01</v>
      </c>
      <c r="V34" s="18">
        <v>0</v>
      </c>
      <c r="W34" s="18">
        <v>0</v>
      </c>
      <c r="X34" s="18">
        <v>0.02</v>
      </c>
      <c r="Y34" s="18">
        <v>0</v>
      </c>
      <c r="Z34" s="18">
        <v>0</v>
      </c>
      <c r="AA34" s="18">
        <v>0.08</v>
      </c>
      <c r="AB34" s="18">
        <v>0.44</v>
      </c>
      <c r="AC34" s="18">
        <v>0.02</v>
      </c>
      <c r="AD34" s="18">
        <v>0.01</v>
      </c>
      <c r="AE34" s="18">
        <v>0.01</v>
      </c>
      <c r="AF34" s="18">
        <v>0.01</v>
      </c>
      <c r="AG34" s="18">
        <v>0</v>
      </c>
      <c r="AH34" s="18">
        <v>0.02</v>
      </c>
      <c r="AI34" s="18">
        <v>0</v>
      </c>
      <c r="AJ34" s="18">
        <v>0</v>
      </c>
      <c r="AK34" s="18">
        <v>0.02</v>
      </c>
      <c r="AL34" s="18">
        <v>0.02</v>
      </c>
      <c r="AM34" s="18">
        <v>0</v>
      </c>
      <c r="AN34" s="18">
        <v>0</v>
      </c>
      <c r="AO34" s="18">
        <v>0</v>
      </c>
      <c r="AP34" s="18">
        <v>0.78</v>
      </c>
      <c r="AQ34" s="18">
        <v>0</v>
      </c>
      <c r="AR34" s="18">
        <v>0</v>
      </c>
      <c r="AS34" s="18">
        <v>0.02</v>
      </c>
      <c r="AT34" s="18">
        <v>0.02</v>
      </c>
      <c r="AU34" s="18">
        <v>0</v>
      </c>
      <c r="AV34" s="18">
        <v>0</v>
      </c>
      <c r="AW34" s="18">
        <v>0</v>
      </c>
      <c r="AX34" s="18">
        <v>0.01</v>
      </c>
      <c r="AY34" s="18">
        <v>0</v>
      </c>
      <c r="AZ34" s="18">
        <v>0</v>
      </c>
      <c r="BA34" s="18">
        <v>0.01</v>
      </c>
      <c r="BB34" s="18">
        <v>0.02</v>
      </c>
      <c r="BC34" s="18">
        <v>0</v>
      </c>
      <c r="BD34" s="18">
        <v>0.02</v>
      </c>
      <c r="BE34" s="18">
        <v>0.01</v>
      </c>
      <c r="BF34" s="18">
        <v>0</v>
      </c>
      <c r="BG34" s="18">
        <v>0.02</v>
      </c>
      <c r="BH34" s="18">
        <v>0.02</v>
      </c>
      <c r="BI34" s="18">
        <v>0</v>
      </c>
      <c r="BJ34" s="18">
        <v>0.24</v>
      </c>
      <c r="BK34" s="18">
        <v>0</v>
      </c>
      <c r="BL34" s="18">
        <v>0</v>
      </c>
      <c r="BM34" s="18">
        <v>0.01</v>
      </c>
      <c r="BN34" s="18">
        <v>0</v>
      </c>
      <c r="BO34" s="18">
        <v>0.02</v>
      </c>
      <c r="BP34" s="18">
        <v>0</v>
      </c>
      <c r="BQ34" s="18">
        <v>0.02</v>
      </c>
      <c r="BR34" s="18">
        <v>0.73</v>
      </c>
      <c r="BS34" s="18">
        <v>0.02</v>
      </c>
      <c r="BT34" s="18">
        <v>0.02</v>
      </c>
      <c r="BU34" s="18">
        <v>0</v>
      </c>
      <c r="BV34" s="18">
        <v>0</v>
      </c>
      <c r="BW34" s="18">
        <v>0.01</v>
      </c>
      <c r="BX34" s="18">
        <v>0.02</v>
      </c>
      <c r="BY34" s="18">
        <v>0</v>
      </c>
      <c r="BZ34" s="18">
        <v>0</v>
      </c>
      <c r="CA34" s="18">
        <v>0.39</v>
      </c>
      <c r="CB34" s="18">
        <v>0.25</v>
      </c>
      <c r="CC34" s="18">
        <v>0</v>
      </c>
      <c r="CD34" s="18">
        <v>0.02</v>
      </c>
      <c r="CE34" s="18">
        <v>0</v>
      </c>
      <c r="CF34" s="18">
        <v>0</v>
      </c>
      <c r="CG34" s="18">
        <v>0.02</v>
      </c>
      <c r="CH34" s="18">
        <v>0</v>
      </c>
      <c r="CI34" s="18">
        <v>0</v>
      </c>
      <c r="CJ34" s="18">
        <v>0</v>
      </c>
      <c r="CK34" s="18">
        <v>0.02</v>
      </c>
      <c r="CL34" s="18">
        <v>0</v>
      </c>
      <c r="CM34" s="18">
        <v>0</v>
      </c>
      <c r="CN34" s="18">
        <v>0</v>
      </c>
      <c r="CO34" s="18">
        <v>0.02</v>
      </c>
      <c r="CP34" s="18">
        <v>0</v>
      </c>
      <c r="CQ34" s="18">
        <v>0</v>
      </c>
      <c r="CR34" s="18">
        <v>0.76</v>
      </c>
      <c r="CS34" s="18">
        <v>0</v>
      </c>
      <c r="CT34" s="18">
        <v>0</v>
      </c>
      <c r="CW34" s="227" t="s">
        <v>385</v>
      </c>
      <c r="CX34" s="5"/>
      <c r="CY34" s="80">
        <v>6</v>
      </c>
      <c r="CZ34" s="151">
        <f t="shared" si="67"/>
        <v>8.0000000000000002E-3</v>
      </c>
      <c r="DA34" s="72">
        <f t="shared" si="46"/>
        <v>0.01</v>
      </c>
      <c r="DB34" s="260">
        <f t="shared" si="47"/>
        <v>1.3333333333333334E-2</v>
      </c>
      <c r="DC34" s="261">
        <f t="shared" si="48"/>
        <v>0.01</v>
      </c>
      <c r="DD34" s="154">
        <f t="shared" si="49"/>
        <v>0.02</v>
      </c>
      <c r="DE34" s="262">
        <f t="shared" si="50"/>
        <v>8.5714285714285719E-3</v>
      </c>
      <c r="DF34" s="263">
        <f t="shared" si="51"/>
        <v>3.3333333333333335E-3</v>
      </c>
      <c r="DG34" s="264">
        <f t="shared" si="52"/>
        <v>6.6666666666666671E-3</v>
      </c>
      <c r="DH34" s="265">
        <f t="shared" si="53"/>
        <v>0</v>
      </c>
      <c r="DI34" s="266">
        <f t="shared" si="54"/>
        <v>6.6666666666666671E-3</v>
      </c>
      <c r="DJ34" s="267">
        <f t="shared" si="55"/>
        <v>0</v>
      </c>
    </row>
    <row r="35" spans="1:114" x14ac:dyDescent="0.2">
      <c r="A35" s="3"/>
      <c r="B35" s="3" t="s">
        <v>6</v>
      </c>
      <c r="C35" s="3">
        <v>2</v>
      </c>
      <c r="D35" s="3">
        <v>2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0.01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0.01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W35" s="227" t="s">
        <v>386</v>
      </c>
      <c r="CX35" s="5"/>
      <c r="CY35" s="80">
        <v>7</v>
      </c>
      <c r="CZ35" s="151">
        <f t="shared" si="67"/>
        <v>0</v>
      </c>
      <c r="DA35" s="72">
        <f t="shared" si="46"/>
        <v>0</v>
      </c>
      <c r="DB35" s="260">
        <f t="shared" si="47"/>
        <v>0</v>
      </c>
      <c r="DC35" s="261">
        <f t="shared" si="48"/>
        <v>0</v>
      </c>
      <c r="DD35" s="154">
        <f t="shared" si="49"/>
        <v>0</v>
      </c>
      <c r="DE35" s="262">
        <f t="shared" si="50"/>
        <v>0</v>
      </c>
      <c r="DF35" s="263">
        <f t="shared" si="51"/>
        <v>0</v>
      </c>
      <c r="DG35" s="264">
        <f t="shared" si="52"/>
        <v>0</v>
      </c>
      <c r="DH35" s="265">
        <f t="shared" si="53"/>
        <v>0</v>
      </c>
      <c r="DI35" s="266">
        <f t="shared" si="54"/>
        <v>0</v>
      </c>
      <c r="DJ35" s="267">
        <f t="shared" si="55"/>
        <v>0</v>
      </c>
    </row>
    <row r="36" spans="1:114" x14ac:dyDescent="0.2">
      <c r="A36" s="3"/>
      <c r="B36" s="3" t="s">
        <v>7</v>
      </c>
      <c r="C36" s="3">
        <v>1</v>
      </c>
      <c r="D36" s="3">
        <v>1</v>
      </c>
      <c r="E36" s="18">
        <v>0.560000002</v>
      </c>
      <c r="F36" s="18">
        <v>0.68000000699999996</v>
      </c>
      <c r="G36" s="18">
        <v>0.27000001099999998</v>
      </c>
      <c r="H36" s="18">
        <v>0.27000001099999998</v>
      </c>
      <c r="I36" s="18">
        <v>0.189999998</v>
      </c>
      <c r="J36" s="18">
        <v>0.15000000599999999</v>
      </c>
      <c r="K36" s="18">
        <v>0.560000002</v>
      </c>
      <c r="L36" s="18">
        <v>7.0000000000000007E-2</v>
      </c>
      <c r="M36" s="18">
        <v>0.20000000300000001</v>
      </c>
      <c r="N36" s="18">
        <v>9.0000003999999995E-2</v>
      </c>
      <c r="O36" s="18">
        <v>3.9999999000000001E-2</v>
      </c>
      <c r="P36" s="18">
        <v>0.30000001199999998</v>
      </c>
      <c r="Q36" s="18">
        <v>0.10000000100000001</v>
      </c>
      <c r="R36" s="18">
        <v>7.9999998000000003E-2</v>
      </c>
      <c r="S36" s="18">
        <v>0.02</v>
      </c>
      <c r="T36" s="18">
        <v>7.9999998000000003E-2</v>
      </c>
      <c r="U36" s="18">
        <v>0.189999998</v>
      </c>
      <c r="V36" s="18">
        <v>0.14000000100000001</v>
      </c>
      <c r="W36" s="18">
        <v>0</v>
      </c>
      <c r="X36" s="18">
        <v>5.9999998999999998E-2</v>
      </c>
      <c r="Y36" s="18">
        <v>5.9999998999999998E-2</v>
      </c>
      <c r="Z36" s="18">
        <v>0.02</v>
      </c>
      <c r="AA36" s="18">
        <v>7.0000000000000007E-2</v>
      </c>
      <c r="AB36" s="18">
        <v>0.44999998800000002</v>
      </c>
      <c r="AC36" s="18">
        <v>5.9999998999999998E-2</v>
      </c>
      <c r="AD36" s="18">
        <v>7.9999998000000003E-2</v>
      </c>
      <c r="AE36" s="18">
        <v>0.17000000200000001</v>
      </c>
      <c r="AF36" s="18">
        <v>0.17000000200000001</v>
      </c>
      <c r="AG36" s="18">
        <v>2.9999998999999999E-2</v>
      </c>
      <c r="AH36" s="18">
        <v>7.9999998000000003E-2</v>
      </c>
      <c r="AI36" s="18">
        <v>0.02</v>
      </c>
      <c r="AJ36" s="18">
        <v>0.02</v>
      </c>
      <c r="AK36" s="18">
        <v>0</v>
      </c>
      <c r="AL36" s="18">
        <v>2.9999998999999999E-2</v>
      </c>
      <c r="AM36" s="18">
        <v>5.9999998999999998E-2</v>
      </c>
      <c r="AN36" s="18">
        <v>0.27000001099999998</v>
      </c>
      <c r="AO36" s="18">
        <v>2.9999998999999999E-2</v>
      </c>
      <c r="AP36" s="18">
        <v>3.9999999000000001E-2</v>
      </c>
      <c r="AQ36" s="18">
        <v>2.9999998999999999E-2</v>
      </c>
      <c r="AR36" s="18">
        <v>0</v>
      </c>
      <c r="AS36" s="18">
        <v>0</v>
      </c>
      <c r="AT36" s="18">
        <v>0</v>
      </c>
      <c r="AU36" s="18">
        <v>5.9999998999999998E-2</v>
      </c>
      <c r="AV36" s="18">
        <v>7.0000000000000007E-2</v>
      </c>
      <c r="AW36" s="18">
        <v>0</v>
      </c>
      <c r="AX36" s="18">
        <v>5.0000001000000002E-2</v>
      </c>
      <c r="AY36" s="18">
        <v>0.02</v>
      </c>
      <c r="AZ36" s="18">
        <v>0.209999993</v>
      </c>
      <c r="BA36" s="18">
        <v>2.9999998999999999E-2</v>
      </c>
      <c r="BB36" s="18">
        <v>0.36000001399999998</v>
      </c>
      <c r="BC36" s="18">
        <v>0.15999999600000001</v>
      </c>
      <c r="BD36" s="18">
        <v>2.9999998999999999E-2</v>
      </c>
      <c r="BE36" s="18">
        <v>5.0000001000000002E-2</v>
      </c>
      <c r="BF36" s="18">
        <v>0.02</v>
      </c>
      <c r="BG36" s="18">
        <v>0.310000002</v>
      </c>
      <c r="BH36" s="18">
        <v>0</v>
      </c>
      <c r="BI36" s="18">
        <v>9.0000003999999995E-2</v>
      </c>
      <c r="BJ36" s="18">
        <v>2.9999998999999999E-2</v>
      </c>
      <c r="BK36" s="18">
        <v>0</v>
      </c>
      <c r="BL36" s="18">
        <v>0</v>
      </c>
      <c r="BM36" s="18">
        <v>7.0000000000000007E-2</v>
      </c>
      <c r="BN36" s="18">
        <v>9.0000003999999995E-2</v>
      </c>
      <c r="BO36" s="18">
        <v>0</v>
      </c>
      <c r="BP36" s="18">
        <v>0.01</v>
      </c>
      <c r="BQ36" s="18">
        <v>0.10000000100000001</v>
      </c>
      <c r="BR36" s="18">
        <v>0.18000000699999999</v>
      </c>
      <c r="BS36" s="18">
        <v>7.0000000000000007E-2</v>
      </c>
      <c r="BT36" s="18">
        <v>0</v>
      </c>
      <c r="BU36" s="18">
        <v>5.9999998999999998E-2</v>
      </c>
      <c r="BV36" s="18">
        <v>0.02</v>
      </c>
      <c r="BW36" s="18">
        <v>0.28999999199999998</v>
      </c>
      <c r="BX36" s="18">
        <v>0.15000000599999999</v>
      </c>
      <c r="BY36" s="18">
        <v>0.30000001199999998</v>
      </c>
      <c r="BZ36" s="18">
        <v>7.0000000000000007E-2</v>
      </c>
      <c r="CA36" s="18">
        <v>0.01</v>
      </c>
      <c r="CB36" s="18">
        <v>0.189999998</v>
      </c>
      <c r="CC36" s="18">
        <v>0.02</v>
      </c>
      <c r="CD36" s="18">
        <v>0</v>
      </c>
      <c r="CE36" s="18">
        <v>0</v>
      </c>
      <c r="CF36" s="18">
        <v>0.10000000100000001</v>
      </c>
      <c r="CG36" s="18">
        <v>0</v>
      </c>
      <c r="CH36" s="18">
        <v>7.0000000000000007E-2</v>
      </c>
      <c r="CI36" s="18">
        <v>5.9999998999999998E-2</v>
      </c>
      <c r="CJ36" s="18">
        <v>0.02</v>
      </c>
      <c r="CK36" s="18">
        <v>0</v>
      </c>
      <c r="CL36" s="18">
        <v>0</v>
      </c>
      <c r="CM36" s="18">
        <v>0.02</v>
      </c>
      <c r="CN36" s="18">
        <v>5.9999998999999998E-2</v>
      </c>
      <c r="CO36" s="18">
        <v>0</v>
      </c>
      <c r="CP36" s="18">
        <v>0.439999998</v>
      </c>
      <c r="CQ36" s="18">
        <v>3.9999999000000001E-2</v>
      </c>
      <c r="CR36" s="18">
        <v>2.9999998999999999E-2</v>
      </c>
      <c r="CS36" s="18">
        <v>0</v>
      </c>
      <c r="CT36" s="18">
        <v>7.0000000000000007E-2</v>
      </c>
      <c r="CW36" s="227" t="s">
        <v>387</v>
      </c>
      <c r="CX36" s="5"/>
      <c r="CY36" s="80">
        <v>8</v>
      </c>
      <c r="CZ36" s="151">
        <f t="shared" si="67"/>
        <v>9.999999779999999E-2</v>
      </c>
      <c r="DA36" s="72">
        <f t="shared" si="46"/>
        <v>6.0000000666666671E-2</v>
      </c>
      <c r="DB36" s="260">
        <f t="shared" si="47"/>
        <v>2.6666666333333335E-2</v>
      </c>
      <c r="DC36" s="261">
        <f t="shared" si="48"/>
        <v>1.9999999333333334E-2</v>
      </c>
      <c r="DD36" s="154">
        <f t="shared" si="49"/>
        <v>0.176666672</v>
      </c>
      <c r="DE36" s="262">
        <f t="shared" si="50"/>
        <v>0.12428571742857142</v>
      </c>
      <c r="DF36" s="263">
        <f t="shared" si="51"/>
        <v>7.6666668666666674E-2</v>
      </c>
      <c r="DG36" s="264">
        <f t="shared" si="52"/>
        <v>0.10333333166666665</v>
      </c>
      <c r="DH36" s="265">
        <f t="shared" si="53"/>
        <v>0.50333334000000007</v>
      </c>
      <c r="DI36" s="266">
        <f t="shared" si="54"/>
        <v>0.30333333699999998</v>
      </c>
      <c r="DJ36" s="267">
        <f t="shared" si="55"/>
        <v>1.3333333333333334E-2</v>
      </c>
    </row>
    <row r="37" spans="1:114" x14ac:dyDescent="0.2">
      <c r="A37" s="3"/>
      <c r="B37" s="3" t="s">
        <v>8</v>
      </c>
      <c r="C37" s="3">
        <v>2</v>
      </c>
      <c r="D37" s="3">
        <v>2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0.119999997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0.64999997600000003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0.81999999300000004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0.63999998599999997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0.85000002399999997</v>
      </c>
      <c r="BX37" s="18">
        <v>0</v>
      </c>
      <c r="BY37" s="18">
        <v>0</v>
      </c>
      <c r="BZ37" s="18">
        <v>0</v>
      </c>
      <c r="CA37" s="18">
        <v>0.58999997400000004</v>
      </c>
      <c r="CB37" s="18">
        <v>0.83999997400000004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0.790000021</v>
      </c>
      <c r="CS37" s="18">
        <v>0</v>
      </c>
      <c r="CT37" s="18">
        <v>0</v>
      </c>
      <c r="CW37" s="227" t="s">
        <v>388</v>
      </c>
      <c r="CX37" s="5"/>
      <c r="CY37" s="80">
        <v>9</v>
      </c>
      <c r="CZ37" s="151">
        <f t="shared" si="67"/>
        <v>0</v>
      </c>
      <c r="DA37" s="72">
        <f t="shared" si="46"/>
        <v>0</v>
      </c>
      <c r="DB37" s="260">
        <f t="shared" si="47"/>
        <v>0</v>
      </c>
      <c r="DC37" s="261">
        <f t="shared" si="48"/>
        <v>0</v>
      </c>
      <c r="DD37" s="154">
        <f t="shared" si="49"/>
        <v>0</v>
      </c>
      <c r="DE37" s="262">
        <f t="shared" si="50"/>
        <v>0</v>
      </c>
      <c r="DF37" s="263">
        <f t="shared" si="51"/>
        <v>0</v>
      </c>
      <c r="DG37" s="264">
        <f t="shared" si="52"/>
        <v>0</v>
      </c>
      <c r="DH37" s="265">
        <f t="shared" si="53"/>
        <v>0</v>
      </c>
      <c r="DI37" s="266">
        <f t="shared" si="54"/>
        <v>0</v>
      </c>
      <c r="DJ37" s="267">
        <f t="shared" si="55"/>
        <v>0</v>
      </c>
    </row>
    <row r="38" spans="1:114" x14ac:dyDescent="0.2">
      <c r="A38" s="3"/>
      <c r="B38" s="3" t="s">
        <v>9</v>
      </c>
      <c r="C38" s="3">
        <v>1</v>
      </c>
      <c r="D38" s="3">
        <v>1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W38" s="227" t="s">
        <v>389</v>
      </c>
      <c r="CX38" s="5"/>
      <c r="CY38" s="80">
        <v>10</v>
      </c>
      <c r="CZ38" s="151">
        <f t="shared" si="67"/>
        <v>0</v>
      </c>
      <c r="DA38" s="72">
        <f t="shared" si="46"/>
        <v>0</v>
      </c>
      <c r="DB38" s="260">
        <f t="shared" si="47"/>
        <v>0</v>
      </c>
      <c r="DC38" s="261">
        <f t="shared" si="48"/>
        <v>0</v>
      </c>
      <c r="DD38" s="154">
        <f t="shared" si="49"/>
        <v>0</v>
      </c>
      <c r="DE38" s="262">
        <f t="shared" si="50"/>
        <v>0</v>
      </c>
      <c r="DF38" s="263">
        <f t="shared" si="51"/>
        <v>0</v>
      </c>
      <c r="DG38" s="264">
        <f t="shared" si="52"/>
        <v>0</v>
      </c>
      <c r="DH38" s="265">
        <f t="shared" si="53"/>
        <v>0</v>
      </c>
      <c r="DI38" s="266">
        <f t="shared" si="54"/>
        <v>0</v>
      </c>
      <c r="DJ38" s="267">
        <f t="shared" si="55"/>
        <v>0</v>
      </c>
    </row>
    <row r="39" spans="1:114" x14ac:dyDescent="0.2">
      <c r="A39" s="3"/>
      <c r="B39" s="3" t="s">
        <v>10</v>
      </c>
      <c r="C39" s="3">
        <v>2</v>
      </c>
      <c r="D39" s="3">
        <v>2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0.119999997</v>
      </c>
      <c r="AC39" s="18">
        <v>0.02</v>
      </c>
      <c r="AD39" s="18">
        <v>0.01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0.37000000500000002</v>
      </c>
      <c r="AW39" s="18">
        <v>0</v>
      </c>
      <c r="AX39" s="18">
        <v>0.01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0.17000000200000001</v>
      </c>
      <c r="BE39" s="18">
        <v>0.15000000599999999</v>
      </c>
      <c r="BF39" s="18">
        <v>0</v>
      </c>
      <c r="BG39" s="18">
        <v>0</v>
      </c>
      <c r="BH39" s="18">
        <v>0.01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0.14000000100000001</v>
      </c>
      <c r="BS39" s="18">
        <v>0</v>
      </c>
      <c r="BT39" s="18">
        <v>0</v>
      </c>
      <c r="BU39" s="18">
        <v>0</v>
      </c>
      <c r="BV39" s="18">
        <v>0</v>
      </c>
      <c r="BW39" s="18">
        <v>0.01</v>
      </c>
      <c r="BX39" s="18">
        <v>0</v>
      </c>
      <c r="BY39" s="18">
        <v>0</v>
      </c>
      <c r="BZ39" s="18">
        <v>0</v>
      </c>
      <c r="CA39" s="18">
        <v>0.540000021</v>
      </c>
      <c r="CB39" s="18">
        <v>0.12999999500000001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0.189999998</v>
      </c>
      <c r="CS39" s="18">
        <v>0</v>
      </c>
      <c r="CT39" s="18">
        <v>0</v>
      </c>
      <c r="CW39" s="228" t="s">
        <v>390</v>
      </c>
      <c r="CX39" s="5"/>
      <c r="CY39" s="80">
        <v>11</v>
      </c>
      <c r="CZ39" s="151">
        <f t="shared" si="67"/>
        <v>0</v>
      </c>
      <c r="DA39" s="72">
        <f t="shared" si="46"/>
        <v>0</v>
      </c>
      <c r="DB39" s="260">
        <f t="shared" si="47"/>
        <v>6.6666666666666671E-3</v>
      </c>
      <c r="DC39" s="261">
        <f t="shared" si="48"/>
        <v>0</v>
      </c>
      <c r="DD39" s="154">
        <f t="shared" si="49"/>
        <v>0</v>
      </c>
      <c r="DE39" s="262">
        <f t="shared" si="50"/>
        <v>0</v>
      </c>
      <c r="DF39" s="263">
        <f t="shared" si="51"/>
        <v>0</v>
      </c>
      <c r="DG39" s="264">
        <f t="shared" si="52"/>
        <v>3.3333333333333335E-3</v>
      </c>
      <c r="DH39" s="265">
        <f t="shared" si="53"/>
        <v>0</v>
      </c>
      <c r="DI39" s="266">
        <f t="shared" si="54"/>
        <v>0</v>
      </c>
      <c r="DJ39" s="267">
        <f t="shared" si="55"/>
        <v>0</v>
      </c>
    </row>
    <row r="40" spans="1:114" x14ac:dyDescent="0.2">
      <c r="A40" s="3"/>
      <c r="B40" s="3" t="s">
        <v>11</v>
      </c>
      <c r="C40" s="3">
        <v>1</v>
      </c>
      <c r="D40" s="3">
        <v>1</v>
      </c>
      <c r="E40" s="18">
        <v>0.04</v>
      </c>
      <c r="F40" s="18">
        <v>0</v>
      </c>
      <c r="G40" s="18">
        <v>0.05</v>
      </c>
      <c r="H40" s="18">
        <v>0</v>
      </c>
      <c r="I40" s="18">
        <v>0</v>
      </c>
      <c r="J40" s="18">
        <v>0.01</v>
      </c>
      <c r="K40" s="18">
        <v>0.04</v>
      </c>
      <c r="L40" s="18">
        <v>0.63</v>
      </c>
      <c r="M40" s="18">
        <v>0.02</v>
      </c>
      <c r="N40" s="18">
        <v>0.08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0.33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0.02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0.57999999999999996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0.02</v>
      </c>
      <c r="BX40" s="18">
        <v>0</v>
      </c>
      <c r="BY40" s="18">
        <v>0</v>
      </c>
      <c r="BZ40" s="18">
        <v>0</v>
      </c>
      <c r="CA40" s="18">
        <v>0.51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0.33</v>
      </c>
      <c r="CS40" s="18">
        <v>0</v>
      </c>
      <c r="CT40" s="18">
        <v>0</v>
      </c>
      <c r="CW40" s="228" t="s">
        <v>391</v>
      </c>
      <c r="CX40" s="5"/>
      <c r="CY40" s="80">
        <v>12</v>
      </c>
      <c r="CZ40" s="151">
        <f t="shared" si="67"/>
        <v>0</v>
      </c>
      <c r="DA40" s="72">
        <f t="shared" si="46"/>
        <v>0</v>
      </c>
      <c r="DB40" s="260">
        <f t="shared" si="47"/>
        <v>0</v>
      </c>
      <c r="DC40" s="261">
        <f t="shared" si="48"/>
        <v>0</v>
      </c>
      <c r="DD40" s="154">
        <f t="shared" si="49"/>
        <v>0</v>
      </c>
      <c r="DE40" s="262">
        <f t="shared" si="50"/>
        <v>2.8571428571428571E-3</v>
      </c>
      <c r="DF40" s="263">
        <f t="shared" si="51"/>
        <v>0</v>
      </c>
      <c r="DG40" s="264">
        <f t="shared" si="52"/>
        <v>0</v>
      </c>
      <c r="DH40" s="265">
        <f t="shared" si="53"/>
        <v>1.3333333333333334E-2</v>
      </c>
      <c r="DI40" s="266">
        <f t="shared" si="54"/>
        <v>2.3333333333333331E-2</v>
      </c>
      <c r="DJ40" s="267">
        <f t="shared" si="55"/>
        <v>0</v>
      </c>
    </row>
    <row r="41" spans="1:114" x14ac:dyDescent="0.2">
      <c r="A41" s="3"/>
      <c r="B41" s="3" t="s">
        <v>12</v>
      </c>
      <c r="C41" s="3">
        <v>2</v>
      </c>
      <c r="D41" s="3">
        <v>2</v>
      </c>
      <c r="E41" s="18">
        <v>9.9999997764800008E-3</v>
      </c>
      <c r="F41" s="18">
        <v>0</v>
      </c>
      <c r="G41" s="18">
        <v>0</v>
      </c>
      <c r="H41" s="18">
        <v>9.9999997764800008E-3</v>
      </c>
      <c r="I41" s="18">
        <v>2.99999993294E-2</v>
      </c>
      <c r="J41" s="18">
        <v>1.9999999553000001E-2</v>
      </c>
      <c r="K41" s="18">
        <v>9.9999997764800008E-3</v>
      </c>
      <c r="L41" s="18">
        <v>2.99999993294E-2</v>
      </c>
      <c r="M41" s="18">
        <v>0</v>
      </c>
      <c r="N41" s="18">
        <v>7.0000000298000006E-2</v>
      </c>
      <c r="O41" s="18">
        <v>9.9999997764800008E-3</v>
      </c>
      <c r="P41" s="18">
        <v>0</v>
      </c>
      <c r="Q41" s="18">
        <v>9.9999997764800008E-3</v>
      </c>
      <c r="R41" s="18">
        <v>0</v>
      </c>
      <c r="S41" s="18">
        <v>9.9999997764800008E-3</v>
      </c>
      <c r="T41" s="18">
        <v>9.9999997764800008E-3</v>
      </c>
      <c r="U41" s="18">
        <v>0</v>
      </c>
      <c r="V41" s="18">
        <v>9.9999997764800008E-3</v>
      </c>
      <c r="W41" s="18">
        <v>0</v>
      </c>
      <c r="X41" s="18">
        <v>9.9999997764800008E-3</v>
      </c>
      <c r="Y41" s="18">
        <v>0</v>
      </c>
      <c r="Z41" s="18">
        <v>0</v>
      </c>
      <c r="AA41" s="18">
        <v>3.9999999105899998E-2</v>
      </c>
      <c r="AB41" s="18">
        <v>7.0000000298000006E-2</v>
      </c>
      <c r="AC41" s="18">
        <v>9.9999997764800008E-3</v>
      </c>
      <c r="AD41" s="18">
        <v>0</v>
      </c>
      <c r="AE41" s="18">
        <v>1.9999999553000001E-2</v>
      </c>
      <c r="AF41" s="18">
        <v>0</v>
      </c>
      <c r="AG41" s="18">
        <v>9.9999997764800008E-3</v>
      </c>
      <c r="AH41" s="18">
        <v>0</v>
      </c>
      <c r="AI41" s="18">
        <v>0</v>
      </c>
      <c r="AJ41" s="18">
        <v>9.9999997764800008E-3</v>
      </c>
      <c r="AK41" s="18">
        <v>0</v>
      </c>
      <c r="AL41" s="18">
        <v>9.9999997764800008E-3</v>
      </c>
      <c r="AM41" s="18">
        <v>9.9999997764800008E-3</v>
      </c>
      <c r="AN41" s="18">
        <v>9.9999997764800008E-3</v>
      </c>
      <c r="AO41" s="18">
        <v>9.9999997764800008E-3</v>
      </c>
      <c r="AP41" s="18">
        <v>0.76999998092699995</v>
      </c>
      <c r="AQ41" s="18">
        <v>9.9999997764800008E-3</v>
      </c>
      <c r="AR41" s="18">
        <v>9.9999997764800008E-3</v>
      </c>
      <c r="AS41" s="18">
        <v>0</v>
      </c>
      <c r="AT41" s="18">
        <v>0</v>
      </c>
      <c r="AU41" s="18">
        <v>0</v>
      </c>
      <c r="AV41" s="18">
        <v>2.99999993294E-2</v>
      </c>
      <c r="AW41" s="18">
        <v>9.9999997764800008E-3</v>
      </c>
      <c r="AX41" s="18">
        <v>0</v>
      </c>
      <c r="AY41" s="18">
        <v>9.9999997764800008E-3</v>
      </c>
      <c r="AZ41" s="18">
        <v>0</v>
      </c>
      <c r="BA41" s="18">
        <v>0</v>
      </c>
      <c r="BB41" s="18">
        <v>0.40999999642399998</v>
      </c>
      <c r="BC41" s="18">
        <v>9.9999997764800008E-3</v>
      </c>
      <c r="BD41" s="18">
        <v>9.9999997764800008E-3</v>
      </c>
      <c r="BE41" s="18">
        <v>0</v>
      </c>
      <c r="BF41" s="18">
        <v>1.9999999553000001E-2</v>
      </c>
      <c r="BG41" s="18">
        <v>0</v>
      </c>
      <c r="BH41" s="18">
        <v>0</v>
      </c>
      <c r="BI41" s="18">
        <v>9.9999997764800008E-3</v>
      </c>
      <c r="BJ41" s="18">
        <v>9.9999997764800008E-3</v>
      </c>
      <c r="BK41" s="18">
        <v>0</v>
      </c>
      <c r="BL41" s="18">
        <v>2.99999993294E-2</v>
      </c>
      <c r="BM41" s="18">
        <v>3.9999999105899998E-2</v>
      </c>
      <c r="BN41" s="18">
        <v>9.9999997764800008E-3</v>
      </c>
      <c r="BO41" s="18">
        <v>0</v>
      </c>
      <c r="BP41" s="18">
        <v>9.9999997764800008E-3</v>
      </c>
      <c r="BQ41" s="18">
        <v>1.9999999553000001E-2</v>
      </c>
      <c r="BR41" s="18">
        <v>0.62999999523200001</v>
      </c>
      <c r="BS41" s="18">
        <v>0</v>
      </c>
      <c r="BT41" s="18">
        <v>0</v>
      </c>
      <c r="BU41" s="18">
        <v>9.9999997764800008E-3</v>
      </c>
      <c r="BV41" s="18">
        <v>0</v>
      </c>
      <c r="BW41" s="18">
        <v>0.46999999880799997</v>
      </c>
      <c r="BX41" s="18">
        <v>0</v>
      </c>
      <c r="BY41" s="18">
        <v>0.439999997616</v>
      </c>
      <c r="BZ41" s="18">
        <v>9.9999997764800008E-3</v>
      </c>
      <c r="CA41" s="18">
        <v>0.33000001311299998</v>
      </c>
      <c r="CB41" s="18">
        <v>0</v>
      </c>
      <c r="CC41" s="18">
        <v>0</v>
      </c>
      <c r="CD41" s="18">
        <v>0</v>
      </c>
      <c r="CE41" s="18">
        <v>9.9999997764800008E-3</v>
      </c>
      <c r="CF41" s="18">
        <v>0</v>
      </c>
      <c r="CG41" s="18">
        <v>0</v>
      </c>
      <c r="CH41" s="18">
        <v>2.99999993294E-2</v>
      </c>
      <c r="CI41" s="18">
        <v>0</v>
      </c>
      <c r="CJ41" s="18">
        <v>1.9999999553000001E-2</v>
      </c>
      <c r="CK41" s="18">
        <v>0</v>
      </c>
      <c r="CL41" s="18">
        <v>0</v>
      </c>
      <c r="CM41" s="18">
        <v>9.9999997764800008E-3</v>
      </c>
      <c r="CN41" s="18">
        <v>9.9999997764800008E-3</v>
      </c>
      <c r="CO41" s="18">
        <v>0</v>
      </c>
      <c r="CP41" s="18">
        <v>1.9999999553000001E-2</v>
      </c>
      <c r="CQ41" s="18">
        <v>9.9999997764800008E-3</v>
      </c>
      <c r="CR41" s="18">
        <v>7.99999982119E-2</v>
      </c>
      <c r="CS41" s="18">
        <v>9.9999997764800008E-3</v>
      </c>
      <c r="CT41" s="18">
        <v>2.99999993294E-2</v>
      </c>
      <c r="CW41" s="228" t="s">
        <v>392</v>
      </c>
      <c r="CX41" s="5"/>
      <c r="CY41" s="80">
        <v>13</v>
      </c>
      <c r="CZ41" s="151">
        <f t="shared" si="67"/>
        <v>5.9999998658880008E-3</v>
      </c>
      <c r="DA41" s="72">
        <f t="shared" si="46"/>
        <v>9.9999997764933339E-3</v>
      </c>
      <c r="DB41" s="260">
        <f t="shared" si="47"/>
        <v>3.3333332588266671E-3</v>
      </c>
      <c r="DC41" s="261">
        <f t="shared" si="48"/>
        <v>3.3333332588266671E-3</v>
      </c>
      <c r="DD41" s="154">
        <f t="shared" si="49"/>
        <v>0</v>
      </c>
      <c r="DE41" s="262">
        <f t="shared" si="50"/>
        <v>0.12571428476706287</v>
      </c>
      <c r="DF41" s="263">
        <f t="shared" si="51"/>
        <v>6.6666665176533342E-3</v>
      </c>
      <c r="DG41" s="264">
        <f t="shared" si="52"/>
        <v>1.3333333035293334E-2</v>
      </c>
      <c r="DH41" s="265">
        <f t="shared" si="53"/>
        <v>6.6666665176533342E-3</v>
      </c>
      <c r="DI41" s="266">
        <f t="shared" si="54"/>
        <v>9.9999997764933339E-3</v>
      </c>
      <c r="DJ41" s="267">
        <f t="shared" si="55"/>
        <v>6.6666665176533342E-3</v>
      </c>
    </row>
    <row r="42" spans="1:114" x14ac:dyDescent="0.2">
      <c r="A42" s="3"/>
      <c r="B42" s="3" t="s">
        <v>13</v>
      </c>
      <c r="C42" s="3">
        <v>1</v>
      </c>
      <c r="D42" s="3">
        <v>1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9.9999997764800008E-3</v>
      </c>
      <c r="Y42" s="18">
        <v>0</v>
      </c>
      <c r="Z42" s="18">
        <v>0</v>
      </c>
      <c r="AA42" s="18">
        <v>0</v>
      </c>
      <c r="AB42" s="18">
        <v>0</v>
      </c>
      <c r="AC42" s="18">
        <v>9.9999997764800008E-3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9.9999997764800008E-3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9.9999997764800008E-3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9.9999997764800008E-3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W42" s="228" t="s">
        <v>393</v>
      </c>
      <c r="CX42" s="5"/>
      <c r="CY42" s="80">
        <v>14</v>
      </c>
      <c r="CZ42" s="151">
        <f t="shared" si="67"/>
        <v>0</v>
      </c>
      <c r="DA42" s="72">
        <f t="shared" si="46"/>
        <v>3.3333332588266671E-3</v>
      </c>
      <c r="DB42" s="260">
        <f t="shared" si="47"/>
        <v>3.3333332588266671E-3</v>
      </c>
      <c r="DC42" s="261">
        <f t="shared" si="48"/>
        <v>0</v>
      </c>
      <c r="DD42" s="154">
        <f t="shared" si="49"/>
        <v>0</v>
      </c>
      <c r="DE42" s="262">
        <f t="shared" si="50"/>
        <v>0</v>
      </c>
      <c r="DF42" s="263">
        <f t="shared" si="51"/>
        <v>1.6666666294133335E-3</v>
      </c>
      <c r="DG42" s="264">
        <f t="shared" si="52"/>
        <v>0</v>
      </c>
      <c r="DH42" s="265">
        <f t="shared" si="53"/>
        <v>0</v>
      </c>
      <c r="DI42" s="266">
        <f t="shared" si="54"/>
        <v>0</v>
      </c>
      <c r="DJ42" s="267">
        <f t="shared" si="55"/>
        <v>0</v>
      </c>
    </row>
    <row r="43" spans="1:114" x14ac:dyDescent="0.2">
      <c r="A43" s="3"/>
      <c r="B43" s="3" t="s">
        <v>14</v>
      </c>
      <c r="C43" s="3">
        <v>2</v>
      </c>
      <c r="D43" s="3">
        <v>2</v>
      </c>
      <c r="E43" s="18">
        <v>0</v>
      </c>
      <c r="F43" s="18">
        <v>0</v>
      </c>
      <c r="G43" s="18">
        <v>0</v>
      </c>
      <c r="H43" s="18">
        <v>9.0000003999999995E-2</v>
      </c>
      <c r="I43" s="18">
        <v>0.23000000400000001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0.01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0.18000000699999999</v>
      </c>
      <c r="AO43" s="18">
        <v>0</v>
      </c>
      <c r="AP43" s="18">
        <v>0.20000000300000001</v>
      </c>
      <c r="AQ43" s="18">
        <v>0</v>
      </c>
      <c r="AR43" s="18">
        <v>0</v>
      </c>
      <c r="AS43" s="18">
        <v>9.0000003999999995E-2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0.10000000100000001</v>
      </c>
      <c r="BC43" s="18">
        <v>0</v>
      </c>
      <c r="BD43" s="18">
        <v>0</v>
      </c>
      <c r="BE43" s="18">
        <v>0</v>
      </c>
      <c r="BF43" s="18">
        <v>0</v>
      </c>
      <c r="BG43" s="18">
        <v>0.31999999299999998</v>
      </c>
      <c r="BH43" s="18">
        <v>0</v>
      </c>
      <c r="BI43" s="18">
        <v>0</v>
      </c>
      <c r="BJ43" s="18">
        <v>5.9999998999999998E-2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0.37999999499999998</v>
      </c>
      <c r="BS43" s="18">
        <v>0</v>
      </c>
      <c r="BT43" s="18">
        <v>0.12999999500000001</v>
      </c>
      <c r="BU43" s="18">
        <v>0</v>
      </c>
      <c r="BV43" s="18">
        <v>0</v>
      </c>
      <c r="BW43" s="18">
        <v>0.34999999399999998</v>
      </c>
      <c r="BX43" s="18">
        <v>0</v>
      </c>
      <c r="BY43" s="18">
        <v>0</v>
      </c>
      <c r="BZ43" s="18">
        <v>0</v>
      </c>
      <c r="CA43" s="18">
        <v>0.43000000700000002</v>
      </c>
      <c r="CB43" s="18">
        <v>0.280000001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0.12999999500000001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0.34000000400000002</v>
      </c>
      <c r="CS43" s="18">
        <v>0</v>
      </c>
      <c r="CT43" s="18">
        <v>0</v>
      </c>
      <c r="CW43" s="229" t="s">
        <v>394</v>
      </c>
      <c r="CX43" s="5"/>
      <c r="CY43" s="80">
        <v>15</v>
      </c>
      <c r="CZ43" s="151">
        <f t="shared" si="67"/>
        <v>2E-3</v>
      </c>
      <c r="DA43" s="72">
        <f t="shared" si="46"/>
        <v>0</v>
      </c>
      <c r="DB43" s="260">
        <f t="shared" si="47"/>
        <v>0</v>
      </c>
      <c r="DC43" s="261">
        <f t="shared" si="48"/>
        <v>3.0000001333333332E-2</v>
      </c>
      <c r="DD43" s="154">
        <f t="shared" si="49"/>
        <v>0</v>
      </c>
      <c r="DE43" s="262">
        <f t="shared" si="50"/>
        <v>1.428571442857143E-2</v>
      </c>
      <c r="DF43" s="263">
        <f t="shared" si="51"/>
        <v>3.0000001166666665E-2</v>
      </c>
      <c r="DG43" s="264">
        <f t="shared" si="52"/>
        <v>7.6666668000000007E-2</v>
      </c>
      <c r="DH43" s="265">
        <f t="shared" si="53"/>
        <v>3.0000001333333332E-2</v>
      </c>
      <c r="DI43" s="266">
        <f t="shared" si="54"/>
        <v>0</v>
      </c>
      <c r="DJ43" s="267">
        <f t="shared" si="55"/>
        <v>0</v>
      </c>
    </row>
    <row r="44" spans="1:114" x14ac:dyDescent="0.2">
      <c r="A44" s="3"/>
      <c r="B44" s="3" t="s">
        <v>15</v>
      </c>
      <c r="C44" s="3">
        <v>1</v>
      </c>
      <c r="D44" s="3">
        <v>1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0.01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0.01</v>
      </c>
      <c r="BN44" s="18">
        <v>0</v>
      </c>
      <c r="BO44" s="18">
        <v>0.01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0.519999981</v>
      </c>
      <c r="CB44" s="18">
        <v>0</v>
      </c>
      <c r="CC44" s="18">
        <v>0</v>
      </c>
      <c r="CD44" s="18">
        <v>0.01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7.9999998000000003E-2</v>
      </c>
      <c r="CS44" s="18">
        <v>0</v>
      </c>
      <c r="CT44" s="18">
        <v>0</v>
      </c>
      <c r="CW44" s="229" t="s">
        <v>395</v>
      </c>
      <c r="CX44" s="5"/>
      <c r="CY44" s="80">
        <v>16</v>
      </c>
      <c r="CZ44" s="151">
        <f t="shared" si="67"/>
        <v>0</v>
      </c>
      <c r="DA44" s="72">
        <f t="shared" si="46"/>
        <v>3.3333333333333335E-3</v>
      </c>
      <c r="DB44" s="260">
        <f t="shared" si="47"/>
        <v>0</v>
      </c>
      <c r="DC44" s="261">
        <f t="shared" si="48"/>
        <v>0</v>
      </c>
      <c r="DD44" s="154">
        <f t="shared" si="49"/>
        <v>0</v>
      </c>
      <c r="DE44" s="262">
        <f t="shared" si="50"/>
        <v>0</v>
      </c>
      <c r="DF44" s="263">
        <f t="shared" si="51"/>
        <v>0</v>
      </c>
      <c r="DG44" s="264">
        <f t="shared" si="52"/>
        <v>0</v>
      </c>
      <c r="DH44" s="265">
        <f t="shared" si="53"/>
        <v>0</v>
      </c>
      <c r="DI44" s="266">
        <f t="shared" si="54"/>
        <v>0</v>
      </c>
      <c r="DJ44" s="267">
        <f t="shared" si="55"/>
        <v>0</v>
      </c>
    </row>
    <row r="45" spans="1:114" x14ac:dyDescent="0.2">
      <c r="A45" s="19"/>
      <c r="B45" s="3" t="s">
        <v>16</v>
      </c>
      <c r="C45" s="3">
        <v>2</v>
      </c>
      <c r="D45" s="3">
        <v>2</v>
      </c>
      <c r="E45">
        <v>0.86</v>
      </c>
      <c r="F45">
        <v>1</v>
      </c>
      <c r="G45">
        <v>0</v>
      </c>
      <c r="H45">
        <v>0.41</v>
      </c>
      <c r="I45">
        <v>0.03</v>
      </c>
      <c r="J45">
        <v>1</v>
      </c>
      <c r="K45">
        <v>0.56999999999999995</v>
      </c>
      <c r="L45">
        <v>1</v>
      </c>
      <c r="M45">
        <v>0.8</v>
      </c>
      <c r="N45">
        <v>0</v>
      </c>
      <c r="O45">
        <v>0.8</v>
      </c>
      <c r="P45">
        <v>0.22</v>
      </c>
      <c r="Q45">
        <v>0.81</v>
      </c>
      <c r="R45">
        <v>0.02</v>
      </c>
      <c r="S45">
        <v>0</v>
      </c>
      <c r="T45">
        <v>0.38</v>
      </c>
      <c r="U45">
        <v>0.08</v>
      </c>
      <c r="V45">
        <v>0.28000000000000003</v>
      </c>
      <c r="W45">
        <v>0.2</v>
      </c>
      <c r="X45">
        <v>0.02</v>
      </c>
      <c r="Y45">
        <v>0.06</v>
      </c>
      <c r="Z45">
        <v>0.36</v>
      </c>
      <c r="AA45">
        <v>0.4</v>
      </c>
      <c r="AB45">
        <v>0.02</v>
      </c>
      <c r="AC45">
        <v>0.4</v>
      </c>
      <c r="AD45">
        <v>0.02</v>
      </c>
      <c r="AE45">
        <v>0.04</v>
      </c>
      <c r="AF45">
        <v>0</v>
      </c>
      <c r="AG45">
        <v>0.2</v>
      </c>
      <c r="AH45">
        <v>0.1</v>
      </c>
      <c r="AI45">
        <v>0</v>
      </c>
      <c r="AJ45">
        <v>7.0000000000000007E-2</v>
      </c>
      <c r="AK45">
        <v>0</v>
      </c>
      <c r="AL45">
        <v>0.5</v>
      </c>
      <c r="AM45">
        <v>0.7</v>
      </c>
      <c r="AN45">
        <v>0</v>
      </c>
      <c r="AO45">
        <v>0</v>
      </c>
      <c r="AP45">
        <v>0</v>
      </c>
      <c r="AQ45">
        <v>0.08</v>
      </c>
      <c r="AR45">
        <v>0</v>
      </c>
      <c r="AS45">
        <v>0.47</v>
      </c>
      <c r="AT45">
        <v>0.82</v>
      </c>
      <c r="AU45">
        <v>0.38</v>
      </c>
      <c r="AV45">
        <v>0.3</v>
      </c>
      <c r="AW45">
        <v>0.03</v>
      </c>
      <c r="AX45">
        <v>0.03</v>
      </c>
      <c r="AY45">
        <v>0</v>
      </c>
      <c r="AZ45">
        <v>0</v>
      </c>
      <c r="BA45">
        <v>0.11</v>
      </c>
      <c r="BB45">
        <v>0.01</v>
      </c>
      <c r="BC45">
        <v>0.1</v>
      </c>
      <c r="BD45">
        <v>0.03</v>
      </c>
      <c r="BE45">
        <v>0.02</v>
      </c>
      <c r="BF45">
        <v>0.03</v>
      </c>
      <c r="BG45">
        <v>0</v>
      </c>
      <c r="BH45">
        <v>0.03</v>
      </c>
      <c r="BI45">
        <v>0.04</v>
      </c>
      <c r="BJ45">
        <v>0</v>
      </c>
      <c r="BK45">
        <v>0.89</v>
      </c>
      <c r="BL45">
        <v>0.17</v>
      </c>
      <c r="BM45">
        <v>0</v>
      </c>
      <c r="BN45">
        <v>0</v>
      </c>
      <c r="BO45">
        <v>0.03</v>
      </c>
      <c r="BP45">
        <v>0.55000000000000004</v>
      </c>
      <c r="BQ45">
        <v>0</v>
      </c>
      <c r="BR45">
        <v>0</v>
      </c>
      <c r="BS45">
        <v>0</v>
      </c>
      <c r="BT45">
        <v>0</v>
      </c>
      <c r="BU45">
        <v>0.14000000000000001</v>
      </c>
      <c r="BV45">
        <v>0.05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0.02</v>
      </c>
      <c r="CE45">
        <v>0.71</v>
      </c>
      <c r="CF45">
        <v>0</v>
      </c>
      <c r="CG45">
        <v>0</v>
      </c>
      <c r="CH45">
        <v>0.5</v>
      </c>
      <c r="CI45">
        <v>0</v>
      </c>
      <c r="CJ45">
        <v>0</v>
      </c>
      <c r="CK45">
        <v>0.03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0.05</v>
      </c>
      <c r="CT45">
        <v>0</v>
      </c>
      <c r="CW45" s="229" t="s">
        <v>396</v>
      </c>
      <c r="CX45" s="5"/>
      <c r="CY45" s="80">
        <v>17</v>
      </c>
      <c r="CZ45" s="151">
        <f t="shared" si="67"/>
        <v>0.22200000000000003</v>
      </c>
      <c r="DA45" s="72">
        <f t="shared" si="46"/>
        <v>0.20333333333333337</v>
      </c>
      <c r="DB45" s="260">
        <f t="shared" si="47"/>
        <v>0.52666666666666673</v>
      </c>
      <c r="DC45" s="261">
        <f t="shared" si="48"/>
        <v>0.26</v>
      </c>
      <c r="DD45" s="154">
        <f t="shared" si="49"/>
        <v>0.10666666666666667</v>
      </c>
      <c r="DE45" s="262">
        <f t="shared" si="50"/>
        <v>0.22714285714285712</v>
      </c>
      <c r="DF45" s="263">
        <f t="shared" si="51"/>
        <v>0.11833333333333333</v>
      </c>
      <c r="DG45" s="264">
        <f t="shared" si="52"/>
        <v>0.28333333333333338</v>
      </c>
      <c r="DH45" s="265">
        <f t="shared" si="53"/>
        <v>0.75666666666666671</v>
      </c>
      <c r="DI45" s="266">
        <f t="shared" si="54"/>
        <v>0.79</v>
      </c>
      <c r="DJ45" s="267">
        <f t="shared" si="55"/>
        <v>0</v>
      </c>
    </row>
    <row r="46" spans="1:114" x14ac:dyDescent="0.2">
      <c r="A46" s="3"/>
      <c r="B46" s="3" t="s">
        <v>17</v>
      </c>
      <c r="C46" s="3">
        <v>1</v>
      </c>
      <c r="D46" s="3">
        <v>1</v>
      </c>
      <c r="E46" s="18">
        <v>0</v>
      </c>
      <c r="F46" s="18">
        <v>0.01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0.02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0.01</v>
      </c>
      <c r="S46" s="18">
        <v>0</v>
      </c>
      <c r="T46" s="18">
        <v>0</v>
      </c>
      <c r="U46" s="18">
        <v>0.31999999299999998</v>
      </c>
      <c r="V46" s="18">
        <v>0</v>
      </c>
      <c r="W46" s="18">
        <v>0.01</v>
      </c>
      <c r="X46" s="18">
        <v>0.01</v>
      </c>
      <c r="Y46" s="18">
        <v>0</v>
      </c>
      <c r="Z46" s="18">
        <v>0.01</v>
      </c>
      <c r="AA46" s="18">
        <v>0</v>
      </c>
      <c r="AB46" s="18">
        <v>0</v>
      </c>
      <c r="AC46" s="18">
        <v>0.01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0.01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0.01</v>
      </c>
      <c r="AU46" s="18">
        <v>0</v>
      </c>
      <c r="AV46" s="18">
        <v>0.02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0.01</v>
      </c>
      <c r="BI46" s="18">
        <v>0</v>
      </c>
      <c r="BJ46" s="18">
        <v>0</v>
      </c>
      <c r="BK46" s="18">
        <v>0.01</v>
      </c>
      <c r="BL46" s="18">
        <v>0</v>
      </c>
      <c r="BM46" s="18">
        <v>0.01</v>
      </c>
      <c r="BN46" s="18">
        <v>0</v>
      </c>
      <c r="BO46" s="18">
        <v>0.01</v>
      </c>
      <c r="BP46" s="18">
        <v>0.02</v>
      </c>
      <c r="BQ46" s="18">
        <v>0</v>
      </c>
      <c r="BR46" s="18">
        <v>0.15000000599999999</v>
      </c>
      <c r="BS46" s="18">
        <v>0</v>
      </c>
      <c r="BT46" s="18">
        <v>0.01</v>
      </c>
      <c r="BU46" s="18">
        <v>0</v>
      </c>
      <c r="BV46" s="18">
        <v>0.01</v>
      </c>
      <c r="BW46" s="18">
        <v>0.109999999</v>
      </c>
      <c r="BX46" s="18">
        <v>0</v>
      </c>
      <c r="BY46" s="18">
        <v>0</v>
      </c>
      <c r="BZ46" s="18">
        <v>0</v>
      </c>
      <c r="CA46" s="18">
        <v>0.02</v>
      </c>
      <c r="CB46" s="18">
        <v>0</v>
      </c>
      <c r="CC46" s="18">
        <v>0.01</v>
      </c>
      <c r="CD46" s="18">
        <v>0.01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0.01</v>
      </c>
      <c r="CM46" s="18">
        <v>0</v>
      </c>
      <c r="CN46" s="18">
        <v>0.02</v>
      </c>
      <c r="CO46" s="18">
        <v>0.01</v>
      </c>
      <c r="CP46" s="18">
        <v>0</v>
      </c>
      <c r="CQ46" s="18">
        <v>0</v>
      </c>
      <c r="CR46" s="18">
        <v>0</v>
      </c>
      <c r="CS46" s="18">
        <v>0</v>
      </c>
      <c r="CT46" s="18">
        <v>0.02</v>
      </c>
      <c r="CW46" s="229" t="s">
        <v>397</v>
      </c>
      <c r="CX46" s="5"/>
      <c r="CY46" s="80">
        <v>18</v>
      </c>
      <c r="CZ46" s="151">
        <f t="shared" si="67"/>
        <v>2E-3</v>
      </c>
      <c r="DA46" s="72">
        <f t="shared" si="46"/>
        <v>0.01</v>
      </c>
      <c r="DB46" s="260">
        <f t="shared" si="47"/>
        <v>0.01</v>
      </c>
      <c r="DC46" s="261">
        <f t="shared" si="48"/>
        <v>0</v>
      </c>
      <c r="DD46" s="154">
        <f t="shared" si="49"/>
        <v>0</v>
      </c>
      <c r="DE46" s="262">
        <f t="shared" si="50"/>
        <v>2.8571428571428571E-3</v>
      </c>
      <c r="DF46" s="263">
        <f t="shared" si="51"/>
        <v>1.6666666666666668E-3</v>
      </c>
      <c r="DG46" s="264">
        <f t="shared" si="52"/>
        <v>0</v>
      </c>
      <c r="DH46" s="265">
        <f t="shared" si="53"/>
        <v>3.3333333333333335E-3</v>
      </c>
      <c r="DI46" s="266">
        <f t="shared" si="54"/>
        <v>0</v>
      </c>
      <c r="DJ46" s="267">
        <f t="shared" si="55"/>
        <v>0</v>
      </c>
    </row>
    <row r="47" spans="1:114" x14ac:dyDescent="0.2">
      <c r="A47" s="3"/>
      <c r="B47" s="3" t="s">
        <v>18</v>
      </c>
      <c r="C47" s="3">
        <v>2</v>
      </c>
      <c r="D47" s="3">
        <v>2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0.109999999404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3.9999999105899998E-2</v>
      </c>
      <c r="BS47" s="18">
        <v>0</v>
      </c>
      <c r="BT47" s="18">
        <v>0</v>
      </c>
      <c r="BU47" s="18">
        <v>0</v>
      </c>
      <c r="BV47" s="18">
        <v>0</v>
      </c>
      <c r="BW47" s="18">
        <v>3.9999999105899998E-2</v>
      </c>
      <c r="BX47" s="18">
        <v>0</v>
      </c>
      <c r="BY47" s="18">
        <v>0</v>
      </c>
      <c r="BZ47" s="18">
        <v>0</v>
      </c>
      <c r="CA47" s="18">
        <v>0</v>
      </c>
      <c r="CB47" s="18">
        <v>0.14000000059600001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0.109999999404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W47" s="230" t="s">
        <v>398</v>
      </c>
      <c r="CX47" s="5"/>
      <c r="CY47" s="80">
        <v>19</v>
      </c>
      <c r="CZ47" s="151">
        <f t="shared" si="67"/>
        <v>0</v>
      </c>
      <c r="DA47" s="72">
        <f t="shared" si="46"/>
        <v>0</v>
      </c>
      <c r="DB47" s="260">
        <f t="shared" si="47"/>
        <v>3.6666666468E-2</v>
      </c>
      <c r="DC47" s="261">
        <f t="shared" si="48"/>
        <v>0</v>
      </c>
      <c r="DD47" s="154">
        <f t="shared" si="49"/>
        <v>0</v>
      </c>
      <c r="DE47" s="262">
        <f t="shared" si="50"/>
        <v>0</v>
      </c>
      <c r="DF47" s="263">
        <f t="shared" si="51"/>
        <v>0</v>
      </c>
      <c r="DG47" s="264">
        <f t="shared" si="52"/>
        <v>0</v>
      </c>
      <c r="DH47" s="265">
        <f t="shared" si="53"/>
        <v>0</v>
      </c>
      <c r="DI47" s="266">
        <f t="shared" si="54"/>
        <v>0</v>
      </c>
      <c r="DJ47" s="267">
        <f t="shared" si="55"/>
        <v>0</v>
      </c>
    </row>
    <row r="48" spans="1:114" ht="16" thickBot="1" x14ac:dyDescent="0.25">
      <c r="A48" s="3"/>
      <c r="B48" s="3" t="s">
        <v>19</v>
      </c>
      <c r="C48" s="3">
        <v>1</v>
      </c>
      <c r="D48" s="3">
        <v>1</v>
      </c>
      <c r="E48" s="18">
        <v>5.9999998999999998E-2</v>
      </c>
      <c r="F48" s="18">
        <v>0</v>
      </c>
      <c r="G48" s="18">
        <v>0</v>
      </c>
      <c r="H48" s="18">
        <v>5.0000001000000002E-2</v>
      </c>
      <c r="I48" s="18">
        <v>2.9999998999999999E-2</v>
      </c>
      <c r="J48" s="18">
        <v>0</v>
      </c>
      <c r="K48" s="18">
        <v>0</v>
      </c>
      <c r="L48" s="18">
        <v>0.01</v>
      </c>
      <c r="M48" s="18">
        <v>0</v>
      </c>
      <c r="N48" s="18">
        <v>0</v>
      </c>
      <c r="O48" s="18">
        <v>0</v>
      </c>
      <c r="P48" s="18">
        <v>3.9999999000000001E-2</v>
      </c>
      <c r="Q48" s="18">
        <v>2.9999998999999999E-2</v>
      </c>
      <c r="R48" s="18">
        <v>0</v>
      </c>
      <c r="S48" s="18">
        <v>0.02</v>
      </c>
      <c r="T48" s="18">
        <v>0.02</v>
      </c>
      <c r="U48" s="18">
        <v>0.01</v>
      </c>
      <c r="V48" s="18">
        <v>0.01</v>
      </c>
      <c r="W48" s="18">
        <v>0</v>
      </c>
      <c r="X48" s="18">
        <v>0</v>
      </c>
      <c r="Y48" s="18">
        <v>0</v>
      </c>
      <c r="Z48" s="18">
        <v>3.9999999000000001E-2</v>
      </c>
      <c r="AA48" s="18">
        <v>0.02</v>
      </c>
      <c r="AB48" s="18">
        <v>7.9999998000000003E-2</v>
      </c>
      <c r="AC48" s="18">
        <v>0.01</v>
      </c>
      <c r="AD48" s="18">
        <v>0</v>
      </c>
      <c r="AE48" s="18">
        <v>0.01</v>
      </c>
      <c r="AF48" s="18">
        <v>0</v>
      </c>
      <c r="AG48" s="18">
        <v>0.01</v>
      </c>
      <c r="AH48" s="18">
        <v>5.9999998999999998E-2</v>
      </c>
      <c r="AI48" s="18">
        <v>2.9999998999999999E-2</v>
      </c>
      <c r="AJ48" s="18">
        <v>9.0000003999999995E-2</v>
      </c>
      <c r="AK48" s="18">
        <v>0.01</v>
      </c>
      <c r="AL48" s="18">
        <v>0.01</v>
      </c>
      <c r="AM48" s="18">
        <v>0</v>
      </c>
      <c r="AN48" s="18">
        <v>0</v>
      </c>
      <c r="AO48" s="18">
        <v>0</v>
      </c>
      <c r="AP48" s="18">
        <v>0.209999993</v>
      </c>
      <c r="AQ48" s="18">
        <v>0</v>
      </c>
      <c r="AR48" s="18">
        <v>0</v>
      </c>
      <c r="AS48" s="18">
        <v>2.9999998999999999E-2</v>
      </c>
      <c r="AT48" s="18">
        <v>0</v>
      </c>
      <c r="AU48" s="18">
        <v>0</v>
      </c>
      <c r="AV48" s="18">
        <v>2.9999998999999999E-2</v>
      </c>
      <c r="AW48" s="18">
        <v>0</v>
      </c>
      <c r="AX48" s="18">
        <v>0.01</v>
      </c>
      <c r="AY48" s="18">
        <v>0.02</v>
      </c>
      <c r="AZ48" s="18">
        <v>0</v>
      </c>
      <c r="BA48" s="18">
        <v>0</v>
      </c>
      <c r="BB48" s="18">
        <v>2.9999998999999999E-2</v>
      </c>
      <c r="BC48" s="18">
        <v>0</v>
      </c>
      <c r="BD48" s="18">
        <v>5.0000001000000002E-2</v>
      </c>
      <c r="BE48" s="18">
        <v>0.02</v>
      </c>
      <c r="BF48" s="18">
        <v>0.01</v>
      </c>
      <c r="BG48" s="18">
        <v>0.10000000100000001</v>
      </c>
      <c r="BH48" s="18">
        <v>0</v>
      </c>
      <c r="BI48" s="18">
        <v>3.9999999000000001E-2</v>
      </c>
      <c r="BJ48" s="18">
        <v>0.02</v>
      </c>
      <c r="BK48" s="18">
        <v>0.01</v>
      </c>
      <c r="BL48" s="18">
        <v>0</v>
      </c>
      <c r="BM48" s="18">
        <v>0.02</v>
      </c>
      <c r="BN48" s="18">
        <v>0.02</v>
      </c>
      <c r="BO48" s="18">
        <v>5.9999998999999998E-2</v>
      </c>
      <c r="BP48" s="18">
        <v>0</v>
      </c>
      <c r="BQ48" s="18">
        <v>0</v>
      </c>
      <c r="BR48" s="18">
        <v>2.9999998999999999E-2</v>
      </c>
      <c r="BS48" s="18">
        <v>0.01</v>
      </c>
      <c r="BT48" s="18">
        <v>0</v>
      </c>
      <c r="BU48" s="18">
        <v>0</v>
      </c>
      <c r="BV48" s="18">
        <v>0.01</v>
      </c>
      <c r="BW48" s="18">
        <v>0.02</v>
      </c>
      <c r="BX48" s="18">
        <v>0.119999997</v>
      </c>
      <c r="BY48" s="18">
        <v>0</v>
      </c>
      <c r="BZ48" s="18">
        <v>0</v>
      </c>
      <c r="CA48" s="18">
        <v>3.9999999000000001E-2</v>
      </c>
      <c r="CB48" s="18">
        <v>7.9999998000000003E-2</v>
      </c>
      <c r="CC48" s="18">
        <v>0.01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7.9999998000000003E-2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2.9999998999999999E-2</v>
      </c>
      <c r="CS48" s="18">
        <v>0.02</v>
      </c>
      <c r="CT48" s="18">
        <v>0</v>
      </c>
      <c r="CW48" s="230" t="s">
        <v>399</v>
      </c>
      <c r="CX48" s="5"/>
      <c r="CY48" s="80">
        <v>20</v>
      </c>
      <c r="CZ48" s="151">
        <f t="shared" si="67"/>
        <v>5.9999998000000001E-3</v>
      </c>
      <c r="DA48" s="72">
        <f t="shared" si="46"/>
        <v>3.3333333333333335E-3</v>
      </c>
      <c r="DB48" s="260">
        <f t="shared" si="47"/>
        <v>1.6666666333333333E-2</v>
      </c>
      <c r="DC48" s="261">
        <f t="shared" si="48"/>
        <v>1.3333333000000001E-2</v>
      </c>
      <c r="DD48" s="154">
        <f t="shared" si="49"/>
        <v>7.3333331666666668E-2</v>
      </c>
      <c r="DE48" s="262">
        <f t="shared" si="50"/>
        <v>5.7142855714285715E-3</v>
      </c>
      <c r="DF48" s="263">
        <f t="shared" si="51"/>
        <v>0</v>
      </c>
      <c r="DG48" s="264">
        <f t="shared" si="52"/>
        <v>9.9999996666666671E-3</v>
      </c>
      <c r="DH48" s="265">
        <f t="shared" si="53"/>
        <v>3.6666666666666667E-2</v>
      </c>
      <c r="DI48" s="266">
        <f t="shared" si="54"/>
        <v>0</v>
      </c>
      <c r="DJ48" s="267">
        <f t="shared" si="55"/>
        <v>1.6666666333333333E-2</v>
      </c>
    </row>
    <row r="49" spans="1:128" s="6" customFormat="1" ht="16" thickBot="1" x14ac:dyDescent="0.25">
      <c r="A49" s="4"/>
      <c r="B49" s="4" t="s">
        <v>52</v>
      </c>
      <c r="C49" s="4"/>
      <c r="D49" s="4"/>
      <c r="E49" s="6">
        <f t="shared" ref="E49:AJ49" si="68">AVERAGE(E29:E48)</f>
        <v>9.6999999860023986E-2</v>
      </c>
      <c r="F49" s="6">
        <f t="shared" si="68"/>
        <v>0.1015000005288</v>
      </c>
      <c r="G49" s="6">
        <f t="shared" si="68"/>
        <v>2.5000000907649998E-2</v>
      </c>
      <c r="H49" s="6">
        <f t="shared" si="68"/>
        <v>4.1500000788823994E-2</v>
      </c>
      <c r="I49" s="6">
        <f t="shared" si="68"/>
        <v>2.6500000005294001E-2</v>
      </c>
      <c r="J49" s="6">
        <f t="shared" si="68"/>
        <v>7.4999999919999991E-2</v>
      </c>
      <c r="K49" s="6">
        <f t="shared" si="68"/>
        <v>6.4000000163323995E-2</v>
      </c>
      <c r="L49" s="6">
        <f t="shared" si="68"/>
        <v>8.7999999966469997E-2</v>
      </c>
      <c r="M49" s="6">
        <f t="shared" si="68"/>
        <v>5.2500000138823999E-2</v>
      </c>
      <c r="N49" s="6">
        <f t="shared" si="68"/>
        <v>1.4500000181374002E-2</v>
      </c>
      <c r="O49" s="6">
        <f t="shared" si="68"/>
        <v>6.0500000654074002E-2</v>
      </c>
      <c r="P49" s="6">
        <f t="shared" si="68"/>
        <v>3.0500000516473995E-2</v>
      </c>
      <c r="Q49" s="6">
        <f t="shared" si="68"/>
        <v>4.9999999988824005E-2</v>
      </c>
      <c r="R49" s="6">
        <f t="shared" si="68"/>
        <v>6.4999998888239999E-3</v>
      </c>
      <c r="S49" s="6">
        <f t="shared" si="68"/>
        <v>3.9999999552980002E-3</v>
      </c>
      <c r="T49" s="6">
        <f t="shared" si="68"/>
        <v>3.0499999738824002E-2</v>
      </c>
      <c r="U49" s="6">
        <f t="shared" si="68"/>
        <v>3.0999999538823996E-2</v>
      </c>
      <c r="V49" s="6">
        <f t="shared" si="68"/>
        <v>3.7500000158024002E-2</v>
      </c>
      <c r="W49" s="6">
        <f t="shared" si="68"/>
        <v>1.0999999988824002E-2</v>
      </c>
      <c r="X49" s="6">
        <f t="shared" si="68"/>
        <v>7.4999999052960007E-3</v>
      </c>
      <c r="Y49" s="6">
        <f t="shared" si="68"/>
        <v>6.9999999276479999E-3</v>
      </c>
      <c r="Z49" s="6">
        <f t="shared" si="68"/>
        <v>2.8499999886669996E-2</v>
      </c>
      <c r="AA49" s="6">
        <f t="shared" si="68"/>
        <v>3.0999999944118999E-2</v>
      </c>
      <c r="AB49" s="6">
        <f t="shared" si="68"/>
        <v>0.13049999783452398</v>
      </c>
      <c r="AC49" s="6">
        <f t="shared" si="68"/>
        <v>2.7999999905296002E-2</v>
      </c>
      <c r="AD49" s="6">
        <f t="shared" si="68"/>
        <v>6.4999998888239999E-3</v>
      </c>
      <c r="AE49" s="6">
        <f t="shared" si="68"/>
        <v>1.3000000066474001E-2</v>
      </c>
      <c r="AF49" s="6">
        <f t="shared" si="68"/>
        <v>9.5000000888240017E-3</v>
      </c>
      <c r="AG49" s="6">
        <f t="shared" si="68"/>
        <v>1.2999999927648002E-2</v>
      </c>
      <c r="AH49" s="6">
        <f t="shared" si="68"/>
        <v>1.7499999749418998E-2</v>
      </c>
      <c r="AI49" s="6">
        <f t="shared" si="68"/>
        <v>3.4999999276480002E-3</v>
      </c>
      <c r="AJ49" s="6">
        <f t="shared" si="68"/>
        <v>1.1000000155298E-2</v>
      </c>
      <c r="AK49" s="6">
        <f t="shared" ref="AK49:BP49" si="69">AVERAGE(AK29:AK48)</f>
        <v>3.499999977648E-3</v>
      </c>
      <c r="AL49" s="6">
        <f t="shared" si="69"/>
        <v>2.9999999927648003E-2</v>
      </c>
      <c r="AM49" s="6">
        <f t="shared" si="69"/>
        <v>3.9499999916474002E-2</v>
      </c>
      <c r="AN49" s="6">
        <f t="shared" si="69"/>
        <v>2.3500000877647996E-2</v>
      </c>
      <c r="AO49" s="6">
        <f t="shared" si="69"/>
        <v>3.4999999052960002E-3</v>
      </c>
      <c r="AP49" s="6">
        <f t="shared" si="69"/>
        <v>0.141499998435174</v>
      </c>
      <c r="AQ49" s="6">
        <f t="shared" si="69"/>
        <v>6.4999999276480012E-3</v>
      </c>
      <c r="AR49" s="6">
        <f t="shared" si="69"/>
        <v>4.99999988824E-4</v>
      </c>
      <c r="AS49" s="6">
        <f t="shared" si="69"/>
        <v>3.1000000138824001E-2</v>
      </c>
      <c r="AT49" s="6">
        <f t="shared" si="69"/>
        <v>4.3499999977647995E-2</v>
      </c>
      <c r="AU49" s="6">
        <f t="shared" si="69"/>
        <v>2.2999999927648E-2</v>
      </c>
      <c r="AV49" s="6">
        <f t="shared" si="69"/>
        <v>4.1000000166469999E-2</v>
      </c>
      <c r="AW49" s="6">
        <f t="shared" si="69"/>
        <v>2.499999977648E-3</v>
      </c>
      <c r="AX49" s="6">
        <f t="shared" si="69"/>
        <v>6.0000000388239997E-3</v>
      </c>
      <c r="AY49" s="6">
        <f t="shared" si="69"/>
        <v>3.4999999664720007E-3</v>
      </c>
      <c r="AZ49" s="6">
        <f t="shared" si="69"/>
        <v>1.0999999638824001E-2</v>
      </c>
      <c r="BA49" s="6">
        <f t="shared" si="69"/>
        <v>7.9999999388240001E-3</v>
      </c>
      <c r="BB49" s="6">
        <f t="shared" si="69"/>
        <v>5.9000000241823988E-2</v>
      </c>
      <c r="BC49" s="6">
        <f t="shared" si="69"/>
        <v>1.3999999777648001E-2</v>
      </c>
      <c r="BD49" s="6">
        <f t="shared" si="69"/>
        <v>1.6000000077648003E-2</v>
      </c>
      <c r="BE49" s="6">
        <f t="shared" si="69"/>
        <v>1.3000000338824E-2</v>
      </c>
      <c r="BF49" s="6">
        <f t="shared" si="69"/>
        <v>2.0000000085674003E-2</v>
      </c>
      <c r="BG49" s="6">
        <f t="shared" si="69"/>
        <v>9.0499998910023999E-2</v>
      </c>
      <c r="BH49" s="6">
        <f t="shared" si="69"/>
        <v>4.9999999664719994E-3</v>
      </c>
      <c r="BI49" s="6">
        <f t="shared" si="69"/>
        <v>9.5000001276480013E-3</v>
      </c>
      <c r="BJ49" s="6">
        <f t="shared" si="69"/>
        <v>2.9999999806871996E-2</v>
      </c>
      <c r="BK49" s="6">
        <f t="shared" si="69"/>
        <v>4.5999999988824002E-2</v>
      </c>
      <c r="BL49" s="6">
        <f t="shared" si="69"/>
        <v>1.0499999955294001E-2</v>
      </c>
      <c r="BM49" s="6">
        <f t="shared" si="69"/>
        <v>3.9999999899413004E-2</v>
      </c>
      <c r="BN49" s="6">
        <f t="shared" si="69"/>
        <v>6.5000001776479993E-3</v>
      </c>
      <c r="BO49" s="6">
        <f t="shared" si="69"/>
        <v>7.4999999276479986E-3</v>
      </c>
      <c r="BP49" s="6">
        <f t="shared" si="69"/>
        <v>2.9499999988824004E-2</v>
      </c>
      <c r="BQ49" s="6">
        <f t="shared" ref="BQ49:CT49" si="70">AVERAGE(BQ29:BQ48)</f>
        <v>7.5000000164739998E-3</v>
      </c>
      <c r="BR49" s="6">
        <f t="shared" si="70"/>
        <v>0.115000000094543</v>
      </c>
      <c r="BS49" s="6">
        <f t="shared" si="70"/>
        <v>5.4999999888240003E-3</v>
      </c>
      <c r="BT49" s="6">
        <f t="shared" si="70"/>
        <v>8.9999997276480007E-3</v>
      </c>
      <c r="BU49" s="6">
        <f t="shared" si="70"/>
        <v>1.1499999916472001E-2</v>
      </c>
      <c r="BV49" s="6">
        <f t="shared" si="70"/>
        <v>4.9999999888239999E-3</v>
      </c>
      <c r="BW49" s="6">
        <f t="shared" si="70"/>
        <v>0.12300000039411899</v>
      </c>
      <c r="BX49" s="6">
        <f t="shared" si="70"/>
        <v>2.5499999810973999E-2</v>
      </c>
      <c r="BY49" s="6">
        <f t="shared" si="70"/>
        <v>3.7500000469623998E-2</v>
      </c>
      <c r="BZ49" s="6">
        <f t="shared" si="70"/>
        <v>4.4999999776480001E-3</v>
      </c>
      <c r="CA49" s="6">
        <f t="shared" si="70"/>
        <v>0.198499999561945</v>
      </c>
      <c r="CB49" s="6">
        <f t="shared" si="70"/>
        <v>0.11999999806159997</v>
      </c>
      <c r="CC49" s="6">
        <f t="shared" si="70"/>
        <v>3.4999999664700001E-3</v>
      </c>
      <c r="CD49" s="6">
        <f t="shared" si="70"/>
        <v>4.4999999664719998E-3</v>
      </c>
      <c r="CE49" s="6">
        <f t="shared" si="70"/>
        <v>3.5999999988824E-2</v>
      </c>
      <c r="CF49" s="6">
        <f t="shared" si="70"/>
        <v>5.5000000388240001E-3</v>
      </c>
      <c r="CG49" s="6">
        <f t="shared" si="70"/>
        <v>1.499999988824E-3</v>
      </c>
      <c r="CH49" s="6">
        <f t="shared" si="70"/>
        <v>2.9999999966470004E-2</v>
      </c>
      <c r="CI49" s="6">
        <f t="shared" si="70"/>
        <v>3.9999999276479998E-3</v>
      </c>
      <c r="CJ49" s="6">
        <f t="shared" si="70"/>
        <v>2.9999999888445001E-2</v>
      </c>
      <c r="CK49" s="6">
        <f t="shared" si="70"/>
        <v>2.9999999888240003E-3</v>
      </c>
      <c r="CL49" s="6">
        <f t="shared" si="70"/>
        <v>9.9999998882400023E-4</v>
      </c>
      <c r="CM49" s="6">
        <f t="shared" si="70"/>
        <v>2.9999999552980001E-3</v>
      </c>
      <c r="CN49" s="6">
        <f t="shared" si="70"/>
        <v>4.4999999388240005E-3</v>
      </c>
      <c r="CO49" s="6">
        <f t="shared" si="70"/>
        <v>2.9999999664720002E-3</v>
      </c>
      <c r="CP49" s="6">
        <f t="shared" si="70"/>
        <v>2.9999999907450003E-2</v>
      </c>
      <c r="CQ49" s="6">
        <f t="shared" si="70"/>
        <v>3.9999999052960002E-3</v>
      </c>
      <c r="CR49" s="6">
        <f t="shared" si="70"/>
        <v>0.15350000055514001</v>
      </c>
      <c r="CS49" s="6">
        <f t="shared" si="70"/>
        <v>4.9999999664740004E-3</v>
      </c>
      <c r="CT49" s="6">
        <f t="shared" si="70"/>
        <v>5.999999966470001E-3</v>
      </c>
      <c r="CU49" s="4"/>
      <c r="CV49" s="4"/>
      <c r="CW49" s="231" t="s">
        <v>400</v>
      </c>
      <c r="CY49" s="4" t="s">
        <v>52</v>
      </c>
      <c r="CZ49" s="151">
        <f>AVERAGE(CZ29:CZ48)</f>
        <v>1.7899999859883199E-2</v>
      </c>
      <c r="DA49" s="24">
        <f>AVERAGE(DA29:DA48)</f>
        <v>1.5666666673923337E-2</v>
      </c>
      <c r="DB49" s="24">
        <f t="shared" ref="DB49:DJ49" si="71">AVERAGE(DB29:DB48)</f>
        <v>3.3333333256538006E-2</v>
      </c>
      <c r="DC49" s="24">
        <f t="shared" si="71"/>
        <v>1.733333333509867E-2</v>
      </c>
      <c r="DD49" s="24">
        <f t="shared" si="71"/>
        <v>2.4500000025622335E-2</v>
      </c>
      <c r="DE49" s="24">
        <f t="shared" si="71"/>
        <v>2.7857142915838001E-2</v>
      </c>
      <c r="DF49" s="24">
        <f t="shared" si="71"/>
        <v>1.2583333467452334E-2</v>
      </c>
      <c r="DG49" s="24">
        <f t="shared" si="71"/>
        <v>3.1166666849397333E-2</v>
      </c>
      <c r="DH49" s="24">
        <f t="shared" si="71"/>
        <v>8.0000000392549342E-2</v>
      </c>
      <c r="DI49" s="24">
        <f t="shared" si="71"/>
        <v>6.3833333407382661E-2</v>
      </c>
      <c r="DJ49" s="244">
        <f t="shared" si="71"/>
        <v>2.4999999609813333E-3</v>
      </c>
      <c r="DM49" s="511" t="s">
        <v>756</v>
      </c>
      <c r="DN49" s="511" t="s">
        <v>757</v>
      </c>
      <c r="DO49" s="511" t="s">
        <v>758</v>
      </c>
      <c r="DP49" s="511" t="s">
        <v>550</v>
      </c>
      <c r="DQ49" s="511" t="s">
        <v>759</v>
      </c>
      <c r="DR49" s="511" t="s">
        <v>760</v>
      </c>
      <c r="DS49" s="511" t="s">
        <v>237</v>
      </c>
      <c r="DT49" s="511" t="s">
        <v>761</v>
      </c>
      <c r="DU49" s="511" t="s">
        <v>762</v>
      </c>
      <c r="DV49" s="511" t="s">
        <v>763</v>
      </c>
      <c r="DW49" s="511" t="s">
        <v>764</v>
      </c>
    </row>
    <row r="50" spans="1:128" s="6" customFormat="1" ht="16" thickBot="1" x14ac:dyDescent="0.25">
      <c r="A50" s="4"/>
      <c r="B50" s="4" t="s">
        <v>53</v>
      </c>
      <c r="C50" s="4"/>
      <c r="D50" s="4"/>
      <c r="E50" s="6">
        <f t="shared" ref="E50:AJ50" si="72">STDEV(E29:E48)</f>
        <v>0.23378127426319228</v>
      </c>
      <c r="F50" s="6">
        <f t="shared" si="72"/>
        <v>0.26872555064353509</v>
      </c>
      <c r="G50" s="6">
        <f t="shared" si="72"/>
        <v>7.08222413799173E-2</v>
      </c>
      <c r="H50" s="6">
        <f t="shared" si="72"/>
        <v>0.10693209981500605</v>
      </c>
      <c r="I50" s="6">
        <f t="shared" si="72"/>
        <v>6.4012745840053314E-2</v>
      </c>
      <c r="J50" s="6">
        <f t="shared" si="72"/>
        <v>0.23089072346301331</v>
      </c>
      <c r="K50" s="6">
        <f t="shared" si="72"/>
        <v>0.17294355667543221</v>
      </c>
      <c r="L50" s="6">
        <f t="shared" si="72"/>
        <v>0.25632216571274741</v>
      </c>
      <c r="M50" s="6">
        <f t="shared" si="72"/>
        <v>0.18148147663981684</v>
      </c>
      <c r="N50" s="6">
        <f t="shared" si="72"/>
        <v>2.8923675090588529E-2</v>
      </c>
      <c r="O50" s="6">
        <f t="shared" si="72"/>
        <v>0.19168161768827285</v>
      </c>
      <c r="P50" s="6">
        <f t="shared" si="72"/>
        <v>8.0228294807791256E-2</v>
      </c>
      <c r="Q50" s="6">
        <f t="shared" si="72"/>
        <v>0.18046722988105388</v>
      </c>
      <c r="R50" s="6">
        <f t="shared" si="72"/>
        <v>1.8144159136200169E-2</v>
      </c>
      <c r="S50" s="6">
        <f t="shared" si="72"/>
        <v>7.5393702805986885E-3</v>
      </c>
      <c r="T50" s="6">
        <f t="shared" si="72"/>
        <v>8.7987738163117252E-2</v>
      </c>
      <c r="U50" s="6">
        <f t="shared" si="72"/>
        <v>8.1428042281897706E-2</v>
      </c>
      <c r="V50" s="6">
        <f t="shared" si="72"/>
        <v>9.3520333144181067E-2</v>
      </c>
      <c r="W50" s="6">
        <f t="shared" si="72"/>
        <v>4.4591715067432737E-2</v>
      </c>
      <c r="X50" s="6">
        <f t="shared" si="72"/>
        <v>1.4095538470193885E-2</v>
      </c>
      <c r="Y50" s="6">
        <f t="shared" si="72"/>
        <v>1.8381913151845418E-2</v>
      </c>
      <c r="Z50" s="6">
        <f t="shared" si="72"/>
        <v>8.2224020013951793E-2</v>
      </c>
      <c r="AA50" s="6">
        <f t="shared" si="72"/>
        <v>9.0081834138478339E-2</v>
      </c>
      <c r="AB50" s="6">
        <f t="shared" si="72"/>
        <v>0.20605249282686183</v>
      </c>
      <c r="AC50" s="6">
        <f t="shared" si="72"/>
        <v>8.8650704265373317E-2</v>
      </c>
      <c r="AD50" s="6">
        <f t="shared" si="72"/>
        <v>1.8144159136200169E-2</v>
      </c>
      <c r="AE50" s="6">
        <f t="shared" si="72"/>
        <v>3.8265004365733948E-2</v>
      </c>
      <c r="AF50" s="6">
        <f t="shared" si="72"/>
        <v>3.790222923715874E-2</v>
      </c>
      <c r="AG50" s="6">
        <f t="shared" si="72"/>
        <v>4.4615314793702524E-2</v>
      </c>
      <c r="AH50" s="6">
        <f t="shared" si="72"/>
        <v>3.3066917355759784E-2</v>
      </c>
      <c r="AI50" s="6">
        <f t="shared" si="72"/>
        <v>8.1272768184432031E-3</v>
      </c>
      <c r="AJ50" s="6">
        <f t="shared" si="72"/>
        <v>2.4687521485504946E-2</v>
      </c>
      <c r="AK50" s="6">
        <f t="shared" ref="AK50:BP50" si="73">STDEV(AK29:AK48)</f>
        <v>5.8714294600767242E-3</v>
      </c>
      <c r="AL50" s="6">
        <f t="shared" si="73"/>
        <v>0.11097652668301232</v>
      </c>
      <c r="AM50" s="6">
        <f t="shared" si="73"/>
        <v>0.15608617727491381</v>
      </c>
      <c r="AN50" s="6">
        <f t="shared" si="73"/>
        <v>7.0507561231727495E-2</v>
      </c>
      <c r="AO50" s="6">
        <f t="shared" si="73"/>
        <v>7.4515979754856011E-3</v>
      </c>
      <c r="AP50" s="6">
        <f t="shared" si="73"/>
        <v>0.28645335490405904</v>
      </c>
      <c r="AQ50" s="6">
        <f t="shared" si="73"/>
        <v>1.8715318732427554E-2</v>
      </c>
      <c r="AR50" s="6">
        <f t="shared" si="73"/>
        <v>2.2360679275191986E-3</v>
      </c>
      <c r="AS50" s="6">
        <f t="shared" si="73"/>
        <v>0.10542645240899805</v>
      </c>
      <c r="AT50" s="6">
        <f t="shared" si="73"/>
        <v>0.18285096030862658</v>
      </c>
      <c r="AU50" s="6">
        <f t="shared" si="73"/>
        <v>8.510674410088688E-2</v>
      </c>
      <c r="AV50" s="6">
        <f t="shared" si="73"/>
        <v>0.10269525775110534</v>
      </c>
      <c r="AW50" s="6">
        <f t="shared" si="73"/>
        <v>7.1635039694801523E-3</v>
      </c>
      <c r="AX50" s="6">
        <f t="shared" si="73"/>
        <v>1.2732056695418853E-2</v>
      </c>
      <c r="AY50" s="6">
        <f t="shared" si="73"/>
        <v>6.708203898302123E-3</v>
      </c>
      <c r="AZ50" s="6">
        <f t="shared" si="73"/>
        <v>4.6892933602121809E-2</v>
      </c>
      <c r="BA50" s="6">
        <f t="shared" si="73"/>
        <v>2.5047323583364856E-2</v>
      </c>
      <c r="BB50" s="6">
        <f t="shared" si="73"/>
        <v>0.12506419491348081</v>
      </c>
      <c r="BC50" s="6">
        <f t="shared" si="73"/>
        <v>4.0962112684243344E-2</v>
      </c>
      <c r="BD50" s="6">
        <f t="shared" si="73"/>
        <v>3.8851946141978309E-2</v>
      </c>
      <c r="BE50" s="6">
        <f t="shared" si="73"/>
        <v>3.4504005655591835E-2</v>
      </c>
      <c r="BF50" s="6">
        <f t="shared" si="73"/>
        <v>6.8824720691574026E-2</v>
      </c>
      <c r="BG50" s="6">
        <f t="shared" si="73"/>
        <v>0.18106337652425564</v>
      </c>
      <c r="BH50" s="6">
        <f t="shared" si="73"/>
        <v>8.2717018973517565E-3</v>
      </c>
      <c r="BI50" s="6">
        <f t="shared" si="73"/>
        <v>2.2589005922249428E-2</v>
      </c>
      <c r="BJ50" s="6">
        <f t="shared" si="73"/>
        <v>7.0037583712664941E-2</v>
      </c>
      <c r="BK50" s="6">
        <f t="shared" si="73"/>
        <v>0.19869044953819276</v>
      </c>
      <c r="BL50" s="6">
        <f t="shared" si="73"/>
        <v>3.8178941546127734E-2</v>
      </c>
      <c r="BM50" s="6">
        <f t="shared" si="73"/>
        <v>0.12830883795302037</v>
      </c>
      <c r="BN50" s="6">
        <f t="shared" si="73"/>
        <v>2.033275897719676E-2</v>
      </c>
      <c r="BO50" s="6">
        <f t="shared" si="73"/>
        <v>1.4823523078583761E-2</v>
      </c>
      <c r="BP50" s="6">
        <f t="shared" si="73"/>
        <v>0.12262372913847967</v>
      </c>
      <c r="BQ50" s="6">
        <f t="shared" ref="BQ50:CT50" si="74">STDEV(BQ29:BQ48)</f>
        <v>2.2682012549603916E-2</v>
      </c>
      <c r="BR50" s="6">
        <f t="shared" si="74"/>
        <v>0.21605311167407465</v>
      </c>
      <c r="BS50" s="6">
        <f t="shared" si="74"/>
        <v>1.6050905857349314E-2</v>
      </c>
      <c r="BT50" s="6">
        <f t="shared" si="74"/>
        <v>2.9000906328038804E-2</v>
      </c>
      <c r="BU50" s="6">
        <f t="shared" si="74"/>
        <v>3.3130523297225226E-2</v>
      </c>
      <c r="BV50" s="6">
        <f t="shared" si="74"/>
        <v>1.192079120865107E-2</v>
      </c>
      <c r="BW50" s="6">
        <f t="shared" si="74"/>
        <v>0.22250015130355311</v>
      </c>
      <c r="BX50" s="6">
        <f t="shared" si="74"/>
        <v>6.0041651557983695E-2</v>
      </c>
      <c r="BY50" s="6">
        <f t="shared" si="74"/>
        <v>0.1159798086767406</v>
      </c>
      <c r="BZ50" s="6">
        <f t="shared" si="74"/>
        <v>1.5719582147725241E-2</v>
      </c>
      <c r="CA50" s="6">
        <f t="shared" si="74"/>
        <v>0.22875578649698283</v>
      </c>
      <c r="CB50" s="6">
        <f t="shared" si="74"/>
        <v>0.20442473331360098</v>
      </c>
      <c r="CC50" s="6">
        <f t="shared" si="74"/>
        <v>8.1272768937896006E-3</v>
      </c>
      <c r="CD50" s="6">
        <f t="shared" si="74"/>
        <v>6.8633273832504737E-3</v>
      </c>
      <c r="CE50" s="6">
        <f t="shared" si="74"/>
        <v>0.15865885282441414</v>
      </c>
      <c r="CF50" s="6">
        <f t="shared" si="74"/>
        <v>2.235479483123819E-2</v>
      </c>
      <c r="CG50" s="6">
        <f t="shared" si="74"/>
        <v>4.8936048288619567E-3</v>
      </c>
      <c r="CH50" s="6">
        <f t="shared" si="74"/>
        <v>0.11187398926329663</v>
      </c>
      <c r="CI50" s="6">
        <f t="shared" si="74"/>
        <v>1.3533583729366153E-2</v>
      </c>
      <c r="CJ50" s="6">
        <f t="shared" si="74"/>
        <v>5.3410032952134652E-2</v>
      </c>
      <c r="CK50" s="6">
        <f t="shared" si="74"/>
        <v>8.0131470815835229E-3</v>
      </c>
      <c r="CL50" s="6">
        <f t="shared" si="74"/>
        <v>3.0779350218564606E-3</v>
      </c>
      <c r="CM50" s="6">
        <f t="shared" si="74"/>
        <v>6.5694667673677661E-3</v>
      </c>
      <c r="CN50" s="6">
        <f t="shared" si="74"/>
        <v>1.3945381968200611E-2</v>
      </c>
      <c r="CO50" s="6">
        <f t="shared" si="74"/>
        <v>5.7124056625270925E-3</v>
      </c>
      <c r="CP50" s="6">
        <f t="shared" si="74"/>
        <v>0.10146298223076756</v>
      </c>
      <c r="CQ50" s="6">
        <f t="shared" si="74"/>
        <v>9.4032466881084856E-3</v>
      </c>
      <c r="CR50" s="6">
        <f t="shared" si="74"/>
        <v>0.24641161832023351</v>
      </c>
      <c r="CS50" s="6">
        <f t="shared" si="74"/>
        <v>1.235441532910145E-2</v>
      </c>
      <c r="CT50" s="6">
        <f t="shared" si="74"/>
        <v>1.6982963549905878E-2</v>
      </c>
      <c r="CU50" s="4"/>
      <c r="CV50" s="4"/>
      <c r="CW50" s="231" t="s">
        <v>401</v>
      </c>
      <c r="CY50" s="4" t="s">
        <v>53</v>
      </c>
      <c r="CZ50" s="151">
        <f>STDEV(CZ29:CZ48)</f>
        <v>5.2861188455234048E-2</v>
      </c>
      <c r="DA50" s="24">
        <f t="shared" ref="DA50:DJ50" si="75">STDEV(DA29:DA48)</f>
        <v>4.6125940020343703E-2</v>
      </c>
      <c r="DB50" s="24">
        <f t="shared" si="75"/>
        <v>0.11656386449159718</v>
      </c>
      <c r="DC50" s="24">
        <f t="shared" si="75"/>
        <v>5.769044233337816E-2</v>
      </c>
      <c r="DD50" s="24">
        <f t="shared" si="75"/>
        <v>4.980987296404208E-2</v>
      </c>
      <c r="DE50" s="24">
        <f t="shared" si="75"/>
        <v>6.0386332488368062E-2</v>
      </c>
      <c r="DF50" s="24">
        <f t="shared" si="75"/>
        <v>3.0595813718034187E-2</v>
      </c>
      <c r="DG50" s="24">
        <f t="shared" si="75"/>
        <v>6.9654746182372301E-2</v>
      </c>
      <c r="DH50" s="24">
        <f t="shared" si="75"/>
        <v>0.20037683869197861</v>
      </c>
      <c r="DI50" s="24">
        <f t="shared" si="75"/>
        <v>0.18565917042910995</v>
      </c>
      <c r="DJ50" s="244">
        <f t="shared" si="75"/>
        <v>4.941174352845322E-3</v>
      </c>
      <c r="DL50" s="6" t="s">
        <v>755</v>
      </c>
      <c r="DM50" s="511">
        <v>6.7915265898831478</v>
      </c>
      <c r="DN50" s="511">
        <v>14.035087719298243</v>
      </c>
      <c r="DO50" s="511">
        <v>28.034002532103454</v>
      </c>
      <c r="DP50" s="511">
        <v>20.672816060770483</v>
      </c>
      <c r="DQ50" s="511">
        <v>45.143787303309807</v>
      </c>
      <c r="DR50" s="511">
        <v>26.362297496318121</v>
      </c>
      <c r="DS50" s="511">
        <v>14.360643877735578</v>
      </c>
      <c r="DT50" s="511">
        <v>35.105805751492142</v>
      </c>
      <c r="DU50" s="511">
        <v>20.057876650388863</v>
      </c>
      <c r="DV50" s="511">
        <v>14.957496834870687</v>
      </c>
      <c r="DW50" s="511">
        <v>19.442937240007236</v>
      </c>
    </row>
    <row r="51" spans="1:128" s="6" customFormat="1" ht="16" thickBot="1" x14ac:dyDescent="0.25">
      <c r="A51" s="4"/>
      <c r="B51" s="4" t="s">
        <v>54</v>
      </c>
      <c r="C51" s="4"/>
      <c r="D51" s="4"/>
      <c r="E51" s="6">
        <f t="shared" ref="E51:AJ51" si="76">E50/SQRT(20)</f>
        <v>5.2275082111901995E-2</v>
      </c>
      <c r="F51" s="6">
        <f t="shared" si="76"/>
        <v>6.0088859853000678E-2</v>
      </c>
      <c r="G51" s="6">
        <f t="shared" si="76"/>
        <v>1.5836334604439357E-2</v>
      </c>
      <c r="H51" s="6">
        <f t="shared" si="76"/>
        <v>2.3910744416314619E-2</v>
      </c>
      <c r="I51" s="6">
        <f t="shared" si="76"/>
        <v>1.4313685112477608E-2</v>
      </c>
      <c r="J51" s="6">
        <f t="shared" si="76"/>
        <v>5.162873530374034E-2</v>
      </c>
      <c r="K51" s="6">
        <f t="shared" si="76"/>
        <v>3.8671354899685394E-2</v>
      </c>
      <c r="L51" s="6">
        <f t="shared" si="76"/>
        <v>5.7315378667366898E-2</v>
      </c>
      <c r="M51" s="6">
        <f t="shared" si="76"/>
        <v>4.0580491842367054E-2</v>
      </c>
      <c r="N51" s="6">
        <f t="shared" si="76"/>
        <v>6.4675303661673334E-3</v>
      </c>
      <c r="O51" s="6">
        <f t="shared" si="76"/>
        <v>4.286131271881042E-2</v>
      </c>
      <c r="P51" s="6">
        <f t="shared" si="76"/>
        <v>1.7939592090911467E-2</v>
      </c>
      <c r="Q51" s="6">
        <f t="shared" si="76"/>
        <v>4.0353699372511771E-2</v>
      </c>
      <c r="R51" s="6">
        <f t="shared" si="76"/>
        <v>4.0571573223117437E-3</v>
      </c>
      <c r="S51" s="6">
        <f t="shared" si="76"/>
        <v>1.6858544454960329E-3</v>
      </c>
      <c r="T51" s="6">
        <f t="shared" si="76"/>
        <v>1.9674656371918266E-2</v>
      </c>
      <c r="U51" s="6">
        <f t="shared" si="76"/>
        <v>1.8207863781705035E-2</v>
      </c>
      <c r="V51" s="6">
        <f t="shared" si="76"/>
        <v>2.0911782218881549E-2</v>
      </c>
      <c r="W51" s="6">
        <f t="shared" si="76"/>
        <v>9.9710106124081214E-3</v>
      </c>
      <c r="X51" s="6">
        <f t="shared" si="76"/>
        <v>3.1518582198816919E-3</v>
      </c>
      <c r="Y51" s="6">
        <f t="shared" si="76"/>
        <v>4.1103207364023764E-3</v>
      </c>
      <c r="Z51" s="6">
        <f t="shared" si="76"/>
        <v>1.8385849813449942E-2</v>
      </c>
      <c r="AA51" s="6">
        <f t="shared" si="76"/>
        <v>2.0142910467149878E-2</v>
      </c>
      <c r="AB51" s="6">
        <f t="shared" si="76"/>
        <v>4.6074738089415083E-2</v>
      </c>
      <c r="AC51" s="6">
        <f t="shared" si="76"/>
        <v>1.9822900099060528E-2</v>
      </c>
      <c r="AD51" s="6">
        <f t="shared" si="76"/>
        <v>4.0571573223117437E-3</v>
      </c>
      <c r="AE51" s="6">
        <f t="shared" si="76"/>
        <v>8.5563150921107323E-3</v>
      </c>
      <c r="AF51" s="6">
        <f t="shared" si="76"/>
        <v>8.4751961073066939E-3</v>
      </c>
      <c r="AG51" s="6">
        <f t="shared" si="76"/>
        <v>9.9762876716270842E-3</v>
      </c>
      <c r="AH51" s="6">
        <f t="shared" si="76"/>
        <v>7.3939875013846468E-3</v>
      </c>
      <c r="AI51" s="6">
        <f t="shared" si="76"/>
        <v>1.8173143437997218E-3</v>
      </c>
      <c r="AJ51" s="6">
        <f t="shared" si="76"/>
        <v>5.5202976237575642E-3</v>
      </c>
      <c r="AK51" s="6">
        <f t="shared" ref="AK51:BP51" si="77">AK50/SQRT(20)</f>
        <v>1.3128915397826442E-3</v>
      </c>
      <c r="AL51" s="6">
        <f t="shared" si="77"/>
        <v>2.4815105757003478E-2</v>
      </c>
      <c r="AM51" s="6">
        <f t="shared" si="77"/>
        <v>3.4901930273479015E-2</v>
      </c>
      <c r="AN51" s="6">
        <f t="shared" si="77"/>
        <v>1.5765969984187146E-2</v>
      </c>
      <c r="AO51" s="6">
        <f t="shared" si="77"/>
        <v>1.6662279614185615E-3</v>
      </c>
      <c r="AP51" s="6">
        <f t="shared" si="77"/>
        <v>6.4052917394834874E-2</v>
      </c>
      <c r="AQ51" s="6">
        <f t="shared" si="77"/>
        <v>4.184872490628321E-3</v>
      </c>
      <c r="AR51" s="6">
        <f t="shared" si="77"/>
        <v>4.99999988824E-4</v>
      </c>
      <c r="AS51" s="6">
        <f t="shared" si="77"/>
        <v>2.3574071421316609E-2</v>
      </c>
      <c r="AT51" s="6">
        <f t="shared" si="77"/>
        <v>4.0886717700120492E-2</v>
      </c>
      <c r="AU51" s="6">
        <f t="shared" si="77"/>
        <v>1.9030446515326229E-2</v>
      </c>
      <c r="AV51" s="6">
        <f t="shared" si="77"/>
        <v>2.2963357729833371E-2</v>
      </c>
      <c r="AW51" s="6">
        <f t="shared" si="77"/>
        <v>1.6018081832847198E-3</v>
      </c>
      <c r="AX51" s="6">
        <f t="shared" si="77"/>
        <v>2.8469744264337888E-3</v>
      </c>
      <c r="AY51" s="6">
        <f t="shared" si="77"/>
        <v>1.4999999923532633E-3</v>
      </c>
      <c r="AZ51" s="6">
        <f t="shared" si="77"/>
        <v>1.0485578719872844E-2</v>
      </c>
      <c r="BA51" s="6">
        <f t="shared" si="77"/>
        <v>5.6007518186837434E-3</v>
      </c>
      <c r="BB51" s="6">
        <f t="shared" si="77"/>
        <v>2.796520413778265E-2</v>
      </c>
      <c r="BC51" s="6">
        <f t="shared" si="77"/>
        <v>9.1594068463974488E-3</v>
      </c>
      <c r="BD51" s="6">
        <f t="shared" si="77"/>
        <v>8.6875592631624199E-3</v>
      </c>
      <c r="BE51" s="6">
        <f t="shared" si="77"/>
        <v>7.7153302141940534E-3</v>
      </c>
      <c r="BF51" s="6">
        <f t="shared" si="77"/>
        <v>1.5389675399879585E-2</v>
      </c>
      <c r="BG51" s="6">
        <f t="shared" si="77"/>
        <v>4.0487001814387517E-2</v>
      </c>
      <c r="BH51" s="6">
        <f t="shared" si="77"/>
        <v>1.8496087732092514E-3</v>
      </c>
      <c r="BI51" s="6">
        <f t="shared" si="77"/>
        <v>5.0510552786295045E-3</v>
      </c>
      <c r="BJ51" s="6">
        <f t="shared" si="77"/>
        <v>1.5660879816135089E-2</v>
      </c>
      <c r="BK51" s="6">
        <f t="shared" si="77"/>
        <v>4.4428535164739068E-2</v>
      </c>
      <c r="BL51" s="6">
        <f t="shared" si="77"/>
        <v>8.5370708606132533E-3</v>
      </c>
      <c r="BM51" s="6">
        <f t="shared" si="77"/>
        <v>2.8690728377695849E-2</v>
      </c>
      <c r="BN51" s="6">
        <f t="shared" si="77"/>
        <v>4.5465431243131051E-3</v>
      </c>
      <c r="BO51" s="6">
        <f t="shared" si="77"/>
        <v>3.3146405269750246E-3</v>
      </c>
      <c r="BP51" s="6">
        <f t="shared" si="77"/>
        <v>2.7419499400816227E-2</v>
      </c>
      <c r="BQ51" s="6">
        <f t="shared" ref="BQ51:CT51" si="78">BQ50/SQRT(20)</f>
        <v>5.0718521927417678E-3</v>
      </c>
      <c r="BR51" s="6">
        <f t="shared" si="78"/>
        <v>4.8310944445358425E-2</v>
      </c>
      <c r="BS51" s="6">
        <f t="shared" si="78"/>
        <v>3.5890916597482608E-3</v>
      </c>
      <c r="BT51" s="6">
        <f t="shared" si="78"/>
        <v>6.4847997958598575E-3</v>
      </c>
      <c r="BU51" s="6">
        <f t="shared" si="78"/>
        <v>7.4082102222736068E-3</v>
      </c>
      <c r="BV51" s="6">
        <f t="shared" si="78"/>
        <v>2.6655699488125672E-3</v>
      </c>
      <c r="BW51" s="6">
        <f t="shared" si="78"/>
        <v>4.9752546331873315E-2</v>
      </c>
      <c r="BX51" s="6">
        <f t="shared" si="78"/>
        <v>1.3425721436500769E-2</v>
      </c>
      <c r="BY51" s="6">
        <f t="shared" si="78"/>
        <v>2.5933873621861191E-2</v>
      </c>
      <c r="BZ51" s="6">
        <f t="shared" si="78"/>
        <v>3.5150054260205781E-3</v>
      </c>
      <c r="CA51" s="6">
        <f t="shared" si="78"/>
        <v>5.1151348885368209E-2</v>
      </c>
      <c r="CB51" s="6">
        <f t="shared" si="78"/>
        <v>4.5710759997147757E-2</v>
      </c>
      <c r="CC51" s="6">
        <f t="shared" si="78"/>
        <v>1.8173143606476884E-3</v>
      </c>
      <c r="CD51" s="6">
        <f t="shared" si="78"/>
        <v>1.534686658078381E-3</v>
      </c>
      <c r="CE51" s="6">
        <f t="shared" si="78"/>
        <v>3.5477198014752451E-2</v>
      </c>
      <c r="CF51" s="6">
        <f t="shared" si="78"/>
        <v>4.9986840865709533E-3</v>
      </c>
      <c r="CG51" s="6">
        <f t="shared" si="78"/>
        <v>1.0942433052356559E-3</v>
      </c>
      <c r="CH51" s="6">
        <f t="shared" si="78"/>
        <v>2.5015784490681287E-2</v>
      </c>
      <c r="CI51" s="6">
        <f t="shared" si="78"/>
        <v>3.0262013198047834E-3</v>
      </c>
      <c r="CJ51" s="6">
        <f t="shared" si="78"/>
        <v>1.1942846436147684E-2</v>
      </c>
      <c r="CK51" s="6">
        <f t="shared" si="78"/>
        <v>1.7917941588124809E-3</v>
      </c>
      <c r="CL51" s="6">
        <f t="shared" si="78"/>
        <v>6.8824719391983463E-4</v>
      </c>
      <c r="CM51" s="6">
        <f t="shared" si="78"/>
        <v>1.4689774267760121E-3</v>
      </c>
      <c r="CN51" s="6">
        <f t="shared" si="78"/>
        <v>3.1182822053096378E-3</v>
      </c>
      <c r="CO51" s="6">
        <f t="shared" si="78"/>
        <v>1.2773327376465302E-3</v>
      </c>
      <c r="CP51" s="6">
        <f t="shared" si="78"/>
        <v>2.2687812546784952E-2</v>
      </c>
      <c r="CQ51" s="6">
        <f t="shared" si="78"/>
        <v>2.1026298803810337E-3</v>
      </c>
      <c r="CR51" s="6">
        <f t="shared" si="78"/>
        <v>5.5099312900977464E-2</v>
      </c>
      <c r="CS51" s="6">
        <f t="shared" si="78"/>
        <v>2.7625312498136276E-3</v>
      </c>
      <c r="CT51" s="6">
        <f t="shared" si="78"/>
        <v>3.7975060956990684E-3</v>
      </c>
      <c r="CU51" s="4"/>
      <c r="CV51" s="4"/>
      <c r="CW51" s="232" t="s">
        <v>402</v>
      </c>
      <c r="CY51" s="4" t="s">
        <v>54</v>
      </c>
      <c r="CZ51" s="106">
        <f>CZ50/SQRT(20)</f>
        <v>1.1820121075733043E-2</v>
      </c>
      <c r="DA51" s="246">
        <f t="shared" ref="DA51:DJ51" si="79">DA50/SQRT(20)</f>
        <v>1.0314073741156655E-2</v>
      </c>
      <c r="DB51" s="246">
        <f t="shared" si="79"/>
        <v>2.6064472472328525E-2</v>
      </c>
      <c r="DC51" s="246">
        <f t="shared" si="79"/>
        <v>1.2899975070946514E-2</v>
      </c>
      <c r="DD51" s="246">
        <f t="shared" si="79"/>
        <v>1.1137826189822703E-2</v>
      </c>
      <c r="DE51" s="246">
        <f t="shared" si="79"/>
        <v>1.35027944355895E-2</v>
      </c>
      <c r="DF51" s="246">
        <f t="shared" si="79"/>
        <v>6.8414319300445026E-3</v>
      </c>
      <c r="DG51" s="246">
        <f t="shared" si="79"/>
        <v>1.5575274741927842E-2</v>
      </c>
      <c r="DH51" s="246">
        <f t="shared" si="79"/>
        <v>4.4805623243177418E-2</v>
      </c>
      <c r="DI51" s="246">
        <f t="shared" si="79"/>
        <v>4.1514652572570865E-2</v>
      </c>
      <c r="DJ51" s="248">
        <f t="shared" si="79"/>
        <v>1.104880174164067E-3</v>
      </c>
    </row>
    <row r="52" spans="1:128" s="6" customFormat="1" ht="16" thickBot="1" x14ac:dyDescent="0.25">
      <c r="A52" s="4"/>
      <c r="B52" s="4" t="s">
        <v>57</v>
      </c>
      <c r="C52" s="4"/>
      <c r="D52" s="4"/>
      <c r="CU52" s="4"/>
      <c r="CV52" s="4"/>
      <c r="CW52" s="232" t="s">
        <v>403</v>
      </c>
      <c r="CY52" s="7" t="s">
        <v>308</v>
      </c>
      <c r="CZ52" s="6">
        <f>TTEST(CZ3:CZ22,CZ29:CZ48,1,1)</f>
        <v>4.4426403180775971E-6</v>
      </c>
      <c r="DA52" s="6">
        <f t="shared" ref="DA52:DJ52" si="80">TTEST(DA3:DA22,DA29:DA48,1,1)</f>
        <v>1.0096209530256597E-5</v>
      </c>
      <c r="DB52" s="6">
        <f t="shared" si="80"/>
        <v>6.1530270903454353E-6</v>
      </c>
      <c r="DC52" s="6">
        <f t="shared" si="80"/>
        <v>1.3805077315160884E-6</v>
      </c>
      <c r="DD52" s="6">
        <f t="shared" si="80"/>
        <v>9.3672016070761231E-6</v>
      </c>
      <c r="DE52" s="6">
        <f t="shared" si="80"/>
        <v>4.9314837722429615E-5</v>
      </c>
      <c r="DF52" s="6">
        <f t="shared" si="80"/>
        <v>1.6020427202197312E-3</v>
      </c>
      <c r="DG52" s="6">
        <f t="shared" si="80"/>
        <v>1.4649459706937368E-7</v>
      </c>
      <c r="DH52" s="6">
        <f t="shared" si="80"/>
        <v>5.2274807736350735E-9</v>
      </c>
      <c r="DI52" s="6">
        <f t="shared" si="80"/>
        <v>1.4790891869400705E-6</v>
      </c>
      <c r="DJ52" s="6">
        <f t="shared" si="80"/>
        <v>3.1066433025390634E-6</v>
      </c>
      <c r="DK52" s="84" t="s">
        <v>557</v>
      </c>
      <c r="DL52">
        <f>0.05/11</f>
        <v>4.5454545454545461E-3</v>
      </c>
    </row>
    <row r="53" spans="1:128" s="6" customFormat="1" ht="16" thickBot="1" x14ac:dyDescent="0.25">
      <c r="A53" s="4"/>
      <c r="B53" s="4" t="s">
        <v>58</v>
      </c>
      <c r="C53" s="4"/>
      <c r="D53" s="4"/>
      <c r="CU53" s="4"/>
      <c r="CV53" s="4"/>
      <c r="CW53" s="232" t="s">
        <v>404</v>
      </c>
      <c r="CY53" s="7" t="s">
        <v>309</v>
      </c>
      <c r="CZ53" s="6">
        <f>TTEST(CZ3:CZ22,CZ29:CZ48,2,1)</f>
        <v>8.8852806361551942E-6</v>
      </c>
      <c r="DA53" s="6">
        <f t="shared" ref="DA53:DJ53" si="81">TTEST(DA3:DA22,DA29:DA48,2,1)</f>
        <v>2.0192419060513194E-5</v>
      </c>
      <c r="DB53" s="6">
        <f t="shared" si="81"/>
        <v>1.2306054180690871E-5</v>
      </c>
      <c r="DC53" s="6">
        <f t="shared" si="81"/>
        <v>2.7610154630321769E-6</v>
      </c>
      <c r="DD53" s="6">
        <f t="shared" si="81"/>
        <v>1.8734403214152246E-5</v>
      </c>
      <c r="DE53" s="6">
        <f t="shared" si="81"/>
        <v>9.8629675444859231E-5</v>
      </c>
      <c r="DF53" s="6">
        <f t="shared" si="81"/>
        <v>3.2040854404394624E-3</v>
      </c>
      <c r="DG53" s="6">
        <f t="shared" si="81"/>
        <v>2.9298919413874735E-7</v>
      </c>
      <c r="DH53" s="6">
        <f t="shared" si="81"/>
        <v>1.0454961547270147E-8</v>
      </c>
      <c r="DI53" s="6">
        <f t="shared" si="81"/>
        <v>2.958178373880141E-6</v>
      </c>
      <c r="DJ53" s="6">
        <f t="shared" si="81"/>
        <v>6.2132866050781268E-6</v>
      </c>
    </row>
    <row r="54" spans="1:128" ht="16" thickBot="1" x14ac:dyDescent="0.25">
      <c r="CW54" s="233" t="s">
        <v>405</v>
      </c>
      <c r="CX54" s="83"/>
      <c r="CY54" s="6"/>
      <c r="CZ54" s="511" t="s">
        <v>756</v>
      </c>
      <c r="DA54" s="511" t="s">
        <v>757</v>
      </c>
      <c r="DB54" s="511" t="s">
        <v>758</v>
      </c>
      <c r="DC54" s="511" t="s">
        <v>550</v>
      </c>
      <c r="DD54" s="511" t="s">
        <v>759</v>
      </c>
      <c r="DE54" s="511" t="s">
        <v>760</v>
      </c>
      <c r="DF54" s="511" t="s">
        <v>237</v>
      </c>
      <c r="DG54" s="511" t="s">
        <v>761</v>
      </c>
      <c r="DH54" s="511" t="s">
        <v>762</v>
      </c>
      <c r="DI54" s="511" t="s">
        <v>763</v>
      </c>
    </row>
    <row r="55" spans="1:128" ht="16" thickBot="1" x14ac:dyDescent="0.25">
      <c r="C55">
        <v>1</v>
      </c>
      <c r="CY55" s="6" t="s">
        <v>755</v>
      </c>
      <c r="CZ55" s="511">
        <v>6.8000000000000005E-2</v>
      </c>
      <c r="DA55" s="511">
        <v>0.14000000000000001</v>
      </c>
      <c r="DB55" s="511">
        <v>0.28000000000000003</v>
      </c>
      <c r="DC55" s="511">
        <v>0.21</v>
      </c>
      <c r="DD55" s="511">
        <v>0.45</v>
      </c>
      <c r="DE55" s="511">
        <v>0.26</v>
      </c>
      <c r="DF55" s="511">
        <v>0.14000000000000001</v>
      </c>
      <c r="DG55" s="511">
        <v>0.35099999999999998</v>
      </c>
      <c r="DH55" s="511">
        <v>0.2</v>
      </c>
      <c r="DI55" s="511">
        <v>0.15</v>
      </c>
      <c r="DJ55" s="511">
        <v>0.19400000000000001</v>
      </c>
    </row>
    <row r="56" spans="1:128" ht="16" thickBot="1" x14ac:dyDescent="0.25">
      <c r="C56">
        <v>2</v>
      </c>
      <c r="CX56" t="s">
        <v>55</v>
      </c>
      <c r="CZ56" t="s">
        <v>547</v>
      </c>
      <c r="DA56" t="s">
        <v>548</v>
      </c>
      <c r="DB56" t="s">
        <v>549</v>
      </c>
      <c r="DC56" t="s">
        <v>550</v>
      </c>
      <c r="DD56" t="s">
        <v>551</v>
      </c>
      <c r="DE56" t="s">
        <v>552</v>
      </c>
      <c r="DF56" t="s">
        <v>237</v>
      </c>
      <c r="DG56" t="s">
        <v>553</v>
      </c>
      <c r="DH56" t="s">
        <v>558</v>
      </c>
      <c r="DI56" t="s">
        <v>556</v>
      </c>
      <c r="DJ56" t="s">
        <v>562</v>
      </c>
      <c r="DL56" s="18" t="s">
        <v>55</v>
      </c>
      <c r="DM56" s="18" t="s">
        <v>708</v>
      </c>
      <c r="DN56" s="18" t="s">
        <v>547</v>
      </c>
      <c r="DO56" s="18" t="s">
        <v>548</v>
      </c>
      <c r="DP56" s="18" t="s">
        <v>549</v>
      </c>
      <c r="DQ56" s="18" t="s">
        <v>550</v>
      </c>
      <c r="DR56" s="18" t="s">
        <v>551</v>
      </c>
      <c r="DS56" s="18" t="s">
        <v>552</v>
      </c>
      <c r="DT56" s="18" t="s">
        <v>237</v>
      </c>
      <c r="DU56" s="18" t="s">
        <v>553</v>
      </c>
      <c r="DV56" s="18" t="s">
        <v>558</v>
      </c>
      <c r="DW56" s="18" t="s">
        <v>556</v>
      </c>
      <c r="DX56" s="18" t="s">
        <v>562</v>
      </c>
    </row>
    <row r="57" spans="1:128" x14ac:dyDescent="0.2">
      <c r="C57">
        <v>3</v>
      </c>
      <c r="CY57">
        <v>1</v>
      </c>
      <c r="CZ57">
        <v>0</v>
      </c>
      <c r="DA57">
        <v>0</v>
      </c>
      <c r="DB57">
        <v>3.333333445092667E-2</v>
      </c>
      <c r="DC57">
        <v>4.3333331744000003E-2</v>
      </c>
      <c r="DD57">
        <v>7.9999998212000004E-2</v>
      </c>
      <c r="DE57">
        <v>0</v>
      </c>
      <c r="DF57">
        <v>0</v>
      </c>
      <c r="DG57">
        <v>7.6666668057299991E-2</v>
      </c>
      <c r="DH57">
        <v>0.98666667938233321</v>
      </c>
      <c r="DI57">
        <v>0.27666666110376664</v>
      </c>
      <c r="DJ57">
        <v>0</v>
      </c>
      <c r="DL57" s="18"/>
      <c r="DM57" s="80">
        <v>1</v>
      </c>
      <c r="DN57" s="249">
        <v>5.9999998658800003E-3</v>
      </c>
      <c r="DO57" s="250">
        <v>0</v>
      </c>
      <c r="DP57" s="251">
        <v>3.333333445092667E-2</v>
      </c>
      <c r="DQ57" s="252">
        <v>4.3333331744000003E-2</v>
      </c>
      <c r="DR57" s="160">
        <v>7.9999998212000004E-2</v>
      </c>
      <c r="DS57" s="253">
        <v>0</v>
      </c>
      <c r="DT57" s="254">
        <v>0</v>
      </c>
      <c r="DU57" s="255">
        <v>7.6666668057299991E-2</v>
      </c>
      <c r="DV57" s="256">
        <v>0.98666667938233321</v>
      </c>
      <c r="DW57" s="257">
        <v>0.27666666110376664</v>
      </c>
      <c r="DX57" s="258">
        <v>0</v>
      </c>
    </row>
    <row r="58" spans="1:128" x14ac:dyDescent="0.2">
      <c r="C58">
        <v>4</v>
      </c>
      <c r="CY58">
        <v>2</v>
      </c>
      <c r="CZ58">
        <v>0.40600000000000003</v>
      </c>
      <c r="DA58">
        <v>0.22666666666666666</v>
      </c>
      <c r="DB58">
        <v>0.41333333333333327</v>
      </c>
      <c r="DC58">
        <v>0.37666666666666665</v>
      </c>
      <c r="DD58">
        <v>0.48333333333333339</v>
      </c>
      <c r="DE58">
        <v>0.20142857142857146</v>
      </c>
      <c r="DF58">
        <v>3.8333333333333337E-2</v>
      </c>
      <c r="DG58">
        <v>0.62</v>
      </c>
      <c r="DH58">
        <v>0.55000000000000004</v>
      </c>
      <c r="DI58">
        <v>0.69</v>
      </c>
      <c r="DJ58">
        <v>0.34</v>
      </c>
      <c r="DL58" s="18"/>
      <c r="DM58" s="80">
        <v>2</v>
      </c>
      <c r="DN58" s="259">
        <v>0.43599999999999994</v>
      </c>
      <c r="DO58" s="72">
        <v>0.22666666666666666</v>
      </c>
      <c r="DP58" s="260">
        <v>0.41333333333333327</v>
      </c>
      <c r="DQ58" s="261">
        <v>0.37666666666666665</v>
      </c>
      <c r="DR58" s="154">
        <v>0.48333333333333339</v>
      </c>
      <c r="DS58" s="262">
        <v>0.20142857142857146</v>
      </c>
      <c r="DT58" s="263">
        <v>3.8333333333333337E-2</v>
      </c>
      <c r="DU58" s="264">
        <v>0.62</v>
      </c>
      <c r="DV58" s="265">
        <v>0.55000000000000004</v>
      </c>
      <c r="DW58" s="266">
        <v>0.69</v>
      </c>
      <c r="DX58" s="267">
        <v>0.34</v>
      </c>
    </row>
    <row r="59" spans="1:128" x14ac:dyDescent="0.2">
      <c r="C59">
        <v>5</v>
      </c>
      <c r="CY59">
        <v>3</v>
      </c>
      <c r="CZ59">
        <v>0.04</v>
      </c>
      <c r="DA59">
        <v>0.20000000000000004</v>
      </c>
      <c r="DB59">
        <v>0.14666666666666667</v>
      </c>
      <c r="DC59">
        <v>0.28666666666666668</v>
      </c>
      <c r="DD59">
        <v>3.3333333333333335E-3</v>
      </c>
      <c r="DE59">
        <v>0.19285714285714287</v>
      </c>
      <c r="DF59">
        <v>6.6666666666666666E-2</v>
      </c>
      <c r="DG59">
        <v>0.06</v>
      </c>
      <c r="DH59">
        <v>0.21</v>
      </c>
      <c r="DI59">
        <v>0.20666666666666667</v>
      </c>
      <c r="DJ59">
        <v>0.20333333333333334</v>
      </c>
      <c r="DL59" s="18"/>
      <c r="DM59" s="80">
        <v>3</v>
      </c>
      <c r="DN59" s="259">
        <v>2E-3</v>
      </c>
      <c r="DO59" s="72">
        <v>0.20000000000000004</v>
      </c>
      <c r="DP59" s="260">
        <v>0.14666666666666667</v>
      </c>
      <c r="DQ59" s="261">
        <v>0.28666666666666668</v>
      </c>
      <c r="DR59" s="154">
        <v>3.3333333333333335E-3</v>
      </c>
      <c r="DS59" s="262">
        <v>0.19285714285714287</v>
      </c>
      <c r="DT59" s="263">
        <v>6.6666666666666666E-2</v>
      </c>
      <c r="DU59" s="264">
        <v>0.06</v>
      </c>
      <c r="DV59" s="265">
        <v>0.21</v>
      </c>
      <c r="DW59" s="266">
        <v>0.20666666666666667</v>
      </c>
      <c r="DX59" s="267">
        <v>0.20333333333333334</v>
      </c>
    </row>
    <row r="60" spans="1:128" x14ac:dyDescent="0.2">
      <c r="C60">
        <v>6</v>
      </c>
      <c r="D60" t="s">
        <v>767</v>
      </c>
      <c r="E60">
        <v>0.61000001430499995</v>
      </c>
      <c r="F60">
        <v>0.61000001430499995</v>
      </c>
      <c r="G60">
        <v>0.75999999046300004</v>
      </c>
      <c r="H60">
        <v>5.9999998658900003E-2</v>
      </c>
      <c r="I60">
        <v>1.9999999553000001E-2</v>
      </c>
      <c r="J60">
        <v>0</v>
      </c>
      <c r="K60">
        <v>0.23000000417200001</v>
      </c>
      <c r="L60">
        <v>0.23000000417200001</v>
      </c>
      <c r="M60">
        <v>0.23000000417200001</v>
      </c>
      <c r="N60">
        <v>0.23000000417200001</v>
      </c>
      <c r="O60">
        <v>1.9999999553000001E-2</v>
      </c>
      <c r="P60">
        <v>0.63999998569500005</v>
      </c>
      <c r="Q60">
        <v>1.9999999553000001E-2</v>
      </c>
      <c r="R60">
        <v>7.0000000298000006E-2</v>
      </c>
      <c r="S60">
        <v>0.41999998688700002</v>
      </c>
      <c r="T60">
        <v>0.360000014305</v>
      </c>
      <c r="U60">
        <v>5.9999998658900003E-2</v>
      </c>
      <c r="V60">
        <v>3.9999999105899998E-2</v>
      </c>
      <c r="W60">
        <v>3.9999999105899998E-2</v>
      </c>
      <c r="X60">
        <v>0.47999998927100002</v>
      </c>
      <c r="Y60">
        <v>9.9999997764800008E-3</v>
      </c>
      <c r="Z60">
        <v>0.219999998808</v>
      </c>
      <c r="AA60">
        <v>0.18000000715299999</v>
      </c>
      <c r="AB60">
        <v>0.68999999761599995</v>
      </c>
      <c r="AC60">
        <v>3.9999999105899998E-2</v>
      </c>
      <c r="AD60">
        <v>0.81000000238400005</v>
      </c>
      <c r="AE60">
        <v>0.74000000953699996</v>
      </c>
      <c r="AF60">
        <v>0.63999998569500005</v>
      </c>
      <c r="AG60">
        <v>0.56000000238400005</v>
      </c>
      <c r="AH60">
        <v>9.9999997764800008E-3</v>
      </c>
      <c r="AI60">
        <v>7.99999982119E-2</v>
      </c>
      <c r="AJ60">
        <v>1.9999999553000001E-2</v>
      </c>
      <c r="AK60">
        <v>0.18000000715299999</v>
      </c>
      <c r="AL60">
        <v>0.66000002622599996</v>
      </c>
      <c r="AM60">
        <v>0.33000001311299998</v>
      </c>
      <c r="AN60">
        <v>0.829999983311</v>
      </c>
      <c r="AO60">
        <v>0.66000002622599996</v>
      </c>
      <c r="AP60">
        <v>0.50999999046300004</v>
      </c>
      <c r="AQ60">
        <v>5.0000000745099998E-2</v>
      </c>
      <c r="AR60">
        <v>9.9999997764800008E-3</v>
      </c>
      <c r="AS60">
        <v>9.9999997764800008E-3</v>
      </c>
      <c r="AT60">
        <v>9.9999997764800008E-3</v>
      </c>
      <c r="AU60">
        <v>9.9999997764800008E-3</v>
      </c>
      <c r="AV60">
        <v>9.9999997764800008E-3</v>
      </c>
      <c r="AW60">
        <v>9.9999997764800008E-3</v>
      </c>
      <c r="AX60">
        <v>0.31999999284699998</v>
      </c>
      <c r="AY60">
        <v>2.99999993294E-2</v>
      </c>
      <c r="AZ60">
        <v>9.9999997764800008E-3</v>
      </c>
      <c r="BA60">
        <v>9.9999997764800008E-3</v>
      </c>
      <c r="BB60">
        <v>0.60000002384200002</v>
      </c>
      <c r="BC60">
        <v>0.33000001311299998</v>
      </c>
      <c r="BD60">
        <v>9.9999997764800008E-3</v>
      </c>
      <c r="BE60">
        <v>9.9999997764800008E-3</v>
      </c>
      <c r="BF60">
        <v>9.9999997764800008E-3</v>
      </c>
      <c r="BG60">
        <v>9.9999997764800008E-3</v>
      </c>
      <c r="BH60">
        <v>9.9999997764800008E-3</v>
      </c>
      <c r="BI60">
        <v>0.93000000715300002</v>
      </c>
      <c r="BJ60">
        <v>9.9999997764800008E-3</v>
      </c>
      <c r="BK60">
        <v>9.9999997764800008E-3</v>
      </c>
      <c r="BL60">
        <v>9.9999997764800008E-3</v>
      </c>
      <c r="BM60">
        <v>9.9999997764800008E-3</v>
      </c>
      <c r="BN60">
        <v>0.79000002145799997</v>
      </c>
      <c r="BO60">
        <v>0.360000014305</v>
      </c>
      <c r="BP60">
        <v>9.9999997764800008E-3</v>
      </c>
      <c r="BQ60">
        <v>9.9999997764800008E-3</v>
      </c>
      <c r="BR60">
        <v>9.9999997764800008E-3</v>
      </c>
      <c r="BS60">
        <v>0.47999998927100002</v>
      </c>
      <c r="BT60">
        <v>7.0000000298000006E-2</v>
      </c>
      <c r="BU60">
        <v>9.9999997764800008E-3</v>
      </c>
      <c r="BV60">
        <v>0.86000001430499995</v>
      </c>
      <c r="BW60">
        <v>0.17000000178800001</v>
      </c>
      <c r="BX60">
        <v>1.9999999553000001E-2</v>
      </c>
      <c r="BY60">
        <v>0.189999997616</v>
      </c>
      <c r="BZ60">
        <v>1.9999999553000001E-2</v>
      </c>
      <c r="CA60">
        <v>1.9999999553000001E-2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0.5</v>
      </c>
      <c r="CH60">
        <v>2.99999993294E-2</v>
      </c>
      <c r="CI60">
        <v>0.15000000595999999</v>
      </c>
      <c r="CJ60">
        <v>2.99999993294E-2</v>
      </c>
      <c r="CK60">
        <v>2.99999993294E-2</v>
      </c>
      <c r="CL60">
        <v>0.20000000298000001</v>
      </c>
      <c r="CM60">
        <v>7.99999982119E-2</v>
      </c>
      <c r="CN60">
        <v>7.0000000298000006E-2</v>
      </c>
      <c r="CO60">
        <v>9.9999997764800008E-3</v>
      </c>
      <c r="CP60">
        <v>9.9999997764800008E-3</v>
      </c>
      <c r="CQ60">
        <v>0.25999999046299999</v>
      </c>
      <c r="CR60">
        <v>9.9999997764800008E-3</v>
      </c>
      <c r="CS60">
        <v>0</v>
      </c>
      <c r="CT60">
        <v>0</v>
      </c>
      <c r="CY60">
        <v>4</v>
      </c>
      <c r="CZ60">
        <v>0.83600000441059996</v>
      </c>
      <c r="DA60">
        <v>0.33333333333333331</v>
      </c>
      <c r="DB60">
        <v>1</v>
      </c>
      <c r="DC60">
        <v>0.76333332061766657</v>
      </c>
      <c r="DD60">
        <v>0.99333333969100002</v>
      </c>
      <c r="DE60">
        <v>0.5714285714285714</v>
      </c>
      <c r="DF60">
        <v>0.48833332614341335</v>
      </c>
      <c r="DG60">
        <v>0.66999999992549331</v>
      </c>
      <c r="DH60">
        <v>1</v>
      </c>
      <c r="DI60">
        <v>0.85999999443700004</v>
      </c>
      <c r="DJ60">
        <v>0.5499999920526667</v>
      </c>
      <c r="DL60" s="18"/>
      <c r="DM60" s="80">
        <v>4</v>
      </c>
      <c r="DN60" s="259">
        <v>0.83600000441059996</v>
      </c>
      <c r="DO60" s="72">
        <v>0.33333333333333331</v>
      </c>
      <c r="DP60" s="260">
        <v>1</v>
      </c>
      <c r="DQ60" s="261">
        <v>0.76333332061766657</v>
      </c>
      <c r="DR60" s="154">
        <v>0.99333333969100002</v>
      </c>
      <c r="DS60" s="262">
        <v>0.5714285714285714</v>
      </c>
      <c r="DT60" s="263">
        <v>0.48833332614341335</v>
      </c>
      <c r="DU60" s="264">
        <v>0.66999999992549331</v>
      </c>
      <c r="DV60" s="265">
        <v>1</v>
      </c>
      <c r="DW60" s="266">
        <v>0.85999999443700004</v>
      </c>
      <c r="DX60" s="267">
        <v>0.5499999920526667</v>
      </c>
    </row>
    <row r="61" spans="1:128" x14ac:dyDescent="0.2">
      <c r="C61">
        <v>7</v>
      </c>
      <c r="CY61">
        <v>6</v>
      </c>
      <c r="CZ61">
        <v>2.1999999999999999E-2</v>
      </c>
      <c r="DA61">
        <v>0.03</v>
      </c>
      <c r="DB61">
        <v>3.3333333333333333E-2</v>
      </c>
      <c r="DC61">
        <v>0.02</v>
      </c>
      <c r="DD61">
        <v>0.02</v>
      </c>
      <c r="DE61">
        <v>0.02</v>
      </c>
      <c r="DF61">
        <v>2.3333333333333334E-2</v>
      </c>
      <c r="DG61">
        <v>4.9999999999999996E-2</v>
      </c>
      <c r="DH61">
        <v>0.02</v>
      </c>
      <c r="DI61">
        <v>0.02</v>
      </c>
      <c r="DJ61">
        <v>0.02</v>
      </c>
      <c r="DL61" s="18"/>
      <c r="DM61" s="80">
        <v>6</v>
      </c>
      <c r="DN61" s="259">
        <v>0.02</v>
      </c>
      <c r="DO61" s="72">
        <v>0.03</v>
      </c>
      <c r="DP61" s="260">
        <v>3.3333333333333333E-2</v>
      </c>
      <c r="DQ61" s="261">
        <v>0.02</v>
      </c>
      <c r="DR61" s="154">
        <v>0.02</v>
      </c>
      <c r="DS61" s="262">
        <v>0.02</v>
      </c>
      <c r="DT61" s="263">
        <v>2.3333333333333334E-2</v>
      </c>
      <c r="DU61" s="264">
        <v>4.9999999999999996E-2</v>
      </c>
      <c r="DV61" s="265">
        <v>0.02</v>
      </c>
      <c r="DW61" s="266">
        <v>0.02</v>
      </c>
      <c r="DX61" s="267">
        <v>0.02</v>
      </c>
    </row>
    <row r="62" spans="1:128" x14ac:dyDescent="0.2">
      <c r="C62">
        <v>8</v>
      </c>
      <c r="CY62">
        <v>9</v>
      </c>
      <c r="CZ62">
        <v>0.18800000020000002</v>
      </c>
      <c r="DA62">
        <v>6.6666666666666671E-3</v>
      </c>
      <c r="DB62">
        <v>0.29000000133333331</v>
      </c>
      <c r="DC62">
        <v>0.52999999133333331</v>
      </c>
      <c r="DD62">
        <v>0.66666666666666663</v>
      </c>
      <c r="DE62">
        <v>2.4285714571428575E-2</v>
      </c>
      <c r="DF62">
        <v>0</v>
      </c>
      <c r="DG62">
        <v>0.45333333799999997</v>
      </c>
      <c r="DH62">
        <v>1</v>
      </c>
      <c r="DI62">
        <v>0.72999999933333337</v>
      </c>
      <c r="DJ62">
        <v>0.54000000166666673</v>
      </c>
      <c r="DL62" s="18"/>
      <c r="DM62" s="80">
        <v>9</v>
      </c>
      <c r="DN62" s="259">
        <v>0.38600000019999997</v>
      </c>
      <c r="DO62" s="72">
        <v>6.6666666666666671E-3</v>
      </c>
      <c r="DP62" s="260">
        <v>0.29000000133333331</v>
      </c>
      <c r="DQ62" s="261">
        <v>0.52999999133333331</v>
      </c>
      <c r="DR62" s="154">
        <v>0.66666666666666663</v>
      </c>
      <c r="DS62" s="262">
        <v>2.4285714571428575E-2</v>
      </c>
      <c r="DT62" s="263">
        <v>0</v>
      </c>
      <c r="DU62" s="264">
        <v>0.45333333799999997</v>
      </c>
      <c r="DV62" s="265">
        <v>1</v>
      </c>
      <c r="DW62" s="266">
        <v>0.72999999933333337</v>
      </c>
      <c r="DX62" s="267">
        <v>0.54000000166666673</v>
      </c>
    </row>
    <row r="63" spans="1:128" x14ac:dyDescent="0.2">
      <c r="C63">
        <v>9</v>
      </c>
      <c r="CY63">
        <v>12</v>
      </c>
      <c r="CZ63">
        <v>0.16799999999999998</v>
      </c>
      <c r="DA63">
        <v>0</v>
      </c>
      <c r="DB63">
        <v>0</v>
      </c>
      <c r="DC63">
        <v>1.3333333333333334E-2</v>
      </c>
      <c r="DD63">
        <v>0</v>
      </c>
      <c r="DE63">
        <v>9.4285714285714278E-2</v>
      </c>
      <c r="DF63">
        <v>0</v>
      </c>
      <c r="DG63">
        <v>0.48</v>
      </c>
      <c r="DH63">
        <v>1</v>
      </c>
      <c r="DI63">
        <v>1</v>
      </c>
      <c r="DJ63">
        <v>0</v>
      </c>
      <c r="DL63" s="18"/>
      <c r="DM63" s="80">
        <v>10</v>
      </c>
      <c r="DN63" s="259">
        <v>0.29799999999999999</v>
      </c>
      <c r="DO63" s="72">
        <v>0.10666666666666667</v>
      </c>
      <c r="DP63" s="260">
        <v>0.11333333333333333</v>
      </c>
      <c r="DQ63" s="261">
        <v>7.0000000000000007E-2</v>
      </c>
      <c r="DR63" s="154">
        <v>0.67333333333333334</v>
      </c>
      <c r="DS63" s="262">
        <v>0.63428571428571423</v>
      </c>
      <c r="DT63" s="263">
        <v>0.25333333333333335</v>
      </c>
      <c r="DU63" s="264">
        <v>0.42333333333333334</v>
      </c>
      <c r="DV63" s="265">
        <v>0.96333333333333326</v>
      </c>
      <c r="DW63" s="266">
        <v>0.03</v>
      </c>
      <c r="DX63" s="267">
        <v>0.15666666666666665</v>
      </c>
    </row>
    <row r="64" spans="1:128" x14ac:dyDescent="0.2">
      <c r="C64">
        <v>10</v>
      </c>
      <c r="CY64">
        <v>13</v>
      </c>
      <c r="CZ64">
        <v>0.22399999722841998</v>
      </c>
      <c r="DA64">
        <v>0.34333332690082669</v>
      </c>
      <c r="DB64">
        <v>0.23666665578900001</v>
      </c>
      <c r="DC64">
        <v>0.45999999841066669</v>
      </c>
      <c r="DD64">
        <v>0</v>
      </c>
      <c r="DE64">
        <v>0.32714286313521146</v>
      </c>
      <c r="DF64">
        <v>0.26333333024150002</v>
      </c>
      <c r="DG64">
        <v>0.78666667143500002</v>
      </c>
      <c r="DH64">
        <v>0.85666666428233329</v>
      </c>
      <c r="DI64">
        <v>0.91666664679833332</v>
      </c>
      <c r="DJ64">
        <v>0.26000000039733334</v>
      </c>
      <c r="DL64" s="18"/>
      <c r="DM64" s="80">
        <v>11</v>
      </c>
      <c r="DN64" s="259">
        <v>6.599999840000001E-2</v>
      </c>
      <c r="DO64" s="72">
        <v>0.16999999933333335</v>
      </c>
      <c r="DP64" s="260">
        <v>0.19333333266666666</v>
      </c>
      <c r="DQ64" s="261">
        <v>5.0000000999999995E-2</v>
      </c>
      <c r="DR64" s="154">
        <v>0</v>
      </c>
      <c r="DS64" s="262">
        <v>0.11000000057142857</v>
      </c>
      <c r="DT64" s="263">
        <v>2.4999999666666672E-2</v>
      </c>
      <c r="DU64" s="264">
        <v>0.1766666733333333</v>
      </c>
      <c r="DV64" s="265">
        <v>0.56000000233333325</v>
      </c>
      <c r="DW64" s="266">
        <v>5.9999999333333331E-2</v>
      </c>
      <c r="DX64" s="267">
        <v>4.3333333666666668E-2</v>
      </c>
    </row>
    <row r="65" spans="3:128" x14ac:dyDescent="0.2">
      <c r="C65">
        <v>11</v>
      </c>
      <c r="CY65">
        <v>16</v>
      </c>
      <c r="CZ65">
        <v>0.28999999459999998</v>
      </c>
      <c r="DA65">
        <v>0.25</v>
      </c>
      <c r="DB65">
        <v>0.33333333333333331</v>
      </c>
      <c r="DC65">
        <v>0.52333333133333337</v>
      </c>
      <c r="DD65">
        <v>0.21333334100000001</v>
      </c>
      <c r="DE65">
        <v>0.13714286042857141</v>
      </c>
      <c r="DF65">
        <v>0.141666667</v>
      </c>
      <c r="DG65">
        <v>0.60333332433333331</v>
      </c>
      <c r="DH65">
        <v>0.5666666726666667</v>
      </c>
      <c r="DI65">
        <v>0.42333333333333334</v>
      </c>
      <c r="DJ65">
        <v>0.36999999499999997</v>
      </c>
      <c r="DL65" s="18"/>
      <c r="DM65" s="80">
        <v>12</v>
      </c>
      <c r="DN65" s="259">
        <v>0.17199999999999999</v>
      </c>
      <c r="DO65" s="72">
        <v>0</v>
      </c>
      <c r="DP65" s="260">
        <v>0</v>
      </c>
      <c r="DQ65" s="261">
        <v>1.3333333333333334E-2</v>
      </c>
      <c r="DR65" s="154">
        <v>0</v>
      </c>
      <c r="DS65" s="262">
        <v>9.4285714285714278E-2</v>
      </c>
      <c r="DT65" s="263">
        <v>0</v>
      </c>
      <c r="DU65" s="264">
        <v>0.48</v>
      </c>
      <c r="DV65" s="265">
        <v>1</v>
      </c>
      <c r="DW65" s="266">
        <v>1</v>
      </c>
      <c r="DX65" s="267">
        <v>0</v>
      </c>
    </row>
    <row r="66" spans="3:128" x14ac:dyDescent="0.2">
      <c r="C66">
        <v>12</v>
      </c>
      <c r="CY66">
        <v>18</v>
      </c>
      <c r="CZ66">
        <v>0.35799999840000002</v>
      </c>
      <c r="DA66">
        <v>0.3166666726666667</v>
      </c>
      <c r="DB66">
        <v>0.31666666766666668</v>
      </c>
      <c r="DC66">
        <v>0.18333333366666668</v>
      </c>
      <c r="DD66">
        <v>0.33000000666666662</v>
      </c>
      <c r="DE66">
        <v>0.16142857342857142</v>
      </c>
      <c r="DF66">
        <v>5.0000000000000001E-3</v>
      </c>
      <c r="DG66">
        <v>0.176666667</v>
      </c>
      <c r="DH66">
        <v>0.46666665899999998</v>
      </c>
      <c r="DI66">
        <v>0.57999998333333336</v>
      </c>
      <c r="DJ66">
        <v>0.51000001033333331</v>
      </c>
      <c r="DL66" s="18"/>
      <c r="DM66" s="80">
        <v>13</v>
      </c>
      <c r="DN66" s="259">
        <v>0.14399999976164002</v>
      </c>
      <c r="DO66" s="72">
        <v>0.34333332690082669</v>
      </c>
      <c r="DP66" s="260">
        <v>0.23666665578900001</v>
      </c>
      <c r="DQ66" s="261">
        <v>0.45999999841066669</v>
      </c>
      <c r="DR66" s="154">
        <v>0</v>
      </c>
      <c r="DS66" s="262">
        <v>0.32714286313521146</v>
      </c>
      <c r="DT66" s="263">
        <v>0.26333333024150002</v>
      </c>
      <c r="DU66" s="264">
        <v>0.78666667143500002</v>
      </c>
      <c r="DV66" s="265">
        <v>0.85666666428233329</v>
      </c>
      <c r="DW66" s="266">
        <v>0.91666664679833332</v>
      </c>
      <c r="DX66" s="267">
        <v>0.26000000039733334</v>
      </c>
    </row>
    <row r="67" spans="3:128" x14ac:dyDescent="0.2">
      <c r="CY67">
        <v>19</v>
      </c>
      <c r="CZ67">
        <v>0.37200000000000005</v>
      </c>
      <c r="DA67">
        <v>0.25666666666666665</v>
      </c>
      <c r="DB67">
        <v>0.35000000000000003</v>
      </c>
      <c r="DC67">
        <v>0.30333333333333329</v>
      </c>
      <c r="DD67">
        <v>0.46666666666666662</v>
      </c>
      <c r="DE67">
        <v>0.48999999999999994</v>
      </c>
      <c r="DF67">
        <v>0.22166666666666668</v>
      </c>
      <c r="DG67">
        <v>0.96333333333333337</v>
      </c>
      <c r="DH67">
        <v>1</v>
      </c>
      <c r="DI67">
        <v>1</v>
      </c>
      <c r="DJ67">
        <v>0.92666666666666664</v>
      </c>
      <c r="DL67" s="18"/>
      <c r="DM67" s="80">
        <v>15</v>
      </c>
      <c r="DN67" s="259">
        <v>0.25599999820000002</v>
      </c>
      <c r="DO67" s="72">
        <v>9.6666668999999997E-2</v>
      </c>
      <c r="DP67" s="260">
        <v>0.249999999</v>
      </c>
      <c r="DQ67" s="261">
        <v>0.24666666733333331</v>
      </c>
      <c r="DR67" s="154">
        <v>0.50333332999999991</v>
      </c>
      <c r="DS67" s="262">
        <v>0.34571428385714287</v>
      </c>
      <c r="DT67" s="263">
        <v>0.14166666983333334</v>
      </c>
      <c r="DU67" s="264">
        <v>0.45000000299999998</v>
      </c>
      <c r="DV67" s="265">
        <v>0.61333334433333331</v>
      </c>
      <c r="DW67" s="266">
        <v>0.34000000866666663</v>
      </c>
      <c r="DX67" s="267">
        <v>0.15666666600000001</v>
      </c>
    </row>
    <row r="68" spans="3:128" x14ac:dyDescent="0.2">
      <c r="CY68">
        <v>20</v>
      </c>
      <c r="CZ68">
        <v>0.48000000119199998</v>
      </c>
      <c r="DA68">
        <v>0.48666666944833326</v>
      </c>
      <c r="DB68">
        <v>0.58999999364199995</v>
      </c>
      <c r="DC68">
        <v>0.5466666718326666</v>
      </c>
      <c r="DD68">
        <v>0.41999999682100003</v>
      </c>
      <c r="DE68">
        <v>0.37857142756035428</v>
      </c>
      <c r="DF68">
        <v>9.8333332066699988E-2</v>
      </c>
      <c r="DG68">
        <v>0.52000000079499997</v>
      </c>
      <c r="DH68">
        <v>0.4133333315453333</v>
      </c>
      <c r="DI68">
        <v>0.91666668653466665</v>
      </c>
      <c r="DJ68">
        <v>0.68000000715266662</v>
      </c>
      <c r="DL68" s="18"/>
      <c r="DM68" s="80">
        <v>17</v>
      </c>
      <c r="DN68" s="259">
        <v>0.76000000219999997</v>
      </c>
      <c r="DO68" s="72">
        <v>0.75666667033333335</v>
      </c>
      <c r="DP68" s="260">
        <v>1</v>
      </c>
      <c r="DQ68" s="261">
        <v>0.58666665833333331</v>
      </c>
      <c r="DR68" s="154">
        <v>0.43666666633333334</v>
      </c>
      <c r="DS68" s="262">
        <v>0.20428571428571426</v>
      </c>
      <c r="DT68" s="263">
        <v>1.9999999666666667E-2</v>
      </c>
      <c r="DU68" s="264">
        <v>0.81333333266666674</v>
      </c>
      <c r="DV68" s="265">
        <v>1</v>
      </c>
      <c r="DW68" s="266">
        <v>0.82000000266666662</v>
      </c>
      <c r="DX68" s="267">
        <v>0.65999999133333331</v>
      </c>
    </row>
    <row r="69" spans="3:128" x14ac:dyDescent="0.2">
      <c r="CY69" t="s">
        <v>52</v>
      </c>
      <c r="CZ69">
        <f>AVERAGE(CZ57:CZ68)</f>
        <v>0.2819999996692516</v>
      </c>
      <c r="DA69" s="18">
        <f t="shared" ref="DA69:DJ69" si="82">AVERAGE(DA57:DA68)</f>
        <v>0.20416666686243001</v>
      </c>
      <c r="DB69" s="18">
        <f t="shared" si="82"/>
        <v>0.31194444329571608</v>
      </c>
      <c r="DC69" s="18">
        <f t="shared" si="82"/>
        <v>0.33749999824486104</v>
      </c>
      <c r="DD69" s="18">
        <f t="shared" si="82"/>
        <v>0.30638889019922227</v>
      </c>
      <c r="DE69" s="18">
        <f t="shared" si="82"/>
        <v>0.21654761992701144</v>
      </c>
      <c r="DF69" s="18">
        <f t="shared" si="82"/>
        <v>0.11222222128763443</v>
      </c>
      <c r="DG69" s="18">
        <f t="shared" si="82"/>
        <v>0.45500000023995502</v>
      </c>
      <c r="DH69" s="18">
        <f t="shared" si="82"/>
        <v>0.6725000005730557</v>
      </c>
      <c r="DI69" s="18">
        <f t="shared" si="82"/>
        <v>0.63499999762836945</v>
      </c>
      <c r="DJ69" s="18">
        <f t="shared" si="82"/>
        <v>0.36666666721688884</v>
      </c>
      <c r="DL69" s="18"/>
      <c r="DM69" s="80">
        <v>18</v>
      </c>
      <c r="DN69" s="259">
        <v>0.37199999680000001</v>
      </c>
      <c r="DO69" s="72">
        <v>0.3166666726666667</v>
      </c>
      <c r="DP69" s="260">
        <v>0.31666666766666668</v>
      </c>
      <c r="DQ69" s="261">
        <v>0.18333333366666668</v>
      </c>
      <c r="DR69" s="154">
        <v>0.33000000666666662</v>
      </c>
      <c r="DS69" s="262">
        <v>0.16142857342857142</v>
      </c>
      <c r="DT69" s="263">
        <v>5.0000000000000001E-3</v>
      </c>
      <c r="DU69" s="264">
        <v>0.176666667</v>
      </c>
      <c r="DV69" s="265">
        <v>0.46666665899999998</v>
      </c>
      <c r="DW69" s="266">
        <v>0.57999998333333336</v>
      </c>
      <c r="DX69" s="267">
        <v>0.51000001033333331</v>
      </c>
    </row>
    <row r="70" spans="3:128" x14ac:dyDescent="0.2">
      <c r="CY70" t="s">
        <v>53</v>
      </c>
      <c r="CZ70">
        <f>STDEV(CZ57:CZ68)</f>
        <v>0.23477649048195931</v>
      </c>
      <c r="DA70" s="18">
        <f t="shared" ref="DA70:DJ70" si="83">STDEV(DA57:DA68)</f>
        <v>0.16141498716860175</v>
      </c>
      <c r="DB70" s="18">
        <f t="shared" si="83"/>
        <v>0.27781055320141812</v>
      </c>
      <c r="DC70" s="18">
        <f t="shared" si="83"/>
        <v>0.23991633409621393</v>
      </c>
      <c r="DD70" s="18">
        <f t="shared" si="83"/>
        <v>0.31531756857344617</v>
      </c>
      <c r="DE70" s="18">
        <f t="shared" si="83"/>
        <v>0.18751223422698376</v>
      </c>
      <c r="DF70" s="18">
        <f t="shared" si="83"/>
        <v>0.14833815484416063</v>
      </c>
      <c r="DG70" s="18">
        <f t="shared" si="83"/>
        <v>0.30292013138443791</v>
      </c>
      <c r="DH70" s="18">
        <f t="shared" si="83"/>
        <v>0.34863985483154364</v>
      </c>
      <c r="DI70" s="18">
        <f t="shared" si="83"/>
        <v>0.3338102652994383</v>
      </c>
      <c r="DJ70" s="18">
        <f t="shared" si="83"/>
        <v>0.28979965292852677</v>
      </c>
      <c r="DL70" s="18"/>
      <c r="DM70" s="80">
        <v>19</v>
      </c>
      <c r="DN70" s="259">
        <v>0.38800000000000001</v>
      </c>
      <c r="DO70" s="72">
        <v>0.25666666666666665</v>
      </c>
      <c r="DP70" s="260">
        <v>0.35000000000000003</v>
      </c>
      <c r="DQ70" s="261">
        <v>0.30333333333333329</v>
      </c>
      <c r="DR70" s="154">
        <v>0.46666666666666662</v>
      </c>
      <c r="DS70" s="262">
        <v>0.48999999999999994</v>
      </c>
      <c r="DT70" s="263">
        <v>0.22166666666666668</v>
      </c>
      <c r="DU70" s="264">
        <v>0.96333333333333337</v>
      </c>
      <c r="DV70" s="265">
        <v>1</v>
      </c>
      <c r="DW70" s="266">
        <v>1</v>
      </c>
      <c r="DX70" s="267">
        <v>0.92666666666666664</v>
      </c>
    </row>
    <row r="71" spans="3:128" ht="16" thickBot="1" x14ac:dyDescent="0.25">
      <c r="CY71" t="s">
        <v>54</v>
      </c>
      <c r="CZ71">
        <f>CZ70/SQRT(12)</f>
        <v>6.777413498957742E-2</v>
      </c>
      <c r="DA71" s="18">
        <f t="shared" ref="DA71:DJ71" si="84">DA70/SQRT(12)</f>
        <v>4.6596493146516108E-2</v>
      </c>
      <c r="DB71" s="18">
        <f t="shared" si="84"/>
        <v>8.0196998837278807E-2</v>
      </c>
      <c r="DC71" s="18">
        <f t="shared" si="84"/>
        <v>6.925788003671865E-2</v>
      </c>
      <c r="DD71" s="18">
        <f t="shared" si="84"/>
        <v>9.1024341548048726E-2</v>
      </c>
      <c r="DE71" s="18">
        <f t="shared" si="84"/>
        <v>5.4130119453648623E-2</v>
      </c>
      <c r="DF71" s="18">
        <f t="shared" si="84"/>
        <v>4.2821536815184268E-2</v>
      </c>
      <c r="DG71" s="18">
        <f t="shared" si="84"/>
        <v>8.7445509698881013E-2</v>
      </c>
      <c r="DH71" s="18">
        <f t="shared" si="84"/>
        <v>0.10064365701861189</v>
      </c>
      <c r="DI71" s="18">
        <f t="shared" si="84"/>
        <v>9.636272326444556E-2</v>
      </c>
      <c r="DJ71" s="18">
        <f t="shared" si="84"/>
        <v>8.3657953814672531E-2</v>
      </c>
      <c r="DL71" s="18"/>
      <c r="DM71" s="80">
        <v>20</v>
      </c>
      <c r="DN71" s="268">
        <v>0.51999999880780001</v>
      </c>
      <c r="DO71" s="269">
        <v>0.48666666944833326</v>
      </c>
      <c r="DP71" s="270">
        <v>0.58999999364199995</v>
      </c>
      <c r="DQ71" s="271">
        <v>0.5466666718326666</v>
      </c>
      <c r="DR71" s="162">
        <v>0.41999999682100003</v>
      </c>
      <c r="DS71" s="272">
        <v>0.37857142756035428</v>
      </c>
      <c r="DT71" s="273">
        <v>9.8333332066699988E-2</v>
      </c>
      <c r="DU71" s="274">
        <v>0.52000000079499997</v>
      </c>
      <c r="DV71" s="275">
        <v>0.4133333315453333</v>
      </c>
      <c r="DW71" s="276">
        <v>0.91666668653466665</v>
      </c>
      <c r="DX71" s="277">
        <v>0.68000000715266662</v>
      </c>
    </row>
    <row r="72" spans="3:128" x14ac:dyDescent="0.2">
      <c r="CY72" s="21" t="s">
        <v>765</v>
      </c>
      <c r="CZ72" s="21">
        <v>0.17933333333333334</v>
      </c>
      <c r="DA72" s="21">
        <v>0.22611111111111115</v>
      </c>
      <c r="DB72" s="21">
        <v>0.17611111111111113</v>
      </c>
      <c r="DC72" s="21">
        <v>0.20333333333333334</v>
      </c>
      <c r="DD72" s="21">
        <v>0.25555555555555554</v>
      </c>
      <c r="DE72" s="21">
        <v>0.2247619047619048</v>
      </c>
      <c r="DF72" s="21">
        <v>0.5149999999999999</v>
      </c>
      <c r="DG72" s="21">
        <v>0.36611111111111111</v>
      </c>
      <c r="DH72" s="21">
        <v>0.13222222222222221</v>
      </c>
      <c r="DI72" s="21">
        <v>0.25999999999999995</v>
      </c>
      <c r="DJ72" s="21">
        <v>0.18944444444444444</v>
      </c>
      <c r="DL72" s="18"/>
      <c r="DM72" s="18" t="s">
        <v>52</v>
      </c>
      <c r="DN72" s="18">
        <f>AVERAGE(DN57:DN71)</f>
        <v>0.31079999990972801</v>
      </c>
      <c r="DO72" s="18">
        <f t="shared" ref="DO72:DX72" si="85">AVERAGE(DO57:DO71)</f>
        <v>0.22200000051216623</v>
      </c>
      <c r="DP72" s="18">
        <f t="shared" si="85"/>
        <v>0.33111111008101729</v>
      </c>
      <c r="DQ72" s="18">
        <f t="shared" si="85"/>
        <v>0.29866666495144439</v>
      </c>
      <c r="DR72" s="18">
        <f t="shared" si="85"/>
        <v>0.33844444473715551</v>
      </c>
      <c r="DS72" s="18">
        <f t="shared" si="85"/>
        <v>0.25038095277970435</v>
      </c>
      <c r="DT72" s="18">
        <f t="shared" si="85"/>
        <v>0.10966666606344089</v>
      </c>
      <c r="DU72" s="18">
        <f t="shared" si="85"/>
        <v>0.448000001391964</v>
      </c>
      <c r="DV72" s="18">
        <f t="shared" si="85"/>
        <v>0.70933333428066658</v>
      </c>
      <c r="DW72" s="18">
        <f t="shared" si="85"/>
        <v>0.56311110992491775</v>
      </c>
      <c r="DX72" s="18">
        <f t="shared" si="85"/>
        <v>0.33644444461795558</v>
      </c>
    </row>
    <row r="73" spans="3:128" x14ac:dyDescent="0.2">
      <c r="CW73" t="s">
        <v>217</v>
      </c>
      <c r="CY73" s="21" t="s">
        <v>766</v>
      </c>
      <c r="CZ73" s="21">
        <v>0.49200000066804456</v>
      </c>
      <c r="DA73" s="21">
        <v>0.52388888736561112</v>
      </c>
      <c r="DB73" s="21">
        <v>0.63944444469691553</v>
      </c>
      <c r="DC73" s="21">
        <v>0.61777777524869326</v>
      </c>
      <c r="DD73" s="21">
        <v>0.62444444669616661</v>
      </c>
      <c r="DE73" s="21">
        <v>0.43785714356671424</v>
      </c>
      <c r="DF73" s="21">
        <v>0.49749999986131893</v>
      </c>
      <c r="DG73" s="21">
        <v>0.59833333360241558</v>
      </c>
      <c r="DH73" s="21">
        <v>0.53388888623977782</v>
      </c>
      <c r="DI73" s="21">
        <v>0.4944444432523889</v>
      </c>
      <c r="DJ73" s="21">
        <v>0.45222222394416667</v>
      </c>
      <c r="DL73" s="18"/>
      <c r="DM73" s="18" t="s">
        <v>53</v>
      </c>
      <c r="DN73" s="18">
        <f>STDEV(DN57:DN71)</f>
        <v>0.25848769062856947</v>
      </c>
      <c r="DO73" s="18">
        <f t="shared" ref="DO73:DX73" si="86">STDEV(DO57:DO71)</f>
        <v>0.20826113110889433</v>
      </c>
      <c r="DP73" s="18">
        <f t="shared" si="86"/>
        <v>0.31325142442668136</v>
      </c>
      <c r="DQ73" s="18">
        <f t="shared" si="86"/>
        <v>0.23912804291273024</v>
      </c>
      <c r="DR73" s="18">
        <f t="shared" si="86"/>
        <v>0.31097610535002645</v>
      </c>
      <c r="DS73" s="18">
        <f t="shared" si="86"/>
        <v>0.20106601223985124</v>
      </c>
      <c r="DT73" s="18">
        <f t="shared" si="86"/>
        <v>0.1409086145814126</v>
      </c>
      <c r="DU73" s="18">
        <f t="shared" si="86"/>
        <v>0.29197955982070078</v>
      </c>
      <c r="DV73" s="18">
        <f t="shared" si="86"/>
        <v>0.32879578352073574</v>
      </c>
      <c r="DW73" s="18">
        <f t="shared" si="86"/>
        <v>0.37045331849070984</v>
      </c>
      <c r="DX73" s="18">
        <f t="shared" si="86"/>
        <v>0.29141272393783058</v>
      </c>
    </row>
    <row r="74" spans="3:128" x14ac:dyDescent="0.2">
      <c r="CZ74" t="s">
        <v>406</v>
      </c>
      <c r="DA74" t="s">
        <v>407</v>
      </c>
      <c r="DB74" t="s">
        <v>408</v>
      </c>
      <c r="DC74" t="s">
        <v>409</v>
      </c>
      <c r="DD74" t="s">
        <v>410</v>
      </c>
      <c r="DE74" t="s">
        <v>411</v>
      </c>
      <c r="DF74" t="s">
        <v>412</v>
      </c>
      <c r="DG74" t="s">
        <v>413</v>
      </c>
      <c r="DH74" t="s">
        <v>414</v>
      </c>
      <c r="DI74" t="s">
        <v>415</v>
      </c>
      <c r="DJ74" t="s">
        <v>416</v>
      </c>
      <c r="DL74" s="18"/>
      <c r="DM74" s="18" t="s">
        <v>54</v>
      </c>
      <c r="DN74" s="18">
        <f>DN73/SQRT(15)</f>
        <v>6.6741234733604299E-2</v>
      </c>
      <c r="DO74" s="18">
        <f t="shared" ref="DO74:DX74" si="87">DO73/SQRT(15)</f>
        <v>5.3772792829804475E-2</v>
      </c>
      <c r="DP74" s="18">
        <f t="shared" si="87"/>
        <v>8.0881169998685873E-2</v>
      </c>
      <c r="DQ74" s="18">
        <f t="shared" si="87"/>
        <v>6.1742595187478447E-2</v>
      </c>
      <c r="DR74" s="18">
        <f t="shared" si="87"/>
        <v>8.0293685139273041E-2</v>
      </c>
      <c r="DS74" s="18">
        <f t="shared" si="87"/>
        <v>5.1915021126218701E-2</v>
      </c>
      <c r="DT74" s="18">
        <f t="shared" si="87"/>
        <v>3.6382447840731372E-2</v>
      </c>
      <c r="DU74" s="18">
        <f t="shared" si="87"/>
        <v>7.5388798174569754E-2</v>
      </c>
      <c r="DV74" s="18">
        <f t="shared" si="87"/>
        <v>8.4894706258601904E-2</v>
      </c>
      <c r="DW74" s="18">
        <f t="shared" si="87"/>
        <v>9.5650635537452747E-2</v>
      </c>
      <c r="DX74" s="18">
        <f t="shared" si="87"/>
        <v>7.5242441778943819E-2</v>
      </c>
    </row>
    <row r="75" spans="3:128" x14ac:dyDescent="0.2">
      <c r="CY75">
        <v>1</v>
      </c>
      <c r="CZ75">
        <v>3.999999910592E-3</v>
      </c>
      <c r="DA75">
        <v>6.6666665176533342E-3</v>
      </c>
      <c r="DB75">
        <v>6.6666665176533342E-3</v>
      </c>
      <c r="DC75">
        <v>6.6666665176533342E-3</v>
      </c>
      <c r="DD75">
        <v>9.9999997764800008E-3</v>
      </c>
      <c r="DE75">
        <v>5.7142855865600006E-3</v>
      </c>
      <c r="DF75">
        <v>3.3333332588266671E-3</v>
      </c>
      <c r="DG75">
        <v>6.6666665176533342E-3</v>
      </c>
      <c r="DH75">
        <v>0</v>
      </c>
      <c r="DI75">
        <v>3.3333332588266671E-3</v>
      </c>
      <c r="DJ75">
        <v>6.6666665176533342E-3</v>
      </c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</row>
    <row r="76" spans="3:128" x14ac:dyDescent="0.2">
      <c r="CY76">
        <v>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L76" s="18" t="s">
        <v>56</v>
      </c>
      <c r="DM76" s="18" t="s">
        <v>708</v>
      </c>
      <c r="DN76" s="18" t="s">
        <v>547</v>
      </c>
      <c r="DO76" s="18" t="s">
        <v>548</v>
      </c>
      <c r="DP76" s="18" t="s">
        <v>549</v>
      </c>
      <c r="DQ76" s="18" t="s">
        <v>550</v>
      </c>
      <c r="DR76" s="18" t="s">
        <v>551</v>
      </c>
      <c r="DS76" s="18" t="s">
        <v>552</v>
      </c>
      <c r="DT76" s="18" t="s">
        <v>237</v>
      </c>
      <c r="DU76" s="18" t="s">
        <v>553</v>
      </c>
      <c r="DV76" s="18" t="s">
        <v>558</v>
      </c>
      <c r="DW76" s="18" t="s">
        <v>556</v>
      </c>
      <c r="DX76" s="18" t="s">
        <v>562</v>
      </c>
    </row>
    <row r="77" spans="3:128" x14ac:dyDescent="0.2">
      <c r="CY77">
        <v>3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L77" s="18"/>
      <c r="DM77" s="80">
        <v>1</v>
      </c>
      <c r="DN77" s="151">
        <v>1.999999955296E-3</v>
      </c>
      <c r="DO77" s="72">
        <v>6.6666665176533342E-3</v>
      </c>
      <c r="DP77" s="260">
        <v>6.6666665176533342E-3</v>
      </c>
      <c r="DQ77" s="261">
        <v>6.6666665176533342E-3</v>
      </c>
      <c r="DR77" s="154">
        <v>9.9999997764800008E-3</v>
      </c>
      <c r="DS77" s="262">
        <v>5.7142855865600006E-3</v>
      </c>
      <c r="DT77" s="263">
        <v>3.3333332588266671E-3</v>
      </c>
      <c r="DU77" s="264">
        <v>6.6666665176533342E-3</v>
      </c>
      <c r="DV77" s="265">
        <v>0</v>
      </c>
      <c r="DW77" s="266">
        <v>3.3333332588266671E-3</v>
      </c>
      <c r="DX77" s="267">
        <v>6.6666665176533342E-3</v>
      </c>
    </row>
    <row r="78" spans="3:128" x14ac:dyDescent="0.2">
      <c r="CY78">
        <v>4</v>
      </c>
      <c r="CZ78">
        <v>1.999999955296E-3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L78" s="18"/>
      <c r="DM78" s="80">
        <v>2</v>
      </c>
      <c r="DN78" s="151">
        <v>0</v>
      </c>
      <c r="DO78" s="72">
        <v>0</v>
      </c>
      <c r="DP78" s="260">
        <v>0</v>
      </c>
      <c r="DQ78" s="261">
        <v>0</v>
      </c>
      <c r="DR78" s="154">
        <v>0</v>
      </c>
      <c r="DS78" s="262">
        <v>0</v>
      </c>
      <c r="DT78" s="263">
        <v>0</v>
      </c>
      <c r="DU78" s="264">
        <v>0</v>
      </c>
      <c r="DV78" s="265">
        <v>0</v>
      </c>
      <c r="DW78" s="266">
        <v>0</v>
      </c>
      <c r="DX78" s="267">
        <v>0</v>
      </c>
    </row>
    <row r="79" spans="3:128" x14ac:dyDescent="0.2">
      <c r="CY79">
        <v>6</v>
      </c>
      <c r="CZ79">
        <v>2E-3</v>
      </c>
      <c r="DA79">
        <v>0.01</v>
      </c>
      <c r="DB79">
        <v>1.3333333333333334E-2</v>
      </c>
      <c r="DC79">
        <v>0.01</v>
      </c>
      <c r="DD79">
        <v>0.02</v>
      </c>
      <c r="DE79">
        <v>8.5714285714285719E-3</v>
      </c>
      <c r="DF79">
        <v>3.3333333333333335E-3</v>
      </c>
      <c r="DG79">
        <v>6.6666666666666671E-3</v>
      </c>
      <c r="DH79">
        <v>0</v>
      </c>
      <c r="DI79">
        <v>6.6666666666666671E-3</v>
      </c>
      <c r="DJ79">
        <v>0</v>
      </c>
      <c r="DL79" s="18"/>
      <c r="DM79" s="80">
        <v>3</v>
      </c>
      <c r="DN79" s="151">
        <v>0</v>
      </c>
      <c r="DO79" s="72">
        <v>0</v>
      </c>
      <c r="DP79" s="260">
        <v>0</v>
      </c>
      <c r="DQ79" s="261">
        <v>0</v>
      </c>
      <c r="DR79" s="154">
        <v>0</v>
      </c>
      <c r="DS79" s="262">
        <v>0</v>
      </c>
      <c r="DT79" s="263">
        <v>0</v>
      </c>
      <c r="DU79" s="264">
        <v>0</v>
      </c>
      <c r="DV79" s="265">
        <v>0</v>
      </c>
      <c r="DW79" s="266">
        <v>0</v>
      </c>
      <c r="DX79" s="267">
        <v>0</v>
      </c>
    </row>
    <row r="80" spans="3:128" x14ac:dyDescent="0.2">
      <c r="CY80">
        <v>9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L80" s="18"/>
      <c r="DM80" s="80">
        <v>4</v>
      </c>
      <c r="DN80" s="151">
        <v>1.999999955296E-3</v>
      </c>
      <c r="DO80" s="72">
        <v>0</v>
      </c>
      <c r="DP80" s="260">
        <v>0</v>
      </c>
      <c r="DQ80" s="261">
        <v>0</v>
      </c>
      <c r="DR80" s="154">
        <v>0</v>
      </c>
      <c r="DS80" s="262">
        <v>0</v>
      </c>
      <c r="DT80" s="263">
        <v>0</v>
      </c>
      <c r="DU80" s="264">
        <v>0</v>
      </c>
      <c r="DV80" s="265">
        <v>0</v>
      </c>
      <c r="DW80" s="266">
        <v>0</v>
      </c>
      <c r="DX80" s="267">
        <v>0</v>
      </c>
    </row>
    <row r="81" spans="100:128" x14ac:dyDescent="0.2">
      <c r="CY81">
        <v>12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2.8571428571428571E-3</v>
      </c>
      <c r="DF81">
        <v>0</v>
      </c>
      <c r="DG81">
        <v>0</v>
      </c>
      <c r="DH81">
        <v>1.3333333333333334E-2</v>
      </c>
      <c r="DI81">
        <v>2.3333333333333331E-2</v>
      </c>
      <c r="DJ81">
        <v>0</v>
      </c>
      <c r="DL81" s="18"/>
      <c r="DM81" s="80">
        <v>6</v>
      </c>
      <c r="DN81" s="151">
        <v>8.0000000000000002E-3</v>
      </c>
      <c r="DO81" s="72">
        <v>0.01</v>
      </c>
      <c r="DP81" s="260">
        <v>1.3333333333333334E-2</v>
      </c>
      <c r="DQ81" s="261">
        <v>0.01</v>
      </c>
      <c r="DR81" s="154">
        <v>0.02</v>
      </c>
      <c r="DS81" s="262">
        <v>8.5714285714285719E-3</v>
      </c>
      <c r="DT81" s="263">
        <v>3.3333333333333335E-3</v>
      </c>
      <c r="DU81" s="264">
        <v>6.6666666666666671E-3</v>
      </c>
      <c r="DV81" s="265">
        <v>0</v>
      </c>
      <c r="DW81" s="266">
        <v>6.6666666666666671E-3</v>
      </c>
      <c r="DX81" s="267">
        <v>0</v>
      </c>
    </row>
    <row r="82" spans="100:128" x14ac:dyDescent="0.2">
      <c r="CX82" t="s">
        <v>56</v>
      </c>
      <c r="CY82">
        <v>13</v>
      </c>
      <c r="CZ82">
        <v>7.9999998211920005E-3</v>
      </c>
      <c r="DA82">
        <v>9.9999997764933339E-3</v>
      </c>
      <c r="DB82">
        <v>3.3333332588266671E-3</v>
      </c>
      <c r="DC82">
        <v>3.3333332588266671E-3</v>
      </c>
      <c r="DD82">
        <v>0</v>
      </c>
      <c r="DE82">
        <v>0.12571428476706287</v>
      </c>
      <c r="DF82">
        <v>6.6666665176533342E-3</v>
      </c>
      <c r="DG82">
        <v>1.3333333035293334E-2</v>
      </c>
      <c r="DH82">
        <v>6.6666665176533342E-3</v>
      </c>
      <c r="DI82">
        <v>9.9999997764933339E-3</v>
      </c>
      <c r="DJ82">
        <v>6.6666665176533342E-3</v>
      </c>
      <c r="DL82" s="18"/>
      <c r="DM82" s="80">
        <v>9</v>
      </c>
      <c r="DN82" s="151">
        <v>0</v>
      </c>
      <c r="DO82" s="72">
        <v>0</v>
      </c>
      <c r="DP82" s="260">
        <v>0</v>
      </c>
      <c r="DQ82" s="261">
        <v>0</v>
      </c>
      <c r="DR82" s="154">
        <v>0</v>
      </c>
      <c r="DS82" s="262">
        <v>0</v>
      </c>
      <c r="DT82" s="263">
        <v>0</v>
      </c>
      <c r="DU82" s="264">
        <v>0</v>
      </c>
      <c r="DV82" s="265">
        <v>0</v>
      </c>
      <c r="DW82" s="266">
        <v>0</v>
      </c>
      <c r="DX82" s="267">
        <v>0</v>
      </c>
    </row>
    <row r="83" spans="100:128" x14ac:dyDescent="0.2">
      <c r="CY83">
        <v>16</v>
      </c>
      <c r="CZ83">
        <v>0</v>
      </c>
      <c r="DA83">
        <v>3.3333333333333335E-3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L83" s="18"/>
      <c r="DM83" s="80">
        <v>10</v>
      </c>
      <c r="DN83" s="151">
        <v>0</v>
      </c>
      <c r="DO83" s="72">
        <v>0</v>
      </c>
      <c r="DP83" s="260">
        <v>0</v>
      </c>
      <c r="DQ83" s="261">
        <v>0</v>
      </c>
      <c r="DR83" s="154">
        <v>0</v>
      </c>
      <c r="DS83" s="262">
        <v>0</v>
      </c>
      <c r="DT83" s="263">
        <v>0</v>
      </c>
      <c r="DU83" s="264">
        <v>0</v>
      </c>
      <c r="DV83" s="265">
        <v>0</v>
      </c>
      <c r="DW83" s="266">
        <v>0</v>
      </c>
      <c r="DX83" s="267">
        <v>0</v>
      </c>
    </row>
    <row r="84" spans="100:128" x14ac:dyDescent="0.2">
      <c r="CY84">
        <v>18</v>
      </c>
      <c r="CZ84">
        <v>2E-3</v>
      </c>
      <c r="DA84">
        <v>0.01</v>
      </c>
      <c r="DB84">
        <v>0.01</v>
      </c>
      <c r="DC84">
        <v>0</v>
      </c>
      <c r="DD84">
        <v>0</v>
      </c>
      <c r="DE84">
        <v>2.8571428571428571E-3</v>
      </c>
      <c r="DF84">
        <v>1.6666666666666668E-3</v>
      </c>
      <c r="DG84">
        <v>0</v>
      </c>
      <c r="DH84">
        <v>3.3333333333333335E-3</v>
      </c>
      <c r="DI84">
        <v>0</v>
      </c>
      <c r="DJ84">
        <v>0</v>
      </c>
      <c r="DL84" s="18"/>
      <c r="DM84" s="80">
        <v>11</v>
      </c>
      <c r="DN84" s="151">
        <v>0</v>
      </c>
      <c r="DO84" s="72">
        <v>0</v>
      </c>
      <c r="DP84" s="260">
        <v>6.6666666666666671E-3</v>
      </c>
      <c r="DQ84" s="261">
        <v>0</v>
      </c>
      <c r="DR84" s="154">
        <v>0</v>
      </c>
      <c r="DS84" s="262">
        <v>0</v>
      </c>
      <c r="DT84" s="263">
        <v>0</v>
      </c>
      <c r="DU84" s="264">
        <v>3.3333333333333335E-3</v>
      </c>
      <c r="DV84" s="265">
        <v>0</v>
      </c>
      <c r="DW84" s="266">
        <v>0</v>
      </c>
      <c r="DX84" s="267">
        <v>0</v>
      </c>
    </row>
    <row r="85" spans="100:128" x14ac:dyDescent="0.2">
      <c r="CY85">
        <v>19</v>
      </c>
      <c r="CZ85">
        <v>0</v>
      </c>
      <c r="DA85">
        <v>0</v>
      </c>
      <c r="DB85">
        <v>3.6666666468E-2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L85" s="18"/>
      <c r="DM85" s="80">
        <v>12</v>
      </c>
      <c r="DN85" s="151">
        <v>0</v>
      </c>
      <c r="DO85" s="72">
        <v>0</v>
      </c>
      <c r="DP85" s="260">
        <v>0</v>
      </c>
      <c r="DQ85" s="261">
        <v>0</v>
      </c>
      <c r="DR85" s="154">
        <v>0</v>
      </c>
      <c r="DS85" s="262">
        <v>2.8571428571428571E-3</v>
      </c>
      <c r="DT85" s="263">
        <v>0</v>
      </c>
      <c r="DU85" s="264">
        <v>0</v>
      </c>
      <c r="DV85" s="265">
        <v>1.3333333333333334E-2</v>
      </c>
      <c r="DW85" s="266">
        <v>2.3333333333333331E-2</v>
      </c>
      <c r="DX85" s="267">
        <v>0</v>
      </c>
    </row>
    <row r="86" spans="100:128" x14ac:dyDescent="0.2">
      <c r="CY86">
        <v>20</v>
      </c>
      <c r="CZ86">
        <v>2E-3</v>
      </c>
      <c r="DA86">
        <v>3.3333333333333335E-3</v>
      </c>
      <c r="DB86">
        <v>1.6666666333333333E-2</v>
      </c>
      <c r="DC86">
        <v>1.3333333000000001E-2</v>
      </c>
      <c r="DD86">
        <v>7.3333331666666668E-2</v>
      </c>
      <c r="DE86">
        <v>5.7142855714285715E-3</v>
      </c>
      <c r="DF86">
        <v>0</v>
      </c>
      <c r="DG86">
        <v>9.9999996666666671E-3</v>
      </c>
      <c r="DH86">
        <v>3.6666666666666667E-2</v>
      </c>
      <c r="DI86">
        <v>0</v>
      </c>
      <c r="DJ86">
        <v>1.6666666333333333E-2</v>
      </c>
      <c r="DL86" s="18"/>
      <c r="DM86" s="80">
        <v>13</v>
      </c>
      <c r="DN86" s="151">
        <v>5.9999998658880008E-3</v>
      </c>
      <c r="DO86" s="72">
        <v>9.9999997764933339E-3</v>
      </c>
      <c r="DP86" s="260">
        <v>3.3333332588266671E-3</v>
      </c>
      <c r="DQ86" s="261">
        <v>3.3333332588266671E-3</v>
      </c>
      <c r="DR86" s="154">
        <v>0</v>
      </c>
      <c r="DS86" s="262">
        <v>0.12571428476706287</v>
      </c>
      <c r="DT86" s="263">
        <v>6.6666665176533342E-3</v>
      </c>
      <c r="DU86" s="264">
        <v>1.3333333035293334E-2</v>
      </c>
      <c r="DV86" s="265">
        <v>6.6666665176533342E-3</v>
      </c>
      <c r="DW86" s="266">
        <v>9.9999997764933339E-3</v>
      </c>
      <c r="DX86" s="267">
        <v>6.6666665176533342E-3</v>
      </c>
    </row>
    <row r="87" spans="100:128" x14ac:dyDescent="0.2">
      <c r="CY87" t="s">
        <v>52</v>
      </c>
      <c r="CZ87">
        <f>AVERAGE(CZ75:CZ86)</f>
        <v>1.6666666405900001E-3</v>
      </c>
      <c r="DA87" s="18">
        <f t="shared" ref="DA87:DJ87" si="88">AVERAGE(DA75:DA86)</f>
        <v>3.6111110800677777E-3</v>
      </c>
      <c r="DB87" s="18">
        <f t="shared" si="88"/>
        <v>7.2222221592622218E-3</v>
      </c>
      <c r="DC87" s="18">
        <f t="shared" si="88"/>
        <v>2.7777777313733334E-3</v>
      </c>
      <c r="DD87" s="18">
        <f t="shared" si="88"/>
        <v>8.6111109535955566E-3</v>
      </c>
      <c r="DE87" s="18">
        <f t="shared" si="88"/>
        <v>1.2619047517563813E-2</v>
      </c>
      <c r="DF87" s="18">
        <f t="shared" si="88"/>
        <v>1.2499999813733334E-3</v>
      </c>
      <c r="DG87" s="18">
        <f t="shared" si="88"/>
        <v>3.0555554905233335E-3</v>
      </c>
      <c r="DH87" s="18">
        <f t="shared" si="88"/>
        <v>4.9999999875822224E-3</v>
      </c>
      <c r="DI87" s="18">
        <f t="shared" si="88"/>
        <v>3.6111110862766665E-3</v>
      </c>
      <c r="DJ87" s="18">
        <f t="shared" si="88"/>
        <v>2.4999999473866667E-3</v>
      </c>
      <c r="DM87" s="80">
        <v>15</v>
      </c>
      <c r="DN87" s="151">
        <v>2E-3</v>
      </c>
      <c r="DO87" s="72">
        <v>0</v>
      </c>
      <c r="DP87" s="260">
        <v>0</v>
      </c>
      <c r="DQ87" s="261">
        <v>3.0000001333333332E-2</v>
      </c>
      <c r="DR87" s="154">
        <v>0</v>
      </c>
      <c r="DS87" s="262">
        <v>1.428571442857143E-2</v>
      </c>
      <c r="DT87" s="263">
        <v>3.0000001166666665E-2</v>
      </c>
      <c r="DU87" s="264">
        <v>7.6666668000000007E-2</v>
      </c>
      <c r="DV87" s="265">
        <v>3.0000001333333332E-2</v>
      </c>
      <c r="DW87" s="266">
        <v>0</v>
      </c>
      <c r="DX87" s="267">
        <v>0</v>
      </c>
    </row>
    <row r="88" spans="100:128" x14ac:dyDescent="0.2">
      <c r="CY88" t="s">
        <v>53</v>
      </c>
      <c r="CZ88">
        <f>STDEV(CZ75:CZ86)</f>
        <v>2.386832514113544E-3</v>
      </c>
      <c r="DA88" s="18">
        <f t="shared" ref="DA88:DJ88" si="89">STDEV(DA75:DA86)</f>
        <v>4.3712405293383216E-3</v>
      </c>
      <c r="DB88" s="18">
        <f t="shared" si="89"/>
        <v>1.0994335782901786E-2</v>
      </c>
      <c r="DC88" s="18">
        <f t="shared" si="89"/>
        <v>4.6781963546758459E-3</v>
      </c>
      <c r="DD88" s="18">
        <f t="shared" si="89"/>
        <v>2.1294392660555963E-2</v>
      </c>
      <c r="DE88" s="18">
        <f t="shared" si="89"/>
        <v>3.5736789179183812E-2</v>
      </c>
      <c r="DF88" s="18">
        <f t="shared" si="89"/>
        <v>2.1467616736862254E-3</v>
      </c>
      <c r="DG88" s="18">
        <f t="shared" si="89"/>
        <v>4.8112521314614427E-3</v>
      </c>
      <c r="DH88" s="18">
        <f t="shared" si="89"/>
        <v>1.0777829842619553E-2</v>
      </c>
      <c r="DI88" s="18">
        <f t="shared" si="89"/>
        <v>7.0292797749775485E-3</v>
      </c>
      <c r="DJ88" s="18">
        <f t="shared" si="89"/>
        <v>5.1492864001517619E-3</v>
      </c>
      <c r="DM88" s="80">
        <v>17</v>
      </c>
      <c r="DN88" s="151">
        <v>0.22200000000000003</v>
      </c>
      <c r="DO88" s="72">
        <v>0.20333333333333337</v>
      </c>
      <c r="DP88" s="260">
        <v>0.52666666666666673</v>
      </c>
      <c r="DQ88" s="261">
        <v>0.26</v>
      </c>
      <c r="DR88" s="154">
        <v>0.10666666666666667</v>
      </c>
      <c r="DS88" s="262">
        <v>0.22714285714285712</v>
      </c>
      <c r="DT88" s="263">
        <v>0.11833333333333333</v>
      </c>
      <c r="DU88" s="264">
        <v>0.28333333333333338</v>
      </c>
      <c r="DV88" s="265">
        <v>0.75666666666666671</v>
      </c>
      <c r="DW88" s="266">
        <v>0.79</v>
      </c>
      <c r="DX88" s="267">
        <v>0</v>
      </c>
    </row>
    <row r="89" spans="100:128" x14ac:dyDescent="0.2">
      <c r="CY89" t="s">
        <v>54</v>
      </c>
      <c r="CZ89">
        <f>CZ88/SQRT(12)</f>
        <v>6.89019197267003E-4</v>
      </c>
      <c r="DA89" s="18">
        <f t="shared" ref="DA89:DJ89" si="90">DA88/SQRT(12)</f>
        <v>1.2618684481530411E-3</v>
      </c>
      <c r="DB89" s="18">
        <f t="shared" si="90"/>
        <v>3.1737913619097409E-3</v>
      </c>
      <c r="DC89" s="18">
        <f t="shared" si="90"/>
        <v>1.3504789623470129E-3</v>
      </c>
      <c r="DD89" s="18">
        <f t="shared" si="90"/>
        <v>6.1471616674007882E-3</v>
      </c>
      <c r="DE89" s="18">
        <f t="shared" si="90"/>
        <v>1.031632242628734E-2</v>
      </c>
      <c r="DF89" s="18">
        <f t="shared" si="90"/>
        <v>6.1971671509435697E-4</v>
      </c>
      <c r="DG89" s="18">
        <f t="shared" si="90"/>
        <v>1.3888888566192124E-3</v>
      </c>
      <c r="DH89" s="18">
        <f t="shared" si="90"/>
        <v>3.1112914804581906E-3</v>
      </c>
      <c r="DI89" s="18">
        <f t="shared" si="90"/>
        <v>2.0291782851462399E-3</v>
      </c>
      <c r="DJ89" s="18">
        <f t="shared" si="90"/>
        <v>1.4864709446310495E-3</v>
      </c>
      <c r="DM89" s="80">
        <v>18</v>
      </c>
      <c r="DN89" s="151">
        <v>2E-3</v>
      </c>
      <c r="DO89" s="72">
        <v>0.01</v>
      </c>
      <c r="DP89" s="260">
        <v>0.01</v>
      </c>
      <c r="DQ89" s="261">
        <v>0</v>
      </c>
      <c r="DR89" s="154">
        <v>0</v>
      </c>
      <c r="DS89" s="262">
        <v>2.8571428571428571E-3</v>
      </c>
      <c r="DT89" s="263">
        <v>1.6666666666666668E-3</v>
      </c>
      <c r="DU89" s="264">
        <v>0</v>
      </c>
      <c r="DV89" s="265">
        <v>3.3333333333333335E-3</v>
      </c>
      <c r="DW89" s="266">
        <v>0</v>
      </c>
      <c r="DX89" s="267">
        <v>0</v>
      </c>
    </row>
    <row r="90" spans="100:128" x14ac:dyDescent="0.2">
      <c r="CY90" t="s">
        <v>308</v>
      </c>
      <c r="CZ90">
        <f>TTEST(CZ57:CZ68,CZ75:CZ86,1,1)</f>
        <v>8.3186754868291488E-4</v>
      </c>
      <c r="DA90" s="18">
        <f t="shared" ref="DA90:DJ90" si="91">TTEST(DA57:DA68,DA75:DA86,1,1)</f>
        <v>6.1740280816571498E-4</v>
      </c>
      <c r="DB90" s="18">
        <f t="shared" si="91"/>
        <v>1.4771759997050551E-3</v>
      </c>
      <c r="DC90" s="18">
        <f t="shared" si="91"/>
        <v>2.6908378220318453E-4</v>
      </c>
      <c r="DD90" s="18">
        <f t="shared" si="91"/>
        <v>3.765998983911124E-3</v>
      </c>
      <c r="DE90" s="18">
        <f t="shared" si="91"/>
        <v>1.4445271204617471E-3</v>
      </c>
      <c r="DF90" s="18">
        <f t="shared" si="91"/>
        <v>1.2503628575788571E-2</v>
      </c>
      <c r="DG90" s="18">
        <f t="shared" si="91"/>
        <v>1.5500090177664061E-4</v>
      </c>
      <c r="DH90" s="18">
        <f t="shared" si="91"/>
        <v>1.9149568086058615E-5</v>
      </c>
      <c r="DI90" s="18">
        <f t="shared" si="91"/>
        <v>1.9762931085427665E-5</v>
      </c>
      <c r="DJ90" s="18">
        <f t="shared" si="91"/>
        <v>5.661437288562056E-4</v>
      </c>
      <c r="DM90" s="80">
        <v>19</v>
      </c>
      <c r="DN90" s="151">
        <v>0</v>
      </c>
      <c r="DO90" s="72">
        <v>0</v>
      </c>
      <c r="DP90" s="260">
        <v>3.6666666468E-2</v>
      </c>
      <c r="DQ90" s="261">
        <v>0</v>
      </c>
      <c r="DR90" s="154">
        <v>0</v>
      </c>
      <c r="DS90" s="262">
        <v>0</v>
      </c>
      <c r="DT90" s="263">
        <v>0</v>
      </c>
      <c r="DU90" s="264">
        <v>0</v>
      </c>
      <c r="DV90" s="265">
        <v>0</v>
      </c>
      <c r="DW90" s="266">
        <v>0</v>
      </c>
      <c r="DX90" s="267">
        <v>0</v>
      </c>
    </row>
    <row r="91" spans="100:128" x14ac:dyDescent="0.2">
      <c r="CY91" t="s">
        <v>309</v>
      </c>
      <c r="CZ91">
        <f>TTEST(CZ57:CZ68,CZ75:CZ86,2,1)</f>
        <v>1.6637350973658298E-3</v>
      </c>
      <c r="DA91" s="18">
        <f t="shared" ref="DA91:DJ91" si="92">TTEST(DA57:DA68,DA75:DA86,2,1)</f>
        <v>1.23480561633143E-3</v>
      </c>
      <c r="DB91" s="18">
        <f t="shared" si="92"/>
        <v>2.9543519994101103E-3</v>
      </c>
      <c r="DC91" s="18">
        <f t="shared" si="92"/>
        <v>5.3816756440636907E-4</v>
      </c>
      <c r="DD91" s="18">
        <f t="shared" si="92"/>
        <v>7.531997967822248E-3</v>
      </c>
      <c r="DE91" s="18">
        <f t="shared" si="92"/>
        <v>2.8890542409234941E-3</v>
      </c>
      <c r="DF91" s="18">
        <f t="shared" si="92"/>
        <v>2.5007257151577141E-2</v>
      </c>
      <c r="DG91" s="18">
        <f t="shared" si="92"/>
        <v>3.1000180355328122E-4</v>
      </c>
      <c r="DH91" s="18">
        <f t="shared" si="92"/>
        <v>3.8299136172117229E-5</v>
      </c>
      <c r="DI91" s="18">
        <f t="shared" si="92"/>
        <v>3.9525862170855331E-5</v>
      </c>
      <c r="DJ91" s="18">
        <f t="shared" si="92"/>
        <v>1.1322874577124112E-3</v>
      </c>
      <c r="DM91" s="80">
        <v>20</v>
      </c>
      <c r="DN91" s="151">
        <v>5.9999998000000001E-3</v>
      </c>
      <c r="DO91" s="72">
        <v>3.3333333333333335E-3</v>
      </c>
      <c r="DP91" s="260">
        <v>1.6666666333333333E-2</v>
      </c>
      <c r="DQ91" s="261">
        <v>1.3333333000000001E-2</v>
      </c>
      <c r="DR91" s="154">
        <v>7.3333331666666668E-2</v>
      </c>
      <c r="DS91" s="262">
        <v>5.7142855714285715E-3</v>
      </c>
      <c r="DT91" s="263">
        <v>0</v>
      </c>
      <c r="DU91" s="264">
        <v>9.9999996666666671E-3</v>
      </c>
      <c r="DV91" s="265">
        <v>3.6666666666666667E-2</v>
      </c>
      <c r="DW91" s="266">
        <v>0</v>
      </c>
      <c r="DX91" s="267">
        <v>1.6666666333333333E-2</v>
      </c>
    </row>
    <row r="92" spans="100:128" x14ac:dyDescent="0.2">
      <c r="CY92" t="s">
        <v>674</v>
      </c>
      <c r="CZ92" s="21">
        <f>CZ90*11</f>
        <v>9.1505430355120643E-3</v>
      </c>
      <c r="DA92" s="21">
        <f t="shared" ref="DA92:DJ92" si="93">DA90*11</f>
        <v>6.7914308898228649E-3</v>
      </c>
      <c r="DB92" s="21">
        <f t="shared" si="93"/>
        <v>1.6248935996755608E-2</v>
      </c>
      <c r="DC92" s="21">
        <f t="shared" si="93"/>
        <v>2.95992160423503E-3</v>
      </c>
      <c r="DD92" s="21">
        <f t="shared" si="93"/>
        <v>4.1425988823022362E-2</v>
      </c>
      <c r="DE92" s="21">
        <f t="shared" si="93"/>
        <v>1.5889798325079217E-2</v>
      </c>
      <c r="DF92" s="18">
        <f t="shared" si="93"/>
        <v>0.13753991433367427</v>
      </c>
      <c r="DG92" s="21">
        <f t="shared" si="93"/>
        <v>1.7050099195430467E-3</v>
      </c>
      <c r="DH92" s="21">
        <f t="shared" si="93"/>
        <v>2.1064524894664477E-4</v>
      </c>
      <c r="DI92" s="21">
        <f t="shared" si="93"/>
        <v>2.1739224193970431E-4</v>
      </c>
      <c r="DJ92" s="21">
        <f t="shared" si="93"/>
        <v>6.2275810174182615E-3</v>
      </c>
      <c r="DM92" s="18" t="s">
        <v>52</v>
      </c>
      <c r="DN92">
        <f>AVERAGE(DN77:DN91)</f>
        <v>1.6666666638432002E-2</v>
      </c>
      <c r="DO92" s="18">
        <f t="shared" ref="DO92:DX92" si="94">AVERAGE(DO77:DO91)</f>
        <v>1.6222222197387556E-2</v>
      </c>
      <c r="DP92" s="18">
        <f t="shared" si="94"/>
        <v>4.1333333282965339E-2</v>
      </c>
      <c r="DQ92" s="18">
        <f t="shared" si="94"/>
        <v>2.1555555607320889E-2</v>
      </c>
      <c r="DR92" s="18">
        <f t="shared" si="94"/>
        <v>1.3999999873987557E-2</v>
      </c>
      <c r="DS92" s="18">
        <f t="shared" si="94"/>
        <v>2.6190476118812946E-2</v>
      </c>
      <c r="DT92" s="18">
        <f t="shared" si="94"/>
        <v>1.0888888951765334E-2</v>
      </c>
      <c r="DU92" s="18">
        <f t="shared" si="94"/>
        <v>2.6666666703529782E-2</v>
      </c>
      <c r="DV92" s="18">
        <f t="shared" si="94"/>
        <v>5.6444444523399112E-2</v>
      </c>
      <c r="DW92" s="18">
        <f t="shared" si="94"/>
        <v>5.5555555535688007E-2</v>
      </c>
      <c r="DX92" s="18">
        <f t="shared" si="94"/>
        <v>1.9999999579093332E-3</v>
      </c>
    </row>
    <row r="93" spans="100:128" x14ac:dyDescent="0.2">
      <c r="CY93" t="s">
        <v>673</v>
      </c>
      <c r="CZ93" s="21">
        <f>CZ91*11</f>
        <v>1.8301086071024129E-2</v>
      </c>
      <c r="DA93" s="21">
        <f t="shared" ref="DA93:DJ93" si="95">DA91*11</f>
        <v>1.358286177964573E-2</v>
      </c>
      <c r="DB93" s="21">
        <f t="shared" si="95"/>
        <v>3.2497871993511215E-2</v>
      </c>
      <c r="DC93" s="21">
        <f t="shared" si="95"/>
        <v>5.9198432084700599E-3</v>
      </c>
      <c r="DD93" s="18">
        <f t="shared" si="95"/>
        <v>8.2851977646044725E-2</v>
      </c>
      <c r="DE93" s="21">
        <f t="shared" si="95"/>
        <v>3.1779596650158434E-2</v>
      </c>
      <c r="DF93" s="18">
        <f t="shared" si="95"/>
        <v>0.27507982866734854</v>
      </c>
      <c r="DG93" s="21">
        <f t="shared" si="95"/>
        <v>3.4100198390860934E-3</v>
      </c>
      <c r="DH93" s="21">
        <f t="shared" si="95"/>
        <v>4.2129049789328953E-4</v>
      </c>
      <c r="DI93" s="21">
        <f t="shared" si="95"/>
        <v>4.3478448387940862E-4</v>
      </c>
      <c r="DJ93" s="21">
        <f t="shared" si="95"/>
        <v>1.2455162034836523E-2</v>
      </c>
      <c r="DM93" s="18" t="s">
        <v>53</v>
      </c>
      <c r="DN93">
        <f>STDEV(DN77:DN91)</f>
        <v>5.6864081899035919E-2</v>
      </c>
      <c r="DO93" s="18">
        <f t="shared" ref="DO93:DX93" si="96">STDEV(DO77:DO91)</f>
        <v>5.1928929865883482E-2</v>
      </c>
      <c r="DP93" s="18">
        <f t="shared" si="96"/>
        <v>0.13462941494164213</v>
      </c>
      <c r="DQ93" s="18">
        <f t="shared" si="96"/>
        <v>6.6474325730667486E-2</v>
      </c>
      <c r="DR93" s="18">
        <f t="shared" si="96"/>
        <v>3.1977174180036996E-2</v>
      </c>
      <c r="DS93" s="18">
        <f t="shared" si="96"/>
        <v>6.406917412900659E-2</v>
      </c>
      <c r="DT93" s="18">
        <f t="shared" si="96"/>
        <v>3.0698654868949772E-2</v>
      </c>
      <c r="DU93" s="18">
        <f t="shared" si="96"/>
        <v>7.3614180905302001E-2</v>
      </c>
      <c r="DV93" s="18">
        <f t="shared" si="96"/>
        <v>0.19406048257049532</v>
      </c>
      <c r="DW93" s="18">
        <f t="shared" si="96"/>
        <v>0.2032773797639657</v>
      </c>
      <c r="DX93" s="18">
        <f t="shared" si="96"/>
        <v>4.6802522376112139E-3</v>
      </c>
    </row>
    <row r="94" spans="100:128" x14ac:dyDescent="0.2">
      <c r="DM94" s="18" t="s">
        <v>54</v>
      </c>
      <c r="DN94">
        <f>DN93/SQRT(15)</f>
        <v>1.4682242812822715E-2</v>
      </c>
      <c r="DO94" s="18">
        <f t="shared" ref="DO94:DX94" si="97">DO93/SQRT(15)</f>
        <v>1.3407992037129311E-2</v>
      </c>
      <c r="DP94" s="18">
        <f t="shared" si="97"/>
        <v>3.4761165465241863E-2</v>
      </c>
      <c r="DQ94" s="18">
        <f t="shared" si="97"/>
        <v>1.7163597100349488E-2</v>
      </c>
      <c r="DR94" s="18">
        <f t="shared" si="97"/>
        <v>8.256470870537139E-3</v>
      </c>
      <c r="DS94" s="18">
        <f t="shared" si="97"/>
        <v>1.6542589627127041E-2</v>
      </c>
      <c r="DT94" s="18">
        <f t="shared" si="97"/>
        <v>7.9263586038941132E-3</v>
      </c>
      <c r="DU94" s="18">
        <f t="shared" si="97"/>
        <v>1.9007099779395645E-2</v>
      </c>
      <c r="DV94" s="18">
        <f t="shared" si="97"/>
        <v>5.0106201143500201E-2</v>
      </c>
      <c r="DW94" s="18">
        <f t="shared" si="97"/>
        <v>5.2485993765767978E-2</v>
      </c>
      <c r="DX94" s="18">
        <f t="shared" si="97"/>
        <v>1.2084359314878819E-3</v>
      </c>
    </row>
    <row r="95" spans="100:128" x14ac:dyDescent="0.2">
      <c r="CY95" s="18"/>
      <c r="CZ95" s="18" t="s">
        <v>547</v>
      </c>
      <c r="DA95" s="18" t="s">
        <v>548</v>
      </c>
      <c r="DB95" s="18" t="s">
        <v>549</v>
      </c>
      <c r="DC95" s="18" t="s">
        <v>550</v>
      </c>
      <c r="DD95" s="18" t="s">
        <v>551</v>
      </c>
      <c r="DE95" s="18" t="s">
        <v>552</v>
      </c>
      <c r="DF95" s="18" t="s">
        <v>237</v>
      </c>
      <c r="DG95" s="18" t="s">
        <v>553</v>
      </c>
      <c r="DH95" s="18" t="s">
        <v>558</v>
      </c>
      <c r="DI95" s="18" t="s">
        <v>556</v>
      </c>
      <c r="DJ95" s="18" t="s">
        <v>562</v>
      </c>
    </row>
    <row r="96" spans="100:128" x14ac:dyDescent="0.2">
      <c r="CV96" s="170" t="s">
        <v>685</v>
      </c>
      <c r="CX96" t="s">
        <v>347</v>
      </c>
      <c r="CY96" s="18">
        <v>1</v>
      </c>
      <c r="CZ96">
        <f>CZ57-CZ75</f>
        <v>-3.999999910592E-3</v>
      </c>
      <c r="DA96" s="18">
        <f t="shared" ref="DA96:DJ96" si="98">DA57-DA75</f>
        <v>-6.6666665176533342E-3</v>
      </c>
      <c r="DB96" s="18">
        <f t="shared" si="98"/>
        <v>2.6666667933273335E-2</v>
      </c>
      <c r="DC96" s="18">
        <f t="shared" si="98"/>
        <v>3.6666665226346672E-2</v>
      </c>
      <c r="DD96" s="18">
        <f t="shared" si="98"/>
        <v>6.9999998435520003E-2</v>
      </c>
      <c r="DE96" s="18">
        <f t="shared" si="98"/>
        <v>-5.7142855865600006E-3</v>
      </c>
      <c r="DF96" s="18">
        <f t="shared" si="98"/>
        <v>-3.3333332588266671E-3</v>
      </c>
      <c r="DG96" s="18">
        <f t="shared" si="98"/>
        <v>7.0000001539646653E-2</v>
      </c>
      <c r="DH96" s="18">
        <f t="shared" si="98"/>
        <v>0.98666667938233321</v>
      </c>
      <c r="DI96" s="18">
        <f t="shared" si="98"/>
        <v>0.27333332784493997</v>
      </c>
      <c r="DJ96" s="18">
        <f t="shared" si="98"/>
        <v>-6.6666665176533342E-3</v>
      </c>
      <c r="DL96" t="s">
        <v>347</v>
      </c>
      <c r="DM96" t="s">
        <v>708</v>
      </c>
      <c r="DN96" s="18" t="s">
        <v>547</v>
      </c>
      <c r="DO96" s="18" t="s">
        <v>548</v>
      </c>
      <c r="DP96" s="18" t="s">
        <v>549</v>
      </c>
      <c r="DQ96" s="18" t="s">
        <v>550</v>
      </c>
      <c r="DR96" s="18" t="s">
        <v>551</v>
      </c>
      <c r="DS96" s="18" t="s">
        <v>552</v>
      </c>
      <c r="DT96" s="18" t="s">
        <v>237</v>
      </c>
      <c r="DU96" s="18" t="s">
        <v>553</v>
      </c>
      <c r="DV96" s="18" t="s">
        <v>558</v>
      </c>
      <c r="DW96" s="18" t="s">
        <v>556</v>
      </c>
      <c r="DX96" s="18" t="s">
        <v>562</v>
      </c>
    </row>
    <row r="97" spans="100:130" x14ac:dyDescent="0.2">
      <c r="CV97" s="170"/>
      <c r="CY97" s="18">
        <v>2</v>
      </c>
      <c r="CZ97" s="18">
        <f t="shared" ref="CZ97:DJ107" si="99">CZ58-CZ76</f>
        <v>0.40600000000000003</v>
      </c>
      <c r="DA97" s="18">
        <f t="shared" si="99"/>
        <v>0.22666666666666666</v>
      </c>
      <c r="DB97" s="18">
        <f t="shared" si="99"/>
        <v>0.41333333333333327</v>
      </c>
      <c r="DC97" s="18">
        <f t="shared" si="99"/>
        <v>0.37666666666666665</v>
      </c>
      <c r="DD97" s="18">
        <f t="shared" si="99"/>
        <v>0.48333333333333339</v>
      </c>
      <c r="DE97" s="18">
        <f t="shared" si="99"/>
        <v>0.20142857142857146</v>
      </c>
      <c r="DF97" s="18">
        <f t="shared" si="99"/>
        <v>3.8333333333333337E-2</v>
      </c>
      <c r="DG97" s="18">
        <f t="shared" si="99"/>
        <v>0.62</v>
      </c>
      <c r="DH97" s="18">
        <f t="shared" si="99"/>
        <v>0.55000000000000004</v>
      </c>
      <c r="DI97" s="18">
        <f t="shared" si="99"/>
        <v>0.69</v>
      </c>
      <c r="DJ97" s="18">
        <f t="shared" si="99"/>
        <v>0.34</v>
      </c>
      <c r="DM97" s="80">
        <v>1</v>
      </c>
      <c r="DN97" s="151">
        <f>DN57-DN77</f>
        <v>3.9999999105840003E-3</v>
      </c>
      <c r="DO97" s="72">
        <f t="shared" ref="DO97:DX97" si="100">DO57-DO77</f>
        <v>-6.6666665176533342E-3</v>
      </c>
      <c r="DP97" s="260">
        <f t="shared" si="100"/>
        <v>2.6666667933273335E-2</v>
      </c>
      <c r="DQ97" s="261">
        <f t="shared" si="100"/>
        <v>3.6666665226346672E-2</v>
      </c>
      <c r="DR97" s="154">
        <f t="shared" si="100"/>
        <v>6.9999998435520003E-2</v>
      </c>
      <c r="DS97" s="262">
        <f t="shared" si="100"/>
        <v>-5.7142855865600006E-3</v>
      </c>
      <c r="DT97" s="263">
        <f t="shared" si="100"/>
        <v>-3.3333332588266671E-3</v>
      </c>
      <c r="DU97" s="264">
        <f t="shared" si="100"/>
        <v>7.0000001539646653E-2</v>
      </c>
      <c r="DV97" s="265">
        <f t="shared" si="100"/>
        <v>0.98666667938233321</v>
      </c>
      <c r="DW97" s="266">
        <f t="shared" si="100"/>
        <v>0.27333332784493997</v>
      </c>
      <c r="DX97" s="267">
        <f t="shared" si="100"/>
        <v>-6.6666665176533342E-3</v>
      </c>
    </row>
    <row r="98" spans="100:130" x14ac:dyDescent="0.2">
      <c r="CY98" s="18">
        <v>3</v>
      </c>
      <c r="CZ98" s="18">
        <f t="shared" si="99"/>
        <v>0.04</v>
      </c>
      <c r="DA98" s="18">
        <f t="shared" si="99"/>
        <v>0.20000000000000004</v>
      </c>
      <c r="DB98" s="18">
        <f t="shared" si="99"/>
        <v>0.14666666666666667</v>
      </c>
      <c r="DC98" s="18">
        <f t="shared" si="99"/>
        <v>0.28666666666666668</v>
      </c>
      <c r="DD98" s="18">
        <f t="shared" si="99"/>
        <v>3.3333333333333335E-3</v>
      </c>
      <c r="DE98" s="18">
        <f t="shared" si="99"/>
        <v>0.19285714285714287</v>
      </c>
      <c r="DF98" s="18">
        <f t="shared" si="99"/>
        <v>6.6666666666666666E-2</v>
      </c>
      <c r="DG98" s="18">
        <f t="shared" si="99"/>
        <v>0.06</v>
      </c>
      <c r="DH98" s="18">
        <f t="shared" si="99"/>
        <v>0.21</v>
      </c>
      <c r="DI98" s="18">
        <f t="shared" si="99"/>
        <v>0.20666666666666667</v>
      </c>
      <c r="DJ98" s="18">
        <f t="shared" si="99"/>
        <v>0.20333333333333334</v>
      </c>
      <c r="DM98" s="80">
        <v>2</v>
      </c>
      <c r="DN98" s="151">
        <f t="shared" ref="DN98:DN111" si="101">DN58-DN78</f>
        <v>0.43599999999999994</v>
      </c>
      <c r="DO98" s="72">
        <f t="shared" ref="DO98:DX98" si="102">DO58-DO78</f>
        <v>0.22666666666666666</v>
      </c>
      <c r="DP98" s="260">
        <f t="shared" si="102"/>
        <v>0.41333333333333327</v>
      </c>
      <c r="DQ98" s="261">
        <f t="shared" si="102"/>
        <v>0.37666666666666665</v>
      </c>
      <c r="DR98" s="154">
        <f t="shared" si="102"/>
        <v>0.48333333333333339</v>
      </c>
      <c r="DS98" s="262">
        <f t="shared" si="102"/>
        <v>0.20142857142857146</v>
      </c>
      <c r="DT98" s="263">
        <f t="shared" si="102"/>
        <v>3.8333333333333337E-2</v>
      </c>
      <c r="DU98" s="264">
        <f t="shared" si="102"/>
        <v>0.62</v>
      </c>
      <c r="DV98" s="265">
        <f t="shared" si="102"/>
        <v>0.55000000000000004</v>
      </c>
      <c r="DW98" s="266">
        <f t="shared" si="102"/>
        <v>0.69</v>
      </c>
      <c r="DX98" s="267">
        <f t="shared" si="102"/>
        <v>0.34</v>
      </c>
    </row>
    <row r="99" spans="100:130" x14ac:dyDescent="0.2">
      <c r="CY99" s="18">
        <v>4</v>
      </c>
      <c r="CZ99" s="18">
        <f t="shared" si="99"/>
        <v>0.83400000445530398</v>
      </c>
      <c r="DA99" s="18">
        <f t="shared" si="99"/>
        <v>0.33333333333333331</v>
      </c>
      <c r="DB99" s="18">
        <f t="shared" si="99"/>
        <v>1</v>
      </c>
      <c r="DC99" s="18">
        <f t="shared" si="99"/>
        <v>0.76333332061766657</v>
      </c>
      <c r="DD99" s="18">
        <f t="shared" si="99"/>
        <v>0.99333333969100002</v>
      </c>
      <c r="DE99" s="18">
        <f t="shared" si="99"/>
        <v>0.5714285714285714</v>
      </c>
      <c r="DF99" s="18">
        <f t="shared" si="99"/>
        <v>0.48833332614341335</v>
      </c>
      <c r="DG99" s="18">
        <f t="shared" si="99"/>
        <v>0.66999999992549331</v>
      </c>
      <c r="DH99" s="18">
        <f t="shared" si="99"/>
        <v>1</v>
      </c>
      <c r="DI99" s="18">
        <f t="shared" si="99"/>
        <v>0.85999999443700004</v>
      </c>
      <c r="DJ99" s="18">
        <f t="shared" si="99"/>
        <v>0.5499999920526667</v>
      </c>
      <c r="DM99" s="80">
        <v>3</v>
      </c>
      <c r="DN99" s="151">
        <f t="shared" si="101"/>
        <v>2E-3</v>
      </c>
      <c r="DO99" s="72">
        <f t="shared" ref="DO99:DX99" si="103">DO59-DO79</f>
        <v>0.20000000000000004</v>
      </c>
      <c r="DP99" s="260">
        <f t="shared" si="103"/>
        <v>0.14666666666666667</v>
      </c>
      <c r="DQ99" s="261">
        <f t="shared" si="103"/>
        <v>0.28666666666666668</v>
      </c>
      <c r="DR99" s="154">
        <f t="shared" si="103"/>
        <v>3.3333333333333335E-3</v>
      </c>
      <c r="DS99" s="262">
        <f t="shared" si="103"/>
        <v>0.19285714285714287</v>
      </c>
      <c r="DT99" s="263">
        <f t="shared" si="103"/>
        <v>6.6666666666666666E-2</v>
      </c>
      <c r="DU99" s="264">
        <f t="shared" si="103"/>
        <v>0.06</v>
      </c>
      <c r="DV99" s="265">
        <f t="shared" si="103"/>
        <v>0.21</v>
      </c>
      <c r="DW99" s="266">
        <f t="shared" si="103"/>
        <v>0.20666666666666667</v>
      </c>
      <c r="DX99" s="267">
        <f t="shared" si="103"/>
        <v>0.20333333333333334</v>
      </c>
    </row>
    <row r="100" spans="100:130" x14ac:dyDescent="0.2">
      <c r="CY100" s="18">
        <v>6</v>
      </c>
      <c r="CZ100" s="18">
        <f t="shared" si="99"/>
        <v>1.9999999999999997E-2</v>
      </c>
      <c r="DA100" s="18">
        <f t="shared" si="99"/>
        <v>1.9999999999999997E-2</v>
      </c>
      <c r="DB100" s="18">
        <f t="shared" si="99"/>
        <v>1.9999999999999997E-2</v>
      </c>
      <c r="DC100" s="18">
        <f t="shared" si="99"/>
        <v>0.01</v>
      </c>
      <c r="DD100" s="18">
        <f t="shared" si="99"/>
        <v>0</v>
      </c>
      <c r="DE100" s="18">
        <f t="shared" si="99"/>
        <v>1.1428571428571429E-2</v>
      </c>
      <c r="DF100" s="18">
        <f t="shared" si="99"/>
        <v>0.02</v>
      </c>
      <c r="DG100" s="18">
        <f t="shared" si="99"/>
        <v>4.3333333333333328E-2</v>
      </c>
      <c r="DH100" s="18">
        <f t="shared" si="99"/>
        <v>0.02</v>
      </c>
      <c r="DI100" s="18">
        <f t="shared" si="99"/>
        <v>1.3333333333333332E-2</v>
      </c>
      <c r="DJ100" s="18">
        <f t="shared" si="99"/>
        <v>0.02</v>
      </c>
      <c r="DM100" s="80">
        <v>4</v>
      </c>
      <c r="DN100" s="151">
        <f t="shared" si="101"/>
        <v>0.83400000445530398</v>
      </c>
      <c r="DO100" s="72">
        <f t="shared" ref="DO100:DX100" si="104">DO60-DO80</f>
        <v>0.33333333333333331</v>
      </c>
      <c r="DP100" s="260">
        <f t="shared" si="104"/>
        <v>1</v>
      </c>
      <c r="DQ100" s="261">
        <f t="shared" si="104"/>
        <v>0.76333332061766657</v>
      </c>
      <c r="DR100" s="154">
        <f t="shared" si="104"/>
        <v>0.99333333969100002</v>
      </c>
      <c r="DS100" s="262">
        <f t="shared" si="104"/>
        <v>0.5714285714285714</v>
      </c>
      <c r="DT100" s="263">
        <f t="shared" si="104"/>
        <v>0.48833332614341335</v>
      </c>
      <c r="DU100" s="264">
        <f t="shared" si="104"/>
        <v>0.66999999992549331</v>
      </c>
      <c r="DV100" s="265">
        <f t="shared" si="104"/>
        <v>1</v>
      </c>
      <c r="DW100" s="266">
        <f t="shared" si="104"/>
        <v>0.85999999443700004</v>
      </c>
      <c r="DX100" s="267">
        <f t="shared" si="104"/>
        <v>0.5499999920526667</v>
      </c>
    </row>
    <row r="101" spans="100:130" x14ac:dyDescent="0.2">
      <c r="CY101" s="18">
        <v>9</v>
      </c>
      <c r="CZ101" s="18">
        <f t="shared" si="99"/>
        <v>0.18800000020000002</v>
      </c>
      <c r="DA101" s="18">
        <f t="shared" si="99"/>
        <v>6.6666666666666671E-3</v>
      </c>
      <c r="DB101" s="18">
        <f t="shared" si="99"/>
        <v>0.29000000133333331</v>
      </c>
      <c r="DC101" s="18">
        <f t="shared" si="99"/>
        <v>0.52999999133333331</v>
      </c>
      <c r="DD101" s="18">
        <f t="shared" si="99"/>
        <v>0.66666666666666663</v>
      </c>
      <c r="DE101" s="18">
        <f t="shared" si="99"/>
        <v>2.4285714571428575E-2</v>
      </c>
      <c r="DF101" s="18">
        <f t="shared" si="99"/>
        <v>0</v>
      </c>
      <c r="DG101" s="18">
        <f t="shared" si="99"/>
        <v>0.45333333799999997</v>
      </c>
      <c r="DH101" s="18">
        <f t="shared" si="99"/>
        <v>1</v>
      </c>
      <c r="DI101" s="18">
        <f t="shared" si="99"/>
        <v>0.72999999933333337</v>
      </c>
      <c r="DJ101" s="18">
        <f t="shared" si="99"/>
        <v>0.54000000166666673</v>
      </c>
      <c r="DM101" s="80">
        <v>6</v>
      </c>
      <c r="DN101" s="151">
        <f t="shared" si="101"/>
        <v>1.2E-2</v>
      </c>
      <c r="DO101" s="72">
        <f t="shared" ref="DO101:DX101" si="105">DO61-DO81</f>
        <v>1.9999999999999997E-2</v>
      </c>
      <c r="DP101" s="260">
        <f t="shared" si="105"/>
        <v>1.9999999999999997E-2</v>
      </c>
      <c r="DQ101" s="261">
        <f t="shared" si="105"/>
        <v>0.01</v>
      </c>
      <c r="DR101" s="154">
        <f t="shared" si="105"/>
        <v>0</v>
      </c>
      <c r="DS101" s="262">
        <f t="shared" si="105"/>
        <v>1.1428571428571429E-2</v>
      </c>
      <c r="DT101" s="263">
        <f t="shared" si="105"/>
        <v>0.02</v>
      </c>
      <c r="DU101" s="264">
        <f t="shared" si="105"/>
        <v>4.3333333333333328E-2</v>
      </c>
      <c r="DV101" s="265">
        <f t="shared" si="105"/>
        <v>0.02</v>
      </c>
      <c r="DW101" s="266">
        <f t="shared" si="105"/>
        <v>1.3333333333333332E-2</v>
      </c>
      <c r="DX101" s="267">
        <f t="shared" si="105"/>
        <v>0.02</v>
      </c>
    </row>
    <row r="102" spans="100:130" x14ac:dyDescent="0.2">
      <c r="CY102" s="18">
        <v>12</v>
      </c>
      <c r="CZ102" s="18">
        <f t="shared" si="99"/>
        <v>0.16799999999999998</v>
      </c>
      <c r="DA102" s="18">
        <f t="shared" si="99"/>
        <v>0</v>
      </c>
      <c r="DB102" s="18">
        <f t="shared" si="99"/>
        <v>0</v>
      </c>
      <c r="DC102" s="18">
        <f t="shared" si="99"/>
        <v>1.3333333333333334E-2</v>
      </c>
      <c r="DD102" s="18">
        <f t="shared" si="99"/>
        <v>0</v>
      </c>
      <c r="DE102" s="18">
        <f t="shared" si="99"/>
        <v>9.1428571428571415E-2</v>
      </c>
      <c r="DF102" s="18">
        <f t="shared" si="99"/>
        <v>0</v>
      </c>
      <c r="DG102" s="18">
        <f t="shared" si="99"/>
        <v>0.48</v>
      </c>
      <c r="DH102" s="18">
        <f t="shared" si="99"/>
        <v>0.98666666666666669</v>
      </c>
      <c r="DI102" s="18">
        <f t="shared" si="99"/>
        <v>0.97666666666666668</v>
      </c>
      <c r="DJ102" s="18">
        <f t="shared" si="99"/>
        <v>0</v>
      </c>
      <c r="DM102" s="80">
        <v>9</v>
      </c>
      <c r="DN102" s="151">
        <f t="shared" si="101"/>
        <v>0.38600000019999997</v>
      </c>
      <c r="DO102" s="72">
        <f t="shared" ref="DO102:DX102" si="106">DO62-DO82</f>
        <v>6.6666666666666671E-3</v>
      </c>
      <c r="DP102" s="260">
        <f t="shared" si="106"/>
        <v>0.29000000133333331</v>
      </c>
      <c r="DQ102" s="261">
        <f t="shared" si="106"/>
        <v>0.52999999133333331</v>
      </c>
      <c r="DR102" s="154">
        <f t="shared" si="106"/>
        <v>0.66666666666666663</v>
      </c>
      <c r="DS102" s="262">
        <f t="shared" si="106"/>
        <v>2.4285714571428575E-2</v>
      </c>
      <c r="DT102" s="263">
        <f t="shared" si="106"/>
        <v>0</v>
      </c>
      <c r="DU102" s="264">
        <f t="shared" si="106"/>
        <v>0.45333333799999997</v>
      </c>
      <c r="DV102" s="265">
        <f t="shared" si="106"/>
        <v>1</v>
      </c>
      <c r="DW102" s="266">
        <f t="shared" si="106"/>
        <v>0.72999999933333337</v>
      </c>
      <c r="DX102" s="267">
        <f t="shared" si="106"/>
        <v>0.54000000166666673</v>
      </c>
    </row>
    <row r="103" spans="100:130" x14ac:dyDescent="0.2">
      <c r="CY103" s="18">
        <v>13</v>
      </c>
      <c r="CZ103" s="18">
        <f t="shared" si="99"/>
        <v>0.21599999740722797</v>
      </c>
      <c r="DA103" s="18">
        <f t="shared" si="99"/>
        <v>0.33333332712433333</v>
      </c>
      <c r="DB103" s="18">
        <f t="shared" si="99"/>
        <v>0.23333332253017333</v>
      </c>
      <c r="DC103" s="18">
        <f t="shared" si="99"/>
        <v>0.45666666515184001</v>
      </c>
      <c r="DD103" s="18">
        <f t="shared" si="99"/>
        <v>0</v>
      </c>
      <c r="DE103" s="18">
        <f t="shared" si="99"/>
        <v>0.20142857836814859</v>
      </c>
      <c r="DF103" s="18">
        <f t="shared" si="99"/>
        <v>0.25666666372384667</v>
      </c>
      <c r="DG103" s="18">
        <f t="shared" si="99"/>
        <v>0.77333333839970664</v>
      </c>
      <c r="DH103" s="18">
        <f t="shared" si="99"/>
        <v>0.84999999776467994</v>
      </c>
      <c r="DI103" s="18">
        <f t="shared" si="99"/>
        <v>0.90666664702183997</v>
      </c>
      <c r="DJ103" s="18">
        <f t="shared" si="99"/>
        <v>0.25333333387967999</v>
      </c>
      <c r="DM103" s="80">
        <v>10</v>
      </c>
      <c r="DN103" s="151">
        <f t="shared" si="101"/>
        <v>0.29799999999999999</v>
      </c>
      <c r="DO103" s="72">
        <f t="shared" ref="DO103:DX103" si="107">DO63-DO83</f>
        <v>0.10666666666666667</v>
      </c>
      <c r="DP103" s="260">
        <f t="shared" si="107"/>
        <v>0.11333333333333333</v>
      </c>
      <c r="DQ103" s="261">
        <f t="shared" si="107"/>
        <v>7.0000000000000007E-2</v>
      </c>
      <c r="DR103" s="154">
        <f t="shared" si="107"/>
        <v>0.67333333333333334</v>
      </c>
      <c r="DS103" s="262">
        <f t="shared" si="107"/>
        <v>0.63428571428571423</v>
      </c>
      <c r="DT103" s="263">
        <f t="shared" si="107"/>
        <v>0.25333333333333335</v>
      </c>
      <c r="DU103" s="264">
        <f t="shared" si="107"/>
        <v>0.42333333333333334</v>
      </c>
      <c r="DV103" s="265">
        <f t="shared" si="107"/>
        <v>0.96333333333333326</v>
      </c>
      <c r="DW103" s="266">
        <f t="shared" si="107"/>
        <v>0.03</v>
      </c>
      <c r="DX103" s="267">
        <f t="shared" si="107"/>
        <v>0.15666666666666665</v>
      </c>
    </row>
    <row r="104" spans="100:130" x14ac:dyDescent="0.2">
      <c r="CY104" s="18">
        <v>16</v>
      </c>
      <c r="CZ104" s="18">
        <f t="shared" si="99"/>
        <v>0.28999999459999998</v>
      </c>
      <c r="DA104" s="18">
        <f t="shared" si="99"/>
        <v>0.24666666666666667</v>
      </c>
      <c r="DB104" s="18">
        <f t="shared" si="99"/>
        <v>0.33333333333333331</v>
      </c>
      <c r="DC104" s="18">
        <f t="shared" si="99"/>
        <v>0.52333333133333337</v>
      </c>
      <c r="DD104" s="18">
        <f t="shared" si="99"/>
        <v>0.21333334100000001</v>
      </c>
      <c r="DE104" s="18">
        <f t="shared" si="99"/>
        <v>0.13714286042857141</v>
      </c>
      <c r="DF104" s="18">
        <f t="shared" si="99"/>
        <v>0.141666667</v>
      </c>
      <c r="DG104" s="18">
        <f t="shared" si="99"/>
        <v>0.60333332433333331</v>
      </c>
      <c r="DH104" s="18">
        <f t="shared" si="99"/>
        <v>0.5666666726666667</v>
      </c>
      <c r="DI104" s="18">
        <f t="shared" si="99"/>
        <v>0.42333333333333334</v>
      </c>
      <c r="DJ104" s="18">
        <f t="shared" si="99"/>
        <v>0.36999999499999997</v>
      </c>
      <c r="DM104" s="80">
        <v>11</v>
      </c>
      <c r="DN104" s="151">
        <f t="shared" si="101"/>
        <v>6.599999840000001E-2</v>
      </c>
      <c r="DO104" s="72">
        <f t="shared" ref="DO104:DX104" si="108">DO64-DO84</f>
        <v>0.16999999933333335</v>
      </c>
      <c r="DP104" s="260">
        <f t="shared" si="108"/>
        <v>0.18666666600000001</v>
      </c>
      <c r="DQ104" s="261">
        <f t="shared" si="108"/>
        <v>5.0000000999999995E-2</v>
      </c>
      <c r="DR104" s="154">
        <f t="shared" si="108"/>
        <v>0</v>
      </c>
      <c r="DS104" s="262">
        <f t="shared" si="108"/>
        <v>0.11000000057142857</v>
      </c>
      <c r="DT104" s="263">
        <f t="shared" si="108"/>
        <v>2.4999999666666672E-2</v>
      </c>
      <c r="DU104" s="264">
        <f t="shared" si="108"/>
        <v>0.17333333999999997</v>
      </c>
      <c r="DV104" s="265">
        <f t="shared" si="108"/>
        <v>0.56000000233333325</v>
      </c>
      <c r="DW104" s="266">
        <f t="shared" si="108"/>
        <v>5.9999999333333331E-2</v>
      </c>
      <c r="DX104" s="267">
        <f t="shared" si="108"/>
        <v>4.3333333666666668E-2</v>
      </c>
    </row>
    <row r="105" spans="100:130" x14ac:dyDescent="0.2">
      <c r="CY105" s="18">
        <v>18</v>
      </c>
      <c r="CZ105" s="18">
        <f t="shared" si="99"/>
        <v>0.35599999840000002</v>
      </c>
      <c r="DA105" s="18">
        <f t="shared" si="99"/>
        <v>0.3066666726666667</v>
      </c>
      <c r="DB105" s="18">
        <f t="shared" si="99"/>
        <v>0.30666666766666667</v>
      </c>
      <c r="DC105" s="18">
        <f t="shared" si="99"/>
        <v>0.18333333366666668</v>
      </c>
      <c r="DD105" s="18">
        <f t="shared" si="99"/>
        <v>0.33000000666666662</v>
      </c>
      <c r="DE105" s="18">
        <f t="shared" si="99"/>
        <v>0.15857143057142856</v>
      </c>
      <c r="DF105" s="18">
        <f t="shared" si="99"/>
        <v>3.3333333333333331E-3</v>
      </c>
      <c r="DG105" s="18">
        <f t="shared" si="99"/>
        <v>0.176666667</v>
      </c>
      <c r="DH105" s="18">
        <f t="shared" si="99"/>
        <v>0.46333332566666663</v>
      </c>
      <c r="DI105" s="18">
        <f t="shared" si="99"/>
        <v>0.57999998333333336</v>
      </c>
      <c r="DJ105" s="18">
        <f t="shared" si="99"/>
        <v>0.51000001033333331</v>
      </c>
      <c r="DM105" s="80">
        <v>12</v>
      </c>
      <c r="DN105" s="151">
        <f t="shared" si="101"/>
        <v>0.17199999999999999</v>
      </c>
      <c r="DO105" s="72">
        <f t="shared" ref="DO105:DX105" si="109">DO65-DO85</f>
        <v>0</v>
      </c>
      <c r="DP105" s="260">
        <f t="shared" si="109"/>
        <v>0</v>
      </c>
      <c r="DQ105" s="261">
        <f t="shared" si="109"/>
        <v>1.3333333333333334E-2</v>
      </c>
      <c r="DR105" s="154">
        <f t="shared" si="109"/>
        <v>0</v>
      </c>
      <c r="DS105" s="262">
        <f t="shared" si="109"/>
        <v>9.1428571428571415E-2</v>
      </c>
      <c r="DT105" s="263">
        <f t="shared" si="109"/>
        <v>0</v>
      </c>
      <c r="DU105" s="264">
        <f t="shared" si="109"/>
        <v>0.48</v>
      </c>
      <c r="DV105" s="265">
        <f t="shared" si="109"/>
        <v>0.98666666666666669</v>
      </c>
      <c r="DW105" s="266">
        <f t="shared" si="109"/>
        <v>0.97666666666666668</v>
      </c>
      <c r="DX105" s="267">
        <f t="shared" si="109"/>
        <v>0</v>
      </c>
    </row>
    <row r="106" spans="100:130" x14ac:dyDescent="0.2">
      <c r="CY106" s="18">
        <v>19</v>
      </c>
      <c r="CZ106" s="18">
        <f t="shared" si="99"/>
        <v>0.37200000000000005</v>
      </c>
      <c r="DA106" s="18">
        <f t="shared" si="99"/>
        <v>0.25666666666666665</v>
      </c>
      <c r="DB106" s="18">
        <f t="shared" si="99"/>
        <v>0.31333333353200005</v>
      </c>
      <c r="DC106" s="18">
        <f t="shared" si="99"/>
        <v>0.30333333333333329</v>
      </c>
      <c r="DD106" s="18">
        <f t="shared" si="99"/>
        <v>0.46666666666666662</v>
      </c>
      <c r="DE106" s="18">
        <f t="shared" si="99"/>
        <v>0.48999999999999994</v>
      </c>
      <c r="DF106" s="18">
        <f t="shared" si="99"/>
        <v>0.22166666666666668</v>
      </c>
      <c r="DG106" s="18">
        <f t="shared" si="99"/>
        <v>0.96333333333333337</v>
      </c>
      <c r="DH106" s="18">
        <f t="shared" si="99"/>
        <v>1</v>
      </c>
      <c r="DI106" s="18">
        <f t="shared" si="99"/>
        <v>1</v>
      </c>
      <c r="DJ106" s="18">
        <f t="shared" si="99"/>
        <v>0.92666666666666664</v>
      </c>
      <c r="DM106" s="80">
        <v>13</v>
      </c>
      <c r="DN106" s="151">
        <f t="shared" si="101"/>
        <v>0.13799999989575201</v>
      </c>
      <c r="DO106" s="72">
        <f t="shared" ref="DO106:DX106" si="110">DO66-DO86</f>
        <v>0.33333332712433333</v>
      </c>
      <c r="DP106" s="260">
        <f t="shared" si="110"/>
        <v>0.23333332253017333</v>
      </c>
      <c r="DQ106" s="261">
        <f t="shared" si="110"/>
        <v>0.45666666515184001</v>
      </c>
      <c r="DR106" s="154">
        <f t="shared" si="110"/>
        <v>0</v>
      </c>
      <c r="DS106" s="262">
        <f t="shared" si="110"/>
        <v>0.20142857836814859</v>
      </c>
      <c r="DT106" s="263">
        <f t="shared" si="110"/>
        <v>0.25666666372384667</v>
      </c>
      <c r="DU106" s="264">
        <f t="shared" si="110"/>
        <v>0.77333333839970664</v>
      </c>
      <c r="DV106" s="265">
        <f t="shared" si="110"/>
        <v>0.84999999776467994</v>
      </c>
      <c r="DW106" s="266">
        <f t="shared" si="110"/>
        <v>0.90666664702183997</v>
      </c>
      <c r="DX106" s="267">
        <f t="shared" si="110"/>
        <v>0.25333333387967999</v>
      </c>
    </row>
    <row r="107" spans="100:130" x14ac:dyDescent="0.2">
      <c r="CY107" s="18">
        <v>20</v>
      </c>
      <c r="CZ107" s="18">
        <f t="shared" si="99"/>
        <v>0.47800000119199998</v>
      </c>
      <c r="DA107" s="18">
        <f t="shared" si="99"/>
        <v>0.4833333361149999</v>
      </c>
      <c r="DB107" s="18">
        <f t="shared" si="99"/>
        <v>0.5733333273086666</v>
      </c>
      <c r="DC107" s="18">
        <f t="shared" si="99"/>
        <v>0.53333333883266665</v>
      </c>
      <c r="DD107" s="18">
        <f t="shared" si="99"/>
        <v>0.34666666515433336</v>
      </c>
      <c r="DE107" s="18">
        <f t="shared" si="99"/>
        <v>0.37285714198892572</v>
      </c>
      <c r="DF107" s="18">
        <f t="shared" si="99"/>
        <v>9.8333332066699988E-2</v>
      </c>
      <c r="DG107" s="18">
        <f t="shared" si="99"/>
        <v>0.51000000112833332</v>
      </c>
      <c r="DH107" s="18">
        <f t="shared" si="99"/>
        <v>0.37666666487866662</v>
      </c>
      <c r="DI107" s="18">
        <f t="shared" si="99"/>
        <v>0.91666668653466665</v>
      </c>
      <c r="DJ107" s="18">
        <f t="shared" si="99"/>
        <v>0.66333334081933326</v>
      </c>
      <c r="DM107" s="80">
        <v>15</v>
      </c>
      <c r="DN107" s="151">
        <f t="shared" si="101"/>
        <v>0.25399999820000002</v>
      </c>
      <c r="DO107" s="72">
        <f t="shared" ref="DO107:DX107" si="111">DO67-DO87</f>
        <v>9.6666668999999997E-2</v>
      </c>
      <c r="DP107" s="260">
        <f t="shared" si="111"/>
        <v>0.249999999</v>
      </c>
      <c r="DQ107" s="261">
        <f t="shared" si="111"/>
        <v>0.21666666599999998</v>
      </c>
      <c r="DR107" s="154">
        <f t="shared" si="111"/>
        <v>0.50333332999999991</v>
      </c>
      <c r="DS107" s="262">
        <f t="shared" si="111"/>
        <v>0.33142856942857146</v>
      </c>
      <c r="DT107" s="263">
        <f t="shared" si="111"/>
        <v>0.11166666866666668</v>
      </c>
      <c r="DU107" s="264">
        <f t="shared" si="111"/>
        <v>0.37333333499999999</v>
      </c>
      <c r="DV107" s="265">
        <f t="shared" si="111"/>
        <v>0.58333334299999995</v>
      </c>
      <c r="DW107" s="266">
        <f t="shared" si="111"/>
        <v>0.34000000866666663</v>
      </c>
      <c r="DX107" s="267">
        <f t="shared" si="111"/>
        <v>0.15666666600000001</v>
      </c>
    </row>
    <row r="108" spans="100:130" x14ac:dyDescent="0.2">
      <c r="CY108" t="s">
        <v>238</v>
      </c>
      <c r="CZ108">
        <f>AVERAGE(CZ96:CZ107)</f>
        <v>0.28033333302866165</v>
      </c>
      <c r="DA108" s="18">
        <f t="shared" ref="DA108:DJ108" si="112">AVERAGE(DA96:DA107)</f>
        <v>0.2005555557823622</v>
      </c>
      <c r="DB108" s="18">
        <f t="shared" si="112"/>
        <v>0.30472222113645392</v>
      </c>
      <c r="DC108" s="18">
        <f t="shared" si="112"/>
        <v>0.33472222051348771</v>
      </c>
      <c r="DD108" s="18">
        <f t="shared" si="112"/>
        <v>0.29777777924562665</v>
      </c>
      <c r="DE108" s="18">
        <f t="shared" si="112"/>
        <v>0.20392857240944762</v>
      </c>
      <c r="DF108" s="18">
        <f t="shared" si="112"/>
        <v>0.11097222130626111</v>
      </c>
      <c r="DG108" s="18">
        <f t="shared" si="112"/>
        <v>0.45194444474943168</v>
      </c>
      <c r="DH108" s="18">
        <f t="shared" si="112"/>
        <v>0.66750000058547332</v>
      </c>
      <c r="DI108" s="18">
        <f t="shared" si="112"/>
        <v>0.6313888865420928</v>
      </c>
      <c r="DJ108" s="18">
        <f t="shared" si="112"/>
        <v>0.36416666726950225</v>
      </c>
      <c r="DM108" s="80">
        <v>17</v>
      </c>
      <c r="DN108" s="151">
        <f t="shared" si="101"/>
        <v>0.53800000219999999</v>
      </c>
      <c r="DO108" s="72">
        <f t="shared" ref="DO108:DX108" si="113">DO68-DO88</f>
        <v>0.55333333699999998</v>
      </c>
      <c r="DP108" s="260">
        <f t="shared" si="113"/>
        <v>0.47333333333333327</v>
      </c>
      <c r="DQ108" s="261">
        <f t="shared" si="113"/>
        <v>0.3266666583333333</v>
      </c>
      <c r="DR108" s="154">
        <f t="shared" si="113"/>
        <v>0.32999999966666665</v>
      </c>
      <c r="DS108" s="262">
        <f t="shared" si="113"/>
        <v>-2.2857142857142854E-2</v>
      </c>
      <c r="DT108" s="263">
        <f t="shared" si="113"/>
        <v>-9.8333333666666661E-2</v>
      </c>
      <c r="DU108" s="264">
        <f t="shared" si="113"/>
        <v>0.5299999993333333</v>
      </c>
      <c r="DV108" s="265">
        <f t="shared" si="113"/>
        <v>0.24333333333333329</v>
      </c>
      <c r="DW108" s="266">
        <f t="shared" si="113"/>
        <v>3.0000002666666581E-2</v>
      </c>
      <c r="DX108" s="267">
        <f t="shared" si="113"/>
        <v>0.65999999133333331</v>
      </c>
    </row>
    <row r="109" spans="100:130" x14ac:dyDescent="0.2">
      <c r="CY109" t="s">
        <v>53</v>
      </c>
      <c r="CZ109">
        <f>STDEV(CZ96:CZ107)</f>
        <v>0.23496511771493073</v>
      </c>
      <c r="DA109" s="18">
        <f t="shared" ref="DA109:DJ109" si="114">STDEV(DA96:DA107)</f>
        <v>0.16118772156944119</v>
      </c>
      <c r="DB109" s="18">
        <f t="shared" si="114"/>
        <v>0.27794505024824701</v>
      </c>
      <c r="DC109" s="18">
        <f t="shared" si="114"/>
        <v>0.24069536373997619</v>
      </c>
      <c r="DD109" s="18">
        <f t="shared" si="114"/>
        <v>0.31593802524158199</v>
      </c>
      <c r="DE109" s="18">
        <f t="shared" si="114"/>
        <v>0.18537844231589651</v>
      </c>
      <c r="DF109" s="18">
        <f t="shared" si="114"/>
        <v>0.14825663186933183</v>
      </c>
      <c r="DG109" s="18">
        <f t="shared" si="114"/>
        <v>0.30300334465296108</v>
      </c>
      <c r="DH109" s="18">
        <f t="shared" si="114"/>
        <v>0.35000180507981354</v>
      </c>
      <c r="DI109" s="18">
        <f t="shared" si="114"/>
        <v>0.33223594661453898</v>
      </c>
      <c r="DJ109" s="18">
        <f t="shared" si="114"/>
        <v>0.28919646678197564</v>
      </c>
      <c r="DM109" s="80">
        <v>18</v>
      </c>
      <c r="DN109" s="151">
        <f t="shared" si="101"/>
        <v>0.36999999680000001</v>
      </c>
      <c r="DO109" s="72">
        <f t="shared" ref="DO109:DX109" si="115">DO69-DO89</f>
        <v>0.3066666726666667</v>
      </c>
      <c r="DP109" s="260">
        <f t="shared" si="115"/>
        <v>0.30666666766666667</v>
      </c>
      <c r="DQ109" s="261">
        <f t="shared" si="115"/>
        <v>0.18333333366666668</v>
      </c>
      <c r="DR109" s="154">
        <f t="shared" si="115"/>
        <v>0.33000000666666662</v>
      </c>
      <c r="DS109" s="262">
        <f t="shared" si="115"/>
        <v>0.15857143057142856</v>
      </c>
      <c r="DT109" s="263">
        <f t="shared" si="115"/>
        <v>3.3333333333333331E-3</v>
      </c>
      <c r="DU109" s="264">
        <f t="shared" si="115"/>
        <v>0.176666667</v>
      </c>
      <c r="DV109" s="265">
        <f t="shared" si="115"/>
        <v>0.46333332566666663</v>
      </c>
      <c r="DW109" s="266">
        <f t="shared" si="115"/>
        <v>0.57999998333333336</v>
      </c>
      <c r="DX109" s="267">
        <f t="shared" si="115"/>
        <v>0.51000001033333331</v>
      </c>
    </row>
    <row r="110" spans="100:130" x14ac:dyDescent="0.2">
      <c r="CY110" t="s">
        <v>54</v>
      </c>
      <c r="CZ110">
        <f>CZ109/SQRT(12)</f>
        <v>6.7828586981443686E-2</v>
      </c>
      <c r="DA110" s="18">
        <f t="shared" ref="DA110:DJ110" si="116">DA109/SQRT(12)</f>
        <v>4.6530887219089663E-2</v>
      </c>
      <c r="DB110" s="18">
        <f t="shared" si="116"/>
        <v>8.0235824790374735E-2</v>
      </c>
      <c r="DC110" s="18">
        <f t="shared" si="116"/>
        <v>6.9482766523985079E-2</v>
      </c>
      <c r="DD110" s="18">
        <f t="shared" si="116"/>
        <v>9.1203451960233078E-2</v>
      </c>
      <c r="DE110" s="18">
        <f t="shared" si="116"/>
        <v>5.3514146786518182E-2</v>
      </c>
      <c r="DF110" s="18">
        <f t="shared" si="116"/>
        <v>4.2798003159452994E-2</v>
      </c>
      <c r="DG110" s="18">
        <f t="shared" si="116"/>
        <v>8.7469531300372022E-2</v>
      </c>
      <c r="DH110" s="18">
        <f t="shared" si="116"/>
        <v>0.10103681818984264</v>
      </c>
      <c r="DI110" s="18">
        <f t="shared" si="116"/>
        <v>9.5908256606187112E-2</v>
      </c>
      <c r="DJ110" s="18">
        <f t="shared" si="116"/>
        <v>8.3483828972631152E-2</v>
      </c>
      <c r="DM110" s="80">
        <v>19</v>
      </c>
      <c r="DN110" s="151">
        <f t="shared" si="101"/>
        <v>0.38800000000000001</v>
      </c>
      <c r="DO110" s="72">
        <f t="shared" ref="DO110:DX110" si="117">DO70-DO90</f>
        <v>0.25666666666666665</v>
      </c>
      <c r="DP110" s="260">
        <f t="shared" si="117"/>
        <v>0.31333333353200005</v>
      </c>
      <c r="DQ110" s="261">
        <f t="shared" si="117"/>
        <v>0.30333333333333329</v>
      </c>
      <c r="DR110" s="154">
        <f t="shared" si="117"/>
        <v>0.46666666666666662</v>
      </c>
      <c r="DS110" s="262">
        <f t="shared" si="117"/>
        <v>0.48999999999999994</v>
      </c>
      <c r="DT110" s="263">
        <f t="shared" si="117"/>
        <v>0.22166666666666668</v>
      </c>
      <c r="DU110" s="264">
        <f t="shared" si="117"/>
        <v>0.96333333333333337</v>
      </c>
      <c r="DV110" s="265">
        <f t="shared" si="117"/>
        <v>1</v>
      </c>
      <c r="DW110" s="266">
        <f t="shared" si="117"/>
        <v>1</v>
      </c>
      <c r="DX110" s="267">
        <f t="shared" si="117"/>
        <v>0.92666666666666664</v>
      </c>
    </row>
    <row r="111" spans="100:130" x14ac:dyDescent="0.2">
      <c r="DM111" s="80">
        <v>20</v>
      </c>
      <c r="DN111" s="151">
        <f t="shared" si="101"/>
        <v>0.51399999900780002</v>
      </c>
      <c r="DO111" s="72">
        <f t="shared" ref="DO111:DX111" si="118">DO71-DO91</f>
        <v>0.4833333361149999</v>
      </c>
      <c r="DP111" s="260">
        <f t="shared" si="118"/>
        <v>0.5733333273086666</v>
      </c>
      <c r="DQ111" s="261">
        <f t="shared" si="118"/>
        <v>0.53333333883266665</v>
      </c>
      <c r="DR111" s="154">
        <f t="shared" si="118"/>
        <v>0.34666666515433336</v>
      </c>
      <c r="DS111" s="262">
        <f t="shared" si="118"/>
        <v>0.37285714198892572</v>
      </c>
      <c r="DT111" s="263">
        <f t="shared" si="118"/>
        <v>9.8333332066699988E-2</v>
      </c>
      <c r="DU111" s="264">
        <f t="shared" si="118"/>
        <v>0.51000000112833332</v>
      </c>
      <c r="DV111" s="265">
        <f t="shared" si="118"/>
        <v>0.37666666487866662</v>
      </c>
      <c r="DW111" s="266">
        <f t="shared" si="118"/>
        <v>0.91666668653466665</v>
      </c>
      <c r="DX111" s="267">
        <f t="shared" si="118"/>
        <v>0.66333334081933326</v>
      </c>
    </row>
    <row r="112" spans="100:130" x14ac:dyDescent="0.2">
      <c r="DM112" t="s">
        <v>52</v>
      </c>
      <c r="DN112" s="151">
        <f>AVERAGE(DN97:DN111)</f>
        <v>0.29413333327129598</v>
      </c>
      <c r="DO112" s="151">
        <f t="shared" ref="DO112:DX112" si="119">AVERAGE(DO97:DO111)</f>
        <v>0.20577777831477867</v>
      </c>
      <c r="DP112" s="151">
        <f t="shared" si="119"/>
        <v>0.28977777679805194</v>
      </c>
      <c r="DQ112" s="151">
        <f t="shared" si="119"/>
        <v>0.27711110934412353</v>
      </c>
      <c r="DR112" s="151">
        <f t="shared" si="119"/>
        <v>0.32444444486316798</v>
      </c>
      <c r="DS112" s="151">
        <f t="shared" si="119"/>
        <v>0.2241904766608914</v>
      </c>
      <c r="DT112" s="151">
        <f t="shared" si="119"/>
        <v>9.8777777111675569E-2</v>
      </c>
      <c r="DU112" s="151">
        <f t="shared" si="119"/>
        <v>0.4213333346884342</v>
      </c>
      <c r="DV112" s="151">
        <f t="shared" si="119"/>
        <v>0.65288888975726744</v>
      </c>
      <c r="DW112" s="151">
        <f t="shared" si="119"/>
        <v>0.50755555438922972</v>
      </c>
      <c r="DX112" s="151">
        <f t="shared" si="119"/>
        <v>0.33444444466004625</v>
      </c>
      <c r="DZ112" t="s">
        <v>217</v>
      </c>
    </row>
    <row r="113" spans="117:128" x14ac:dyDescent="0.2">
      <c r="DM113" t="s">
        <v>53</v>
      </c>
      <c r="DN113" s="151">
        <f>STDEV(DN97:DN111)</f>
        <v>0.23671618619452414</v>
      </c>
      <c r="DO113" s="151">
        <f t="shared" ref="DO113:DX113" si="120">STDEV(DO97:DO111)</f>
        <v>0.17489891325513388</v>
      </c>
      <c r="DP113" s="151">
        <f t="shared" si="120"/>
        <v>0.25740606716230657</v>
      </c>
      <c r="DQ113" s="151">
        <f t="shared" si="120"/>
        <v>0.22631578580440093</v>
      </c>
      <c r="DR113" s="151">
        <f t="shared" si="120"/>
        <v>0.31089646883815192</v>
      </c>
      <c r="DS113" s="151">
        <f t="shared" si="120"/>
        <v>0.21198318479594286</v>
      </c>
      <c r="DT113" s="151">
        <f t="shared" si="120"/>
        <v>0.14882271536050856</v>
      </c>
      <c r="DU113" s="151">
        <f t="shared" si="120"/>
        <v>0.27563721257610224</v>
      </c>
      <c r="DV113" s="151">
        <f t="shared" si="120"/>
        <v>0.34019104600866013</v>
      </c>
      <c r="DW113" s="151">
        <f t="shared" si="120"/>
        <v>0.38504270282933362</v>
      </c>
      <c r="DX113" s="151">
        <f t="shared" si="120"/>
        <v>0.29072068815276525</v>
      </c>
    </row>
    <row r="114" spans="117:128" x14ac:dyDescent="0.2">
      <c r="DM114" t="s">
        <v>54</v>
      </c>
      <c r="DN114">
        <f>DN113/SQRT(15)</f>
        <v>6.1119856460608399E-2</v>
      </c>
      <c r="DO114" s="18">
        <f t="shared" ref="DO114:DX114" si="121">DO113/SQRT(15)</f>
        <v>4.5158705220460608E-2</v>
      </c>
      <c r="DP114" s="18">
        <f t="shared" si="121"/>
        <v>6.646196075549074E-2</v>
      </c>
      <c r="DQ114" s="18">
        <f t="shared" si="121"/>
        <v>5.8434484626952644E-2</v>
      </c>
      <c r="DR114" s="18">
        <f t="shared" si="121"/>
        <v>8.0273123080323694E-2</v>
      </c>
      <c r="DS114" s="18">
        <f t="shared" si="121"/>
        <v>5.473382295937973E-2</v>
      </c>
      <c r="DT114" s="18">
        <f t="shared" si="121"/>
        <v>3.8425859875241095E-2</v>
      </c>
      <c r="DU114" s="18">
        <f t="shared" si="121"/>
        <v>7.1169222260151835E-2</v>
      </c>
      <c r="DV114" s="18">
        <f t="shared" si="121"/>
        <v>8.7836950381361453E-2</v>
      </c>
      <c r="DW114" s="18">
        <f t="shared" si="121"/>
        <v>9.9417598375780028E-2</v>
      </c>
      <c r="DX114" s="18">
        <f t="shared" si="121"/>
        <v>7.5063758907574649E-2</v>
      </c>
    </row>
    <row r="115" spans="117:128" x14ac:dyDescent="0.2">
      <c r="DM115" t="s">
        <v>441</v>
      </c>
      <c r="DN115">
        <f>TTEST(DN57:DN71,DN77:DN91,1,1)</f>
        <v>1.3802872312386805E-4</v>
      </c>
      <c r="DO115" s="18">
        <f t="shared" ref="DO115:DX115" si="122">TTEST(DO57:DO71,DO77:DO91,1,1)</f>
        <v>2.2393776301970016E-4</v>
      </c>
      <c r="DP115" s="18">
        <f t="shared" si="122"/>
        <v>3.2659926999043811E-4</v>
      </c>
      <c r="DQ115" s="18">
        <f t="shared" si="122"/>
        <v>1.5750963002553742E-4</v>
      </c>
      <c r="DR115" s="18">
        <f t="shared" si="122"/>
        <v>6.0633113475855023E-4</v>
      </c>
      <c r="DS115" s="18">
        <f t="shared" si="122"/>
        <v>5.4529543861330898E-4</v>
      </c>
      <c r="DT115" s="18">
        <f t="shared" si="122"/>
        <v>1.1105535778310511E-2</v>
      </c>
      <c r="DU115" s="18">
        <f t="shared" si="122"/>
        <v>1.8676570899105776E-5</v>
      </c>
      <c r="DV115" s="18">
        <f t="shared" si="122"/>
        <v>1.5940071398001038E-6</v>
      </c>
      <c r="DW115" s="18">
        <f t="shared" si="122"/>
        <v>8.0063655746682359E-5</v>
      </c>
      <c r="DX115" s="18">
        <f t="shared" si="122"/>
        <v>2.7182972428155342E-4</v>
      </c>
    </row>
    <row r="116" spans="117:128" x14ac:dyDescent="0.2">
      <c r="DM116" t="s">
        <v>309</v>
      </c>
      <c r="DN116">
        <f>TTEST(DN57:DN71,DN77:DN91,2,1)</f>
        <v>2.760574462477361E-4</v>
      </c>
      <c r="DO116" s="18">
        <f t="shared" ref="DO116:DX116" si="123">TTEST(DO57:DO71,DO77:DO91,2,1)</f>
        <v>4.4787552603940033E-4</v>
      </c>
      <c r="DP116" s="18">
        <f t="shared" si="123"/>
        <v>6.5319853998087622E-4</v>
      </c>
      <c r="DQ116" s="18">
        <f t="shared" si="123"/>
        <v>3.1501926005107485E-4</v>
      </c>
      <c r="DR116" s="18">
        <f t="shared" si="123"/>
        <v>1.2126622695171005E-3</v>
      </c>
      <c r="DS116" s="18">
        <f t="shared" si="123"/>
        <v>1.090590877226618E-3</v>
      </c>
      <c r="DT116" s="18">
        <f t="shared" si="123"/>
        <v>2.2211071556621022E-2</v>
      </c>
      <c r="DU116" s="18">
        <f t="shared" si="123"/>
        <v>3.7353141798211552E-5</v>
      </c>
      <c r="DV116" s="18">
        <f t="shared" si="123"/>
        <v>3.1880142796002076E-6</v>
      </c>
      <c r="DW116" s="18">
        <f t="shared" si="123"/>
        <v>1.6012731149336472E-4</v>
      </c>
      <c r="DX116" s="18">
        <f t="shared" si="123"/>
        <v>5.4365944856310685E-4</v>
      </c>
    </row>
    <row r="117" spans="117:128" x14ac:dyDescent="0.2">
      <c r="DM117" t="s">
        <v>557</v>
      </c>
      <c r="DN117">
        <f>DN116*11</f>
        <v>3.036631908725097E-3</v>
      </c>
      <c r="DO117" s="18">
        <f t="shared" ref="DO117:DX117" si="124">DO116*11</f>
        <v>4.9266307864334041E-3</v>
      </c>
      <c r="DP117" s="18">
        <f t="shared" si="124"/>
        <v>7.185183939789638E-3</v>
      </c>
      <c r="DQ117" s="18">
        <f t="shared" si="124"/>
        <v>3.4652118605618233E-3</v>
      </c>
      <c r="DR117" s="18">
        <f t="shared" si="124"/>
        <v>1.3339284964688105E-2</v>
      </c>
      <c r="DS117" s="18">
        <f t="shared" si="124"/>
        <v>1.1996499649492797E-2</v>
      </c>
      <c r="DT117" s="18">
        <f t="shared" si="124"/>
        <v>0.24432178712283126</v>
      </c>
      <c r="DU117" s="18">
        <f t="shared" si="124"/>
        <v>4.1088455978032705E-4</v>
      </c>
      <c r="DV117" s="18">
        <f t="shared" si="124"/>
        <v>3.5068157075602285E-5</v>
      </c>
      <c r="DW117" s="18">
        <f t="shared" si="124"/>
        <v>1.761400426427012E-3</v>
      </c>
      <c r="DX117" s="18">
        <f t="shared" si="124"/>
        <v>5.9802539341941756E-3</v>
      </c>
    </row>
  </sheetData>
  <sortState columnSort="1" ref="E1:CT53">
    <sortCondition descending="1" ref="E23:CT2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/>
  <dimension ref="A1:BO111"/>
  <sheetViews>
    <sheetView topLeftCell="AV1" zoomScale="70" zoomScaleNormal="70" zoomScalePageLayoutView="70" workbookViewId="0">
      <selection activeCell="BI3" sqref="BI3:BO23"/>
    </sheetView>
  </sheetViews>
  <sheetFormatPr baseColWidth="10" defaultColWidth="8.83203125" defaultRowHeight="15" x14ac:dyDescent="0.2"/>
  <cols>
    <col min="2" max="2" width="8.83203125" style="14"/>
    <col min="5" max="5" width="8.83203125" style="27"/>
    <col min="10" max="10" width="8.83203125" style="27"/>
    <col min="22" max="22" width="8.83203125" style="27"/>
    <col min="33" max="33" width="8.83203125" style="27"/>
    <col min="53" max="53" width="14.83203125" bestFit="1" customWidth="1"/>
    <col min="54" max="56" width="13.83203125" bestFit="1" customWidth="1"/>
    <col min="57" max="57" width="14.33203125" bestFit="1" customWidth="1"/>
    <col min="58" max="58" width="13.83203125" bestFit="1" customWidth="1"/>
    <col min="59" max="59" width="14.33203125" bestFit="1" customWidth="1"/>
  </cols>
  <sheetData>
    <row r="1" spans="1:67" s="21" customFormat="1" ht="16" thickBot="1" x14ac:dyDescent="0.25">
      <c r="B1" s="308"/>
      <c r="E1" s="21">
        <v>1</v>
      </c>
      <c r="F1" s="21">
        <v>2</v>
      </c>
      <c r="G1" s="21">
        <v>3</v>
      </c>
      <c r="H1" s="21">
        <v>4</v>
      </c>
      <c r="I1" s="21">
        <v>5</v>
      </c>
      <c r="J1" s="21">
        <v>6</v>
      </c>
      <c r="K1" s="21">
        <v>7</v>
      </c>
      <c r="L1" s="21">
        <v>8</v>
      </c>
      <c r="M1" s="21">
        <v>9</v>
      </c>
      <c r="N1" s="21">
        <v>10</v>
      </c>
      <c r="O1" s="21">
        <v>11</v>
      </c>
      <c r="P1" s="21">
        <v>12</v>
      </c>
      <c r="Q1" s="21">
        <v>13</v>
      </c>
      <c r="R1" s="21">
        <v>14</v>
      </c>
      <c r="S1" s="21">
        <v>15</v>
      </c>
      <c r="T1" s="21">
        <v>16</v>
      </c>
      <c r="U1" s="21">
        <v>17</v>
      </c>
      <c r="V1" s="21">
        <v>18</v>
      </c>
      <c r="W1" s="21">
        <v>19</v>
      </c>
      <c r="X1" s="21">
        <v>20</v>
      </c>
      <c r="Y1" s="21">
        <v>21</v>
      </c>
      <c r="Z1" s="21">
        <v>22</v>
      </c>
      <c r="AA1" s="21">
        <v>23</v>
      </c>
      <c r="AB1" s="21">
        <v>24</v>
      </c>
      <c r="AC1" s="21">
        <v>25</v>
      </c>
      <c r="AD1" s="21">
        <v>26</v>
      </c>
      <c r="AE1" s="21">
        <v>27</v>
      </c>
      <c r="AF1" s="21">
        <v>28</v>
      </c>
      <c r="AG1" s="21">
        <v>29</v>
      </c>
      <c r="AH1" s="21">
        <v>30</v>
      </c>
      <c r="AI1" s="21">
        <v>31</v>
      </c>
      <c r="AJ1" s="21">
        <v>32</v>
      </c>
      <c r="AK1" s="21">
        <v>33</v>
      </c>
      <c r="AL1" s="21">
        <v>34</v>
      </c>
      <c r="AM1" s="21">
        <v>35</v>
      </c>
      <c r="AN1" s="21">
        <v>36</v>
      </c>
      <c r="AO1" s="21">
        <v>37</v>
      </c>
      <c r="AP1" s="21">
        <v>38</v>
      </c>
      <c r="AQ1" s="21">
        <v>39</v>
      </c>
      <c r="AR1" s="21">
        <v>40</v>
      </c>
      <c r="AS1" s="21">
        <v>41</v>
      </c>
      <c r="AT1" s="21">
        <v>42</v>
      </c>
      <c r="AU1" s="21">
        <v>43</v>
      </c>
      <c r="AV1" s="21">
        <v>44</v>
      </c>
      <c r="AW1" s="21">
        <v>45</v>
      </c>
      <c r="AX1" s="21">
        <v>46</v>
      </c>
      <c r="AY1" s="21">
        <v>47</v>
      </c>
      <c r="AZ1" s="21">
        <v>48</v>
      </c>
    </row>
    <row r="2" spans="1:67" s="6" customFormat="1" ht="16" thickBot="1" x14ac:dyDescent="0.25">
      <c r="A2" s="4"/>
      <c r="B2" s="10" t="s">
        <v>55</v>
      </c>
      <c r="C2" s="4"/>
      <c r="D2" s="4"/>
      <c r="E2" s="34" t="s">
        <v>203</v>
      </c>
      <c r="J2" s="34" t="s">
        <v>203</v>
      </c>
      <c r="V2" s="34" t="s">
        <v>203</v>
      </c>
      <c r="AG2" s="34" t="s">
        <v>203</v>
      </c>
      <c r="BA2" s="6" t="s">
        <v>204</v>
      </c>
      <c r="BB2" s="6" t="s">
        <v>206</v>
      </c>
      <c r="BC2" s="6" t="s">
        <v>209</v>
      </c>
      <c r="BD2" s="6" t="s">
        <v>211</v>
      </c>
      <c r="BE2" s="6" t="s">
        <v>213</v>
      </c>
      <c r="BF2" s="6" t="s">
        <v>215</v>
      </c>
      <c r="BI2" s="136" t="s">
        <v>347</v>
      </c>
      <c r="BJ2" s="136"/>
      <c r="BK2" s="136"/>
      <c r="BL2" s="136"/>
      <c r="BM2" s="136"/>
      <c r="BN2" s="136"/>
      <c r="BO2" s="136"/>
    </row>
    <row r="3" spans="1:67" s="36" customFormat="1" ht="16" thickBot="1" x14ac:dyDescent="0.25">
      <c r="A3" s="10"/>
      <c r="B3" s="10" t="s">
        <v>20</v>
      </c>
      <c r="C3" s="10" t="s">
        <v>21</v>
      </c>
      <c r="D3" s="10" t="s">
        <v>51</v>
      </c>
      <c r="E3" s="35" t="s">
        <v>153</v>
      </c>
      <c r="F3" s="36" t="s">
        <v>154</v>
      </c>
      <c r="G3" s="36" t="s">
        <v>155</v>
      </c>
      <c r="H3" s="36" t="s">
        <v>156</v>
      </c>
      <c r="I3" s="36" t="s">
        <v>157</v>
      </c>
      <c r="J3" s="35" t="s">
        <v>158</v>
      </c>
      <c r="K3" s="36" t="s">
        <v>159</v>
      </c>
      <c r="L3" s="36" t="s">
        <v>160</v>
      </c>
      <c r="M3" s="36" t="s">
        <v>161</v>
      </c>
      <c r="N3" s="36" t="s">
        <v>162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167</v>
      </c>
      <c r="T3" s="36" t="s">
        <v>168</v>
      </c>
      <c r="U3" s="36" t="s">
        <v>169</v>
      </c>
      <c r="V3" s="35" t="s">
        <v>170</v>
      </c>
      <c r="W3" s="36" t="s">
        <v>171</v>
      </c>
      <c r="X3" s="36" t="s">
        <v>172</v>
      </c>
      <c r="Y3" s="36" t="s">
        <v>173</v>
      </c>
      <c r="Z3" s="36" t="s">
        <v>174</v>
      </c>
      <c r="AA3" s="36" t="s">
        <v>175</v>
      </c>
      <c r="AB3" s="36" t="s">
        <v>176</v>
      </c>
      <c r="AC3" s="36" t="s">
        <v>177</v>
      </c>
      <c r="AD3" s="36" t="s">
        <v>178</v>
      </c>
      <c r="AE3" s="36" t="s">
        <v>179</v>
      </c>
      <c r="AF3" s="36" t="s">
        <v>180</v>
      </c>
      <c r="AG3" s="35" t="s">
        <v>181</v>
      </c>
      <c r="AH3" s="36" t="s">
        <v>182</v>
      </c>
      <c r="AI3" s="36" t="s">
        <v>183</v>
      </c>
      <c r="AJ3" s="36" t="s">
        <v>184</v>
      </c>
      <c r="AK3" s="36" t="s">
        <v>185</v>
      </c>
      <c r="AL3" s="36" t="s">
        <v>186</v>
      </c>
      <c r="AM3" s="36" t="s">
        <v>187</v>
      </c>
      <c r="AN3" s="36" t="s">
        <v>188</v>
      </c>
      <c r="AO3" s="36" t="s">
        <v>189</v>
      </c>
      <c r="AP3" s="36" t="s">
        <v>190</v>
      </c>
      <c r="AQ3" s="36" t="s">
        <v>191</v>
      </c>
      <c r="AR3" s="36" t="s">
        <v>192</v>
      </c>
      <c r="AS3" s="36" t="s">
        <v>193</v>
      </c>
      <c r="AT3" s="36" t="s">
        <v>194</v>
      </c>
      <c r="AU3" s="36" t="s">
        <v>195</v>
      </c>
      <c r="AV3" s="36" t="s">
        <v>196</v>
      </c>
      <c r="AW3" s="36" t="s">
        <v>197</v>
      </c>
      <c r="AX3" s="36" t="s">
        <v>198</v>
      </c>
      <c r="AY3" s="36" t="s">
        <v>199</v>
      </c>
      <c r="AZ3" s="36" t="s">
        <v>200</v>
      </c>
      <c r="BA3" s="10" t="s">
        <v>559</v>
      </c>
      <c r="BB3" s="10" t="s">
        <v>561</v>
      </c>
      <c r="BC3" s="10" t="s">
        <v>560</v>
      </c>
      <c r="BD3" s="10" t="s">
        <v>244</v>
      </c>
      <c r="BE3" s="10" t="s">
        <v>245</v>
      </c>
      <c r="BF3" s="10" t="s">
        <v>246</v>
      </c>
      <c r="BG3" s="10" t="s">
        <v>216</v>
      </c>
      <c r="BI3" s="10" t="s">
        <v>241</v>
      </c>
      <c r="BJ3" s="10" t="s">
        <v>242</v>
      </c>
      <c r="BK3" s="10" t="s">
        <v>243</v>
      </c>
      <c r="BL3" s="10" t="s">
        <v>244</v>
      </c>
      <c r="BM3" s="10" t="s">
        <v>245</v>
      </c>
      <c r="BN3" s="10" t="s">
        <v>246</v>
      </c>
      <c r="BO3" s="10" t="s">
        <v>216</v>
      </c>
    </row>
    <row r="4" spans="1:67" x14ac:dyDescent="0.2">
      <c r="A4" s="3"/>
      <c r="B4" s="15" t="s">
        <v>0</v>
      </c>
      <c r="C4" s="3">
        <v>1</v>
      </c>
      <c r="D4" s="3">
        <v>1</v>
      </c>
      <c r="E4" s="27">
        <v>2</v>
      </c>
      <c r="F4" s="12">
        <v>0</v>
      </c>
      <c r="G4" s="12">
        <v>0</v>
      </c>
      <c r="H4" s="12">
        <v>0</v>
      </c>
      <c r="I4" s="18">
        <v>1</v>
      </c>
      <c r="J4" s="27">
        <v>2</v>
      </c>
      <c r="K4" s="12">
        <v>0</v>
      </c>
      <c r="L4" s="12">
        <v>0</v>
      </c>
      <c r="M4" s="12">
        <v>0</v>
      </c>
      <c r="N4" s="12">
        <v>2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27">
        <v>1</v>
      </c>
      <c r="W4" s="12">
        <v>0</v>
      </c>
      <c r="X4" s="12">
        <v>0</v>
      </c>
      <c r="Y4" s="12">
        <v>0</v>
      </c>
      <c r="Z4" s="12">
        <v>4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2</v>
      </c>
      <c r="AG4" s="27">
        <v>3</v>
      </c>
      <c r="AH4" s="12">
        <v>0</v>
      </c>
      <c r="AI4" s="12">
        <v>0</v>
      </c>
      <c r="AJ4" s="12">
        <v>0</v>
      </c>
      <c r="AK4" s="12">
        <v>0</v>
      </c>
      <c r="AL4" s="12">
        <v>1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4</v>
      </c>
      <c r="AX4" s="12">
        <v>2</v>
      </c>
      <c r="AY4" s="12">
        <v>2</v>
      </c>
      <c r="AZ4" s="12">
        <v>0</v>
      </c>
      <c r="BA4" s="3">
        <f>SUM(H4,P4,W4,AC4,AD4,AI4,AM4,AR4)</f>
        <v>0</v>
      </c>
      <c r="BB4" s="3">
        <f>SUM(I4,X4,Z4,AE4,AJ4,AN4,AU4,AV4,AW4)</f>
        <v>9</v>
      </c>
      <c r="BC4" s="3">
        <f>SUM(F4,L4,N4,Q4,AF4,AH4,AL4,AO4,AX4,AY4)</f>
        <v>9</v>
      </c>
      <c r="BD4" s="3">
        <f>SUM(E4,J4,M4,S4,V4,AB4,AQ4)</f>
        <v>5</v>
      </c>
      <c r="BE4" s="3">
        <f>SUM(G4,T4,Y4,AG4,AS4,AZ4)</f>
        <v>4</v>
      </c>
      <c r="BF4" s="3">
        <f>SUM(K4,O4,R4,U4,AA4,AK4,AP4,AT4)</f>
        <v>0</v>
      </c>
      <c r="BG4" s="3">
        <f>SUM(BA4:BF4)</f>
        <v>27</v>
      </c>
      <c r="BI4">
        <f>BA4-BA30</f>
        <v>0</v>
      </c>
      <c r="BJ4" s="18">
        <f t="shared" ref="BJ4:BO19" si="0">BB4-BB30</f>
        <v>9</v>
      </c>
      <c r="BK4" s="18">
        <f t="shared" si="0"/>
        <v>9</v>
      </c>
      <c r="BL4" s="18">
        <f t="shared" si="0"/>
        <v>0</v>
      </c>
      <c r="BM4" s="18">
        <f t="shared" si="0"/>
        <v>1</v>
      </c>
      <c r="BN4" s="18">
        <f t="shared" si="0"/>
        <v>0</v>
      </c>
      <c r="BO4" s="18">
        <f>BG4-BG30</f>
        <v>19</v>
      </c>
    </row>
    <row r="5" spans="1:67" x14ac:dyDescent="0.2">
      <c r="A5" s="3"/>
      <c r="B5" s="15" t="s">
        <v>1</v>
      </c>
      <c r="C5" s="3">
        <v>2</v>
      </c>
      <c r="D5" s="3">
        <v>2</v>
      </c>
      <c r="E5" s="28">
        <v>0</v>
      </c>
      <c r="F5" s="20">
        <v>0</v>
      </c>
      <c r="G5" s="20">
        <v>2</v>
      </c>
      <c r="H5" s="13">
        <v>0</v>
      </c>
      <c r="I5" s="13">
        <v>2</v>
      </c>
      <c r="J5" s="27">
        <v>2</v>
      </c>
      <c r="K5" s="13">
        <v>1</v>
      </c>
      <c r="L5" s="13">
        <v>1</v>
      </c>
      <c r="M5" s="13">
        <v>0</v>
      </c>
      <c r="N5" s="13">
        <v>1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27">
        <v>1</v>
      </c>
      <c r="W5" s="13">
        <v>1</v>
      </c>
      <c r="X5" s="13">
        <v>0</v>
      </c>
      <c r="Y5" s="13">
        <v>0</v>
      </c>
      <c r="Z5" s="13">
        <v>4</v>
      </c>
      <c r="AA5" s="13">
        <v>0</v>
      </c>
      <c r="AB5" s="13">
        <v>0</v>
      </c>
      <c r="AC5" s="13">
        <v>0</v>
      </c>
      <c r="AD5" s="13">
        <v>2</v>
      </c>
      <c r="AE5" s="13">
        <v>4</v>
      </c>
      <c r="AF5" s="13">
        <v>1</v>
      </c>
      <c r="AG5" s="27">
        <v>3</v>
      </c>
      <c r="AH5" s="13">
        <v>0</v>
      </c>
      <c r="AI5" s="13">
        <v>1</v>
      </c>
      <c r="AJ5" s="13">
        <v>1</v>
      </c>
      <c r="AK5" s="13">
        <v>0</v>
      </c>
      <c r="AL5" s="13">
        <v>0</v>
      </c>
      <c r="AM5" s="13">
        <v>1</v>
      </c>
      <c r="AN5" s="13">
        <v>2</v>
      </c>
      <c r="AO5" s="13">
        <v>0</v>
      </c>
      <c r="AP5" s="13">
        <v>0</v>
      </c>
      <c r="AQ5" s="13">
        <v>0</v>
      </c>
      <c r="AR5" s="13">
        <v>1</v>
      </c>
      <c r="AS5" s="13">
        <v>1</v>
      </c>
      <c r="AT5" s="13">
        <v>0</v>
      </c>
      <c r="AU5" s="13">
        <v>0</v>
      </c>
      <c r="AV5" s="13">
        <v>0</v>
      </c>
      <c r="AW5" s="13">
        <v>1</v>
      </c>
      <c r="AX5" s="13">
        <v>1</v>
      </c>
      <c r="AY5" s="13">
        <v>2</v>
      </c>
      <c r="AZ5" s="13">
        <v>0</v>
      </c>
      <c r="BA5" s="3">
        <f t="shared" ref="BA5:BA49" si="1">SUM(H5,P5,W5,AC5,AD5,AI5,AM5,AR5)</f>
        <v>6</v>
      </c>
      <c r="BB5" s="3">
        <f t="shared" ref="BB5:BB49" si="2">SUM(I5,X5,Z5,AE5,AJ5,AN5,AU5,AV5,AW5)</f>
        <v>14</v>
      </c>
      <c r="BC5" s="3">
        <f t="shared" ref="BC5:BC49" si="3">SUM(F5,L5,N5,Q5,AF5,AH5,AL5,AO5,AX5,AY5)</f>
        <v>6</v>
      </c>
      <c r="BD5" s="3">
        <f t="shared" ref="BD5:BD49" si="4">SUM(E5,J5,M5,S5,V5,AB5,AQ5)</f>
        <v>3</v>
      </c>
      <c r="BE5" s="3">
        <f t="shared" ref="BE5:BE49" si="5">SUM(G5,T5,Y5,AG5,AS5,AZ5)</f>
        <v>7</v>
      </c>
      <c r="BF5" s="3">
        <f t="shared" ref="BF5:BF49" si="6">SUM(K5,O5,R5,U5,AA5,AK5,AP5,AT5)</f>
        <v>1</v>
      </c>
      <c r="BG5" s="3">
        <f t="shared" ref="BG5:BG23" si="7">SUM(BA5:BF5)</f>
        <v>37</v>
      </c>
      <c r="BI5" s="18">
        <f t="shared" ref="BI5:BI23" si="8">BA5-BA31</f>
        <v>6</v>
      </c>
      <c r="BJ5" s="18">
        <f t="shared" si="0"/>
        <v>14</v>
      </c>
      <c r="BK5" s="18">
        <f t="shared" si="0"/>
        <v>5</v>
      </c>
      <c r="BL5" s="18">
        <f t="shared" si="0"/>
        <v>-1</v>
      </c>
      <c r="BM5" s="18">
        <f t="shared" si="0"/>
        <v>4</v>
      </c>
      <c r="BN5" s="18">
        <f t="shared" si="0"/>
        <v>1</v>
      </c>
      <c r="BO5" s="18">
        <f t="shared" si="0"/>
        <v>29</v>
      </c>
    </row>
    <row r="6" spans="1:67" x14ac:dyDescent="0.2">
      <c r="A6" s="3"/>
      <c r="B6" s="15" t="s">
        <v>2</v>
      </c>
      <c r="C6" s="3">
        <v>1</v>
      </c>
      <c r="D6" s="3">
        <v>1</v>
      </c>
      <c r="E6" s="27">
        <v>1</v>
      </c>
      <c r="F6" s="20">
        <v>1</v>
      </c>
      <c r="G6" s="13">
        <v>3</v>
      </c>
      <c r="H6" s="13">
        <v>1</v>
      </c>
      <c r="I6" s="13">
        <v>1</v>
      </c>
      <c r="J6" s="27">
        <v>2</v>
      </c>
      <c r="K6" s="13">
        <v>1</v>
      </c>
      <c r="L6" s="13">
        <v>1</v>
      </c>
      <c r="M6" s="13">
        <v>0</v>
      </c>
      <c r="N6" s="13">
        <v>3</v>
      </c>
      <c r="O6" s="13">
        <v>0</v>
      </c>
      <c r="P6" s="13">
        <v>1</v>
      </c>
      <c r="Q6" s="13">
        <v>0</v>
      </c>
      <c r="R6" s="13">
        <v>1</v>
      </c>
      <c r="S6" s="13">
        <v>1</v>
      </c>
      <c r="T6" s="13">
        <v>2</v>
      </c>
      <c r="U6" s="13">
        <v>1</v>
      </c>
      <c r="V6" s="27">
        <v>1</v>
      </c>
      <c r="W6" s="13">
        <v>0</v>
      </c>
      <c r="X6" s="13">
        <v>3</v>
      </c>
      <c r="Y6" s="13">
        <v>0</v>
      </c>
      <c r="Z6" s="13">
        <v>0</v>
      </c>
      <c r="AA6" s="13">
        <v>1</v>
      </c>
      <c r="AB6" s="13">
        <v>1</v>
      </c>
      <c r="AC6" s="13">
        <v>0</v>
      </c>
      <c r="AD6" s="13">
        <v>2</v>
      </c>
      <c r="AE6" s="13">
        <v>2</v>
      </c>
      <c r="AF6" s="13">
        <v>3</v>
      </c>
      <c r="AG6" s="27">
        <v>2</v>
      </c>
      <c r="AH6" s="13">
        <v>1</v>
      </c>
      <c r="AI6" s="13">
        <v>0</v>
      </c>
      <c r="AJ6" s="13">
        <v>0</v>
      </c>
      <c r="AK6" s="13">
        <v>0</v>
      </c>
      <c r="AL6" s="13">
        <v>3</v>
      </c>
      <c r="AM6" s="13">
        <v>0</v>
      </c>
      <c r="AN6" s="13">
        <v>0</v>
      </c>
      <c r="AO6" s="13">
        <v>0</v>
      </c>
      <c r="AP6" s="13">
        <v>1</v>
      </c>
      <c r="AQ6" s="13">
        <v>0</v>
      </c>
      <c r="AR6" s="13">
        <v>0</v>
      </c>
      <c r="AS6" s="13">
        <v>2</v>
      </c>
      <c r="AT6" s="13">
        <v>0</v>
      </c>
      <c r="AU6" s="13">
        <v>2</v>
      </c>
      <c r="AV6" s="13">
        <v>0</v>
      </c>
      <c r="AW6" s="13">
        <v>0</v>
      </c>
      <c r="AX6" s="13">
        <v>3</v>
      </c>
      <c r="AY6" s="13">
        <v>1</v>
      </c>
      <c r="AZ6" s="13">
        <v>1</v>
      </c>
      <c r="BA6" s="3">
        <f t="shared" si="1"/>
        <v>4</v>
      </c>
      <c r="BB6" s="3">
        <f t="shared" si="2"/>
        <v>8</v>
      </c>
      <c r="BC6" s="3">
        <f t="shared" si="3"/>
        <v>16</v>
      </c>
      <c r="BD6" s="3">
        <f t="shared" si="4"/>
        <v>6</v>
      </c>
      <c r="BE6" s="3">
        <f t="shared" si="5"/>
        <v>10</v>
      </c>
      <c r="BF6" s="3">
        <f t="shared" si="6"/>
        <v>5</v>
      </c>
      <c r="BG6" s="3">
        <f t="shared" si="7"/>
        <v>49</v>
      </c>
      <c r="BI6" s="18">
        <f t="shared" si="8"/>
        <v>3</v>
      </c>
      <c r="BJ6" s="18">
        <f t="shared" si="0"/>
        <v>8</v>
      </c>
      <c r="BK6" s="18">
        <f t="shared" si="0"/>
        <v>15</v>
      </c>
      <c r="BL6" s="18">
        <f t="shared" si="0"/>
        <v>0</v>
      </c>
      <c r="BM6" s="18">
        <f t="shared" si="0"/>
        <v>6</v>
      </c>
      <c r="BN6" s="18">
        <f t="shared" si="0"/>
        <v>5</v>
      </c>
      <c r="BO6" s="18">
        <f t="shared" si="0"/>
        <v>37</v>
      </c>
    </row>
    <row r="7" spans="1:67" x14ac:dyDescent="0.2">
      <c r="A7" s="3"/>
      <c r="B7" s="15" t="s">
        <v>3</v>
      </c>
      <c r="C7" s="3">
        <v>2</v>
      </c>
      <c r="D7" s="3">
        <v>2</v>
      </c>
      <c r="E7" s="27">
        <v>0</v>
      </c>
      <c r="F7" s="18">
        <v>3</v>
      </c>
      <c r="G7" s="18">
        <v>3</v>
      </c>
      <c r="H7" s="18">
        <v>3</v>
      </c>
      <c r="I7" s="18">
        <v>3</v>
      </c>
      <c r="J7" s="27">
        <v>3</v>
      </c>
      <c r="K7" s="18">
        <v>3</v>
      </c>
      <c r="L7" s="18">
        <v>3</v>
      </c>
      <c r="M7" s="18">
        <v>3</v>
      </c>
      <c r="N7" s="18">
        <v>3</v>
      </c>
      <c r="O7" s="18">
        <v>0</v>
      </c>
      <c r="P7" s="18">
        <v>0</v>
      </c>
      <c r="Q7" s="18">
        <v>3</v>
      </c>
      <c r="R7" s="18">
        <v>0</v>
      </c>
      <c r="S7" s="18">
        <v>0</v>
      </c>
      <c r="T7" s="18">
        <v>3</v>
      </c>
      <c r="U7" s="18">
        <v>0</v>
      </c>
      <c r="V7" s="27">
        <v>0</v>
      </c>
      <c r="W7" s="18">
        <v>0</v>
      </c>
      <c r="X7" s="18">
        <v>0</v>
      </c>
      <c r="Y7" s="18">
        <v>0</v>
      </c>
      <c r="Z7" s="18">
        <v>3</v>
      </c>
      <c r="AA7" s="18">
        <v>0</v>
      </c>
      <c r="AB7" s="18">
        <v>0</v>
      </c>
      <c r="AC7" s="18">
        <v>0</v>
      </c>
      <c r="AD7" s="18">
        <v>3</v>
      </c>
      <c r="AE7" s="18">
        <v>3</v>
      </c>
      <c r="AF7" s="18">
        <v>3</v>
      </c>
      <c r="AG7" s="27">
        <v>0</v>
      </c>
      <c r="AH7" s="18">
        <v>3</v>
      </c>
      <c r="AI7" s="18">
        <v>0</v>
      </c>
      <c r="AJ7" s="18">
        <v>3</v>
      </c>
      <c r="AK7" s="18">
        <v>0</v>
      </c>
      <c r="AL7" s="18">
        <v>3</v>
      </c>
      <c r="AM7" s="18">
        <v>1</v>
      </c>
      <c r="AN7" s="18">
        <v>1</v>
      </c>
      <c r="AO7" s="18">
        <v>3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3</v>
      </c>
      <c r="AX7" s="18">
        <v>3</v>
      </c>
      <c r="AY7" s="18">
        <v>3</v>
      </c>
      <c r="AZ7" s="18">
        <v>3</v>
      </c>
      <c r="BA7" s="3">
        <f t="shared" si="1"/>
        <v>7</v>
      </c>
      <c r="BB7" s="3">
        <f t="shared" si="2"/>
        <v>16</v>
      </c>
      <c r="BC7" s="3">
        <f t="shared" si="3"/>
        <v>30</v>
      </c>
      <c r="BD7" s="3">
        <f t="shared" si="4"/>
        <v>6</v>
      </c>
      <c r="BE7" s="3">
        <f t="shared" si="5"/>
        <v>9</v>
      </c>
      <c r="BF7" s="3">
        <f t="shared" si="6"/>
        <v>3</v>
      </c>
      <c r="BG7" s="3">
        <f t="shared" si="7"/>
        <v>71</v>
      </c>
      <c r="BI7" s="18">
        <f t="shared" si="8"/>
        <v>7</v>
      </c>
      <c r="BJ7" s="18">
        <f t="shared" si="0"/>
        <v>15</v>
      </c>
      <c r="BK7" s="18">
        <f t="shared" si="0"/>
        <v>29</v>
      </c>
      <c r="BL7" s="18">
        <f t="shared" si="0"/>
        <v>-1</v>
      </c>
      <c r="BM7" s="18">
        <f t="shared" si="0"/>
        <v>6</v>
      </c>
      <c r="BN7" s="18">
        <f t="shared" si="0"/>
        <v>3</v>
      </c>
      <c r="BO7" s="18">
        <f t="shared" si="0"/>
        <v>59</v>
      </c>
    </row>
    <row r="8" spans="1:67" x14ac:dyDescent="0.2">
      <c r="A8" s="3"/>
      <c r="B8" s="15" t="s">
        <v>4</v>
      </c>
      <c r="C8" s="3">
        <v>1</v>
      </c>
      <c r="D8" s="3">
        <v>1</v>
      </c>
      <c r="E8" s="27">
        <v>2</v>
      </c>
      <c r="F8" s="18">
        <v>3</v>
      </c>
      <c r="G8" s="18">
        <v>2</v>
      </c>
      <c r="H8" s="18">
        <v>1</v>
      </c>
      <c r="I8" s="18">
        <v>3</v>
      </c>
      <c r="J8" s="27">
        <v>1</v>
      </c>
      <c r="K8" s="18">
        <v>3</v>
      </c>
      <c r="L8" s="18">
        <v>3</v>
      </c>
      <c r="M8" s="18">
        <v>1</v>
      </c>
      <c r="N8" s="18">
        <v>3</v>
      </c>
      <c r="O8" s="18">
        <v>1</v>
      </c>
      <c r="P8" s="18">
        <v>0</v>
      </c>
      <c r="Q8" s="18">
        <v>2</v>
      </c>
      <c r="R8" s="18">
        <v>2</v>
      </c>
      <c r="S8" s="18">
        <v>0</v>
      </c>
      <c r="T8" s="18">
        <v>3</v>
      </c>
      <c r="U8" s="18">
        <v>0</v>
      </c>
      <c r="V8" s="27">
        <v>3</v>
      </c>
      <c r="W8" s="18">
        <v>0</v>
      </c>
      <c r="X8" s="18">
        <v>0</v>
      </c>
      <c r="Y8" s="18">
        <v>0</v>
      </c>
      <c r="Z8" s="18">
        <v>2</v>
      </c>
      <c r="AA8" s="18">
        <v>2</v>
      </c>
      <c r="AB8" s="18">
        <v>1</v>
      </c>
      <c r="AC8" s="18">
        <v>0</v>
      </c>
      <c r="AD8" s="18">
        <v>1</v>
      </c>
      <c r="AE8" s="18">
        <v>3</v>
      </c>
      <c r="AF8" s="18">
        <v>1</v>
      </c>
      <c r="AG8" s="27">
        <v>0</v>
      </c>
      <c r="AH8" s="18">
        <v>3</v>
      </c>
      <c r="AI8" s="18">
        <v>3</v>
      </c>
      <c r="AJ8" s="18">
        <v>2</v>
      </c>
      <c r="AK8" s="18">
        <v>0</v>
      </c>
      <c r="AL8" s="18">
        <v>3</v>
      </c>
      <c r="AM8" s="18">
        <v>2</v>
      </c>
      <c r="AN8" s="18">
        <v>0</v>
      </c>
      <c r="AO8" s="18">
        <v>0</v>
      </c>
      <c r="AP8" s="18">
        <v>1</v>
      </c>
      <c r="AQ8" s="18">
        <v>1</v>
      </c>
      <c r="AR8" s="18">
        <v>0</v>
      </c>
      <c r="AS8" s="18">
        <v>3</v>
      </c>
      <c r="AT8" s="18">
        <v>0</v>
      </c>
      <c r="AU8" s="18">
        <v>1</v>
      </c>
      <c r="AV8" s="18">
        <v>1</v>
      </c>
      <c r="AW8" s="18">
        <v>3</v>
      </c>
      <c r="AX8" s="18">
        <v>3</v>
      </c>
      <c r="AY8" s="18">
        <v>3</v>
      </c>
      <c r="AZ8" s="18">
        <v>1</v>
      </c>
      <c r="BA8" s="3">
        <f t="shared" si="1"/>
        <v>7</v>
      </c>
      <c r="BB8" s="3">
        <f t="shared" si="2"/>
        <v>15</v>
      </c>
      <c r="BC8" s="3">
        <f t="shared" si="3"/>
        <v>24</v>
      </c>
      <c r="BD8" s="3">
        <f t="shared" si="4"/>
        <v>9</v>
      </c>
      <c r="BE8" s="3">
        <f t="shared" si="5"/>
        <v>9</v>
      </c>
      <c r="BF8" s="3">
        <f t="shared" si="6"/>
        <v>9</v>
      </c>
      <c r="BG8" s="3">
        <f t="shared" si="7"/>
        <v>73</v>
      </c>
      <c r="BI8" s="18">
        <f t="shared" si="8"/>
        <v>4</v>
      </c>
      <c r="BJ8" s="18">
        <f t="shared" si="0"/>
        <v>15</v>
      </c>
      <c r="BK8" s="18">
        <f t="shared" si="0"/>
        <v>21</v>
      </c>
      <c r="BL8" s="18">
        <f t="shared" si="0"/>
        <v>1</v>
      </c>
      <c r="BM8" s="18">
        <f t="shared" si="0"/>
        <v>5</v>
      </c>
      <c r="BN8" s="18">
        <f t="shared" si="0"/>
        <v>9</v>
      </c>
      <c r="BO8" s="18">
        <f t="shared" si="0"/>
        <v>55</v>
      </c>
    </row>
    <row r="9" spans="1:67" x14ac:dyDescent="0.2">
      <c r="A9" s="3"/>
      <c r="B9" s="15" t="s">
        <v>5</v>
      </c>
      <c r="C9" s="3">
        <v>2</v>
      </c>
      <c r="D9" s="3">
        <v>2</v>
      </c>
      <c r="E9" s="27">
        <v>1</v>
      </c>
      <c r="F9" s="18">
        <v>0</v>
      </c>
      <c r="G9" s="18">
        <v>1</v>
      </c>
      <c r="H9" s="18">
        <v>1</v>
      </c>
      <c r="I9" s="18">
        <v>2</v>
      </c>
      <c r="J9" s="27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27">
        <v>1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1</v>
      </c>
      <c r="AG9" s="27">
        <v>3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2</v>
      </c>
      <c r="AX9" s="18">
        <v>1</v>
      </c>
      <c r="AY9" s="18">
        <v>0</v>
      </c>
      <c r="AZ9" s="18">
        <v>0</v>
      </c>
      <c r="BA9" s="3">
        <f t="shared" si="1"/>
        <v>1</v>
      </c>
      <c r="BB9" s="3">
        <f t="shared" si="2"/>
        <v>4</v>
      </c>
      <c r="BC9" s="3">
        <f t="shared" si="3"/>
        <v>2</v>
      </c>
      <c r="BD9" s="3">
        <f t="shared" si="4"/>
        <v>4</v>
      </c>
      <c r="BE9" s="3">
        <f t="shared" si="5"/>
        <v>4</v>
      </c>
      <c r="BF9" s="3">
        <f t="shared" si="6"/>
        <v>0</v>
      </c>
      <c r="BG9" s="3">
        <f t="shared" si="7"/>
        <v>15</v>
      </c>
      <c r="BI9" s="18">
        <f t="shared" si="8"/>
        <v>-1</v>
      </c>
      <c r="BJ9" s="18">
        <f t="shared" si="0"/>
        <v>4</v>
      </c>
      <c r="BK9" s="18">
        <f t="shared" si="0"/>
        <v>0</v>
      </c>
      <c r="BL9" s="18">
        <f t="shared" si="0"/>
        <v>0</v>
      </c>
      <c r="BM9" s="18">
        <f t="shared" si="0"/>
        <v>0</v>
      </c>
      <c r="BN9" s="18">
        <f t="shared" si="0"/>
        <v>0</v>
      </c>
      <c r="BO9" s="18">
        <f t="shared" si="0"/>
        <v>3</v>
      </c>
    </row>
    <row r="10" spans="1:67" x14ac:dyDescent="0.2">
      <c r="A10" s="3"/>
      <c r="B10" s="15" t="s">
        <v>6</v>
      </c>
      <c r="C10" s="3">
        <v>1</v>
      </c>
      <c r="D10" s="3">
        <v>1</v>
      </c>
      <c r="E10" s="27">
        <v>1</v>
      </c>
      <c r="F10" s="18">
        <v>2</v>
      </c>
      <c r="G10" s="18">
        <v>0</v>
      </c>
      <c r="H10" s="18">
        <v>1</v>
      </c>
      <c r="I10" s="18">
        <v>0</v>
      </c>
      <c r="J10" s="27">
        <v>1</v>
      </c>
      <c r="K10" s="18">
        <v>0</v>
      </c>
      <c r="L10" s="18">
        <v>1</v>
      </c>
      <c r="M10" s="18">
        <v>1</v>
      </c>
      <c r="N10" s="18">
        <v>2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1</v>
      </c>
      <c r="U10" s="18">
        <v>0</v>
      </c>
      <c r="V10" s="27">
        <v>1</v>
      </c>
      <c r="W10" s="18">
        <v>0</v>
      </c>
      <c r="X10" s="18">
        <v>0</v>
      </c>
      <c r="Y10" s="18">
        <v>0</v>
      </c>
      <c r="Z10" s="18">
        <v>1</v>
      </c>
      <c r="AA10" s="18">
        <v>0</v>
      </c>
      <c r="AB10" s="18">
        <v>0</v>
      </c>
      <c r="AC10" s="18">
        <v>0</v>
      </c>
      <c r="AD10" s="18">
        <v>3</v>
      </c>
      <c r="AE10" s="18">
        <v>0</v>
      </c>
      <c r="AF10" s="18">
        <v>0</v>
      </c>
      <c r="AG10" s="27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1</v>
      </c>
      <c r="AM10" s="18">
        <v>2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3</v>
      </c>
      <c r="AT10" s="18">
        <v>0</v>
      </c>
      <c r="AU10" s="18">
        <v>0</v>
      </c>
      <c r="AV10" s="18">
        <v>0</v>
      </c>
      <c r="AW10" s="18">
        <v>1</v>
      </c>
      <c r="AX10" s="18">
        <v>1</v>
      </c>
      <c r="AY10" s="18">
        <v>0</v>
      </c>
      <c r="AZ10" s="18">
        <v>0</v>
      </c>
      <c r="BA10" s="3">
        <f t="shared" si="1"/>
        <v>6</v>
      </c>
      <c r="BB10" s="3">
        <f t="shared" si="2"/>
        <v>2</v>
      </c>
      <c r="BC10" s="3">
        <f t="shared" si="3"/>
        <v>7</v>
      </c>
      <c r="BD10" s="3">
        <f t="shared" si="4"/>
        <v>4</v>
      </c>
      <c r="BE10" s="3">
        <f t="shared" si="5"/>
        <v>4</v>
      </c>
      <c r="BF10" s="3">
        <f t="shared" si="6"/>
        <v>0</v>
      </c>
      <c r="BG10" s="3">
        <f t="shared" si="7"/>
        <v>23</v>
      </c>
      <c r="BI10" s="18">
        <f t="shared" si="8"/>
        <v>6</v>
      </c>
      <c r="BJ10" s="18">
        <f t="shared" si="0"/>
        <v>2</v>
      </c>
      <c r="BK10" s="18">
        <f t="shared" si="0"/>
        <v>6</v>
      </c>
      <c r="BL10" s="18">
        <f t="shared" si="0"/>
        <v>-2</v>
      </c>
      <c r="BM10" s="18">
        <f t="shared" si="0"/>
        <v>1</v>
      </c>
      <c r="BN10" s="18">
        <f t="shared" si="0"/>
        <v>0</v>
      </c>
      <c r="BO10" s="18">
        <f t="shared" si="0"/>
        <v>13</v>
      </c>
    </row>
    <row r="11" spans="1:67" x14ac:dyDescent="0.2">
      <c r="A11" s="3"/>
      <c r="B11" s="15" t="s">
        <v>7</v>
      </c>
      <c r="C11" s="3">
        <v>2</v>
      </c>
      <c r="D11" s="3">
        <v>2</v>
      </c>
      <c r="E11" s="27">
        <v>2</v>
      </c>
      <c r="F11" s="11">
        <v>3</v>
      </c>
      <c r="G11" s="18">
        <v>3</v>
      </c>
      <c r="H11" s="18">
        <v>2</v>
      </c>
      <c r="I11" s="18">
        <v>3</v>
      </c>
      <c r="J11" s="27">
        <v>0</v>
      </c>
      <c r="K11" s="18">
        <v>3</v>
      </c>
      <c r="L11" s="18">
        <v>3</v>
      </c>
      <c r="M11" s="18">
        <v>0</v>
      </c>
      <c r="N11" s="18">
        <v>3</v>
      </c>
      <c r="O11" s="18">
        <v>2</v>
      </c>
      <c r="P11" s="18">
        <v>3</v>
      </c>
      <c r="Q11" s="18">
        <v>3</v>
      </c>
      <c r="R11" s="18">
        <v>3</v>
      </c>
      <c r="S11" s="18">
        <v>1</v>
      </c>
      <c r="T11" s="18">
        <v>3</v>
      </c>
      <c r="U11" s="18">
        <v>2</v>
      </c>
      <c r="V11" s="27">
        <v>0</v>
      </c>
      <c r="W11" s="18">
        <v>0</v>
      </c>
      <c r="X11" s="18">
        <v>0</v>
      </c>
      <c r="Y11" s="18">
        <v>0</v>
      </c>
      <c r="Z11" s="18">
        <v>3</v>
      </c>
      <c r="AA11" s="18">
        <v>3</v>
      </c>
      <c r="AB11" s="18">
        <v>0</v>
      </c>
      <c r="AC11" s="18">
        <v>1</v>
      </c>
      <c r="AD11" s="18">
        <v>3</v>
      </c>
      <c r="AE11" s="18">
        <v>0</v>
      </c>
      <c r="AF11" s="18">
        <v>3</v>
      </c>
      <c r="AG11" s="27">
        <v>0</v>
      </c>
      <c r="AH11" s="18">
        <v>2</v>
      </c>
      <c r="AI11" s="18">
        <v>1</v>
      </c>
      <c r="AJ11" s="18">
        <v>1</v>
      </c>
      <c r="AK11" s="18">
        <v>0</v>
      </c>
      <c r="AL11" s="18">
        <v>3</v>
      </c>
      <c r="AM11" s="18">
        <v>3</v>
      </c>
      <c r="AN11" s="18">
        <v>2</v>
      </c>
      <c r="AO11" s="18">
        <v>3</v>
      </c>
      <c r="AP11" s="18">
        <v>3</v>
      </c>
      <c r="AQ11" s="18">
        <v>3</v>
      </c>
      <c r="AR11" s="18">
        <v>2</v>
      </c>
      <c r="AS11" s="18">
        <v>3</v>
      </c>
      <c r="AT11" s="18">
        <v>0</v>
      </c>
      <c r="AU11" s="18">
        <v>1</v>
      </c>
      <c r="AV11" s="18">
        <v>0</v>
      </c>
      <c r="AW11" s="18">
        <v>3</v>
      </c>
      <c r="AX11" s="18">
        <v>3</v>
      </c>
      <c r="AY11" s="18">
        <v>3</v>
      </c>
      <c r="AZ11" s="18">
        <v>0</v>
      </c>
      <c r="BA11" s="3">
        <f t="shared" ref="BA11" si="9">SUM(H11,P11,W11,AC11,AD11,AI11,AM11,AR11)</f>
        <v>15</v>
      </c>
      <c r="BB11" s="3">
        <f t="shared" ref="BB11" si="10">SUM(I11,X11,Z11,AE11,AJ11,AN11,AU11,AV11,AW11)</f>
        <v>13</v>
      </c>
      <c r="BC11" s="3">
        <f t="shared" ref="BC11" si="11">SUM(F11,L11,N11,Q11,AF11,AH11,AL11,AO11,AX11,AY11)</f>
        <v>29</v>
      </c>
      <c r="BD11" s="3">
        <f t="shared" ref="BD11" si="12">SUM(E11,J11,M11,S11,V11,AB11,AQ11)</f>
        <v>6</v>
      </c>
      <c r="BE11" s="3">
        <f t="shared" ref="BE11" si="13">SUM(G11,T11,Y11,AG11,AS11,AZ11)</f>
        <v>9</v>
      </c>
      <c r="BF11" s="3">
        <f t="shared" ref="BF11" si="14">SUM(K11,O11,R11,U11,AA11,AK11,AP11,AT11)</f>
        <v>16</v>
      </c>
      <c r="BG11" s="3">
        <f t="shared" ref="BG11" si="15">SUM(BA11:BF11)</f>
        <v>88</v>
      </c>
      <c r="BI11" s="18">
        <f t="shared" si="8"/>
        <v>15</v>
      </c>
      <c r="BJ11" s="18">
        <f t="shared" si="0"/>
        <v>11</v>
      </c>
      <c r="BK11" s="18">
        <f t="shared" si="0"/>
        <v>27</v>
      </c>
      <c r="BL11" s="18">
        <f t="shared" si="0"/>
        <v>-3</v>
      </c>
      <c r="BM11" s="18">
        <f t="shared" si="0"/>
        <v>5</v>
      </c>
      <c r="BN11" s="18">
        <f t="shared" si="0"/>
        <v>16</v>
      </c>
      <c r="BO11" s="18">
        <f t="shared" si="0"/>
        <v>71</v>
      </c>
    </row>
    <row r="12" spans="1:67" x14ac:dyDescent="0.2">
      <c r="A12" s="3"/>
      <c r="B12" s="15" t="s">
        <v>8</v>
      </c>
      <c r="C12" s="3">
        <v>1</v>
      </c>
      <c r="D12" s="3">
        <v>1</v>
      </c>
      <c r="E12" s="27">
        <v>2</v>
      </c>
      <c r="F12" s="18">
        <v>1</v>
      </c>
      <c r="G12" s="18">
        <v>1</v>
      </c>
      <c r="H12" s="18">
        <v>0</v>
      </c>
      <c r="I12" s="18">
        <v>2</v>
      </c>
      <c r="J12" s="27">
        <v>1</v>
      </c>
      <c r="K12" s="18">
        <v>0</v>
      </c>
      <c r="L12" s="18">
        <v>1</v>
      </c>
      <c r="M12" s="18">
        <v>0</v>
      </c>
      <c r="N12" s="18">
        <v>2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27">
        <v>2</v>
      </c>
      <c r="W12" s="18">
        <v>0</v>
      </c>
      <c r="X12" s="18">
        <v>0</v>
      </c>
      <c r="Y12" s="18">
        <v>0</v>
      </c>
      <c r="Z12" s="18">
        <v>3</v>
      </c>
      <c r="AA12" s="18">
        <v>0</v>
      </c>
      <c r="AB12" s="18">
        <v>1</v>
      </c>
      <c r="AC12" s="18">
        <v>0</v>
      </c>
      <c r="AD12" s="18">
        <v>2</v>
      </c>
      <c r="AE12" s="18">
        <v>0</v>
      </c>
      <c r="AF12" s="18">
        <v>2</v>
      </c>
      <c r="AG12" s="27">
        <v>3</v>
      </c>
      <c r="AH12" s="18">
        <v>1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3</v>
      </c>
      <c r="AX12" s="18">
        <v>1</v>
      </c>
      <c r="AY12" s="18">
        <v>1</v>
      </c>
      <c r="AZ12" s="18">
        <v>0</v>
      </c>
      <c r="BA12" s="3">
        <f t="shared" si="1"/>
        <v>2</v>
      </c>
      <c r="BB12" s="3">
        <f t="shared" si="2"/>
        <v>8</v>
      </c>
      <c r="BC12" s="3">
        <f t="shared" si="3"/>
        <v>9</v>
      </c>
      <c r="BD12" s="3">
        <f t="shared" si="4"/>
        <v>6</v>
      </c>
      <c r="BE12" s="3">
        <f t="shared" si="5"/>
        <v>4</v>
      </c>
      <c r="BF12" s="3">
        <f t="shared" si="6"/>
        <v>0</v>
      </c>
      <c r="BG12" s="3">
        <f t="shared" si="7"/>
        <v>29</v>
      </c>
      <c r="BI12" s="18">
        <f t="shared" si="8"/>
        <v>2</v>
      </c>
      <c r="BJ12" s="18">
        <f t="shared" si="0"/>
        <v>7</v>
      </c>
      <c r="BK12" s="18">
        <f t="shared" si="0"/>
        <v>9</v>
      </c>
      <c r="BL12" s="18">
        <f t="shared" si="0"/>
        <v>1</v>
      </c>
      <c r="BM12" s="18">
        <f t="shared" si="0"/>
        <v>2</v>
      </c>
      <c r="BN12" s="18">
        <f t="shared" si="0"/>
        <v>0</v>
      </c>
      <c r="BO12" s="18">
        <f t="shared" si="0"/>
        <v>21</v>
      </c>
    </row>
    <row r="13" spans="1:67" x14ac:dyDescent="0.2">
      <c r="A13" s="3"/>
      <c r="B13" s="15" t="s">
        <v>9</v>
      </c>
      <c r="C13" s="3">
        <v>2</v>
      </c>
      <c r="D13" s="3">
        <v>2</v>
      </c>
      <c r="E13" s="27">
        <v>0</v>
      </c>
      <c r="F13" s="18">
        <v>1</v>
      </c>
      <c r="G13" s="18">
        <v>3</v>
      </c>
      <c r="H13" s="18">
        <v>1</v>
      </c>
      <c r="I13" s="18">
        <v>2</v>
      </c>
      <c r="J13" s="27">
        <v>1</v>
      </c>
      <c r="K13" s="18">
        <v>2</v>
      </c>
      <c r="L13" s="18">
        <v>3</v>
      </c>
      <c r="M13" s="18">
        <v>0</v>
      </c>
      <c r="N13" s="18">
        <v>3</v>
      </c>
      <c r="O13" s="18">
        <v>0</v>
      </c>
      <c r="P13" s="18">
        <v>0</v>
      </c>
      <c r="Q13" s="18">
        <v>2</v>
      </c>
      <c r="R13" s="18">
        <v>0</v>
      </c>
      <c r="S13" s="18">
        <v>0</v>
      </c>
      <c r="T13" s="18">
        <v>2</v>
      </c>
      <c r="U13" s="18">
        <v>0</v>
      </c>
      <c r="V13" s="27">
        <v>1</v>
      </c>
      <c r="W13" s="18">
        <v>0</v>
      </c>
      <c r="X13" s="18">
        <v>0</v>
      </c>
      <c r="Y13" s="18">
        <v>0</v>
      </c>
      <c r="Z13" s="18">
        <v>3</v>
      </c>
      <c r="AA13" s="18">
        <v>0</v>
      </c>
      <c r="AB13" s="18">
        <v>0</v>
      </c>
      <c r="AC13" s="18">
        <v>0</v>
      </c>
      <c r="AD13" s="18">
        <v>1</v>
      </c>
      <c r="AE13" s="18">
        <v>2</v>
      </c>
      <c r="AF13" s="18">
        <v>3</v>
      </c>
      <c r="AG13" s="27">
        <v>3</v>
      </c>
      <c r="AH13" s="18">
        <v>3</v>
      </c>
      <c r="AI13" s="18">
        <v>0</v>
      </c>
      <c r="AJ13" s="18">
        <v>1</v>
      </c>
      <c r="AK13" s="18">
        <v>0</v>
      </c>
      <c r="AL13" s="18">
        <v>1</v>
      </c>
      <c r="AM13" s="18">
        <v>2</v>
      </c>
      <c r="AN13" s="18">
        <v>0</v>
      </c>
      <c r="AO13" s="18">
        <v>3</v>
      </c>
      <c r="AP13" s="18">
        <v>1</v>
      </c>
      <c r="AQ13" s="18">
        <v>0</v>
      </c>
      <c r="AR13" s="18">
        <v>0</v>
      </c>
      <c r="AS13" s="18">
        <v>2</v>
      </c>
      <c r="AT13" s="18">
        <v>0</v>
      </c>
      <c r="AU13" s="18">
        <v>0</v>
      </c>
      <c r="AV13" s="18">
        <v>0</v>
      </c>
      <c r="AW13" s="18">
        <v>1</v>
      </c>
      <c r="AX13" s="18">
        <v>3</v>
      </c>
      <c r="AY13" s="18">
        <v>1</v>
      </c>
      <c r="AZ13" s="18">
        <v>0</v>
      </c>
      <c r="BA13" s="3">
        <f t="shared" si="1"/>
        <v>4</v>
      </c>
      <c r="BB13" s="3">
        <f t="shared" si="2"/>
        <v>9</v>
      </c>
      <c r="BC13" s="3">
        <f t="shared" si="3"/>
        <v>23</v>
      </c>
      <c r="BD13" s="3">
        <f t="shared" si="4"/>
        <v>2</v>
      </c>
      <c r="BE13" s="3">
        <f t="shared" si="5"/>
        <v>10</v>
      </c>
      <c r="BF13" s="3">
        <f t="shared" si="6"/>
        <v>3</v>
      </c>
      <c r="BG13" s="3">
        <f t="shared" si="7"/>
        <v>51</v>
      </c>
      <c r="BI13" s="18">
        <f t="shared" si="8"/>
        <v>2</v>
      </c>
      <c r="BJ13" s="18">
        <f t="shared" si="0"/>
        <v>7</v>
      </c>
      <c r="BK13" s="18">
        <f t="shared" si="0"/>
        <v>22</v>
      </c>
      <c r="BL13" s="18">
        <f t="shared" si="0"/>
        <v>-4</v>
      </c>
      <c r="BM13" s="18">
        <f t="shared" si="0"/>
        <v>8</v>
      </c>
      <c r="BN13" s="18">
        <f t="shared" si="0"/>
        <v>2</v>
      </c>
      <c r="BO13" s="18">
        <f t="shared" si="0"/>
        <v>37</v>
      </c>
    </row>
    <row r="14" spans="1:67" x14ac:dyDescent="0.2">
      <c r="A14" s="3"/>
      <c r="B14" s="15" t="s">
        <v>10</v>
      </c>
      <c r="C14" s="3">
        <v>1</v>
      </c>
      <c r="D14" s="3">
        <v>1</v>
      </c>
      <c r="E14" s="27">
        <v>2</v>
      </c>
      <c r="F14" s="18">
        <v>1</v>
      </c>
      <c r="G14" s="18">
        <v>1</v>
      </c>
      <c r="H14" s="18">
        <v>0</v>
      </c>
      <c r="I14" s="18">
        <v>2</v>
      </c>
      <c r="J14" s="27">
        <v>1</v>
      </c>
      <c r="K14" s="18">
        <v>0</v>
      </c>
      <c r="L14" s="18">
        <v>1</v>
      </c>
      <c r="M14" s="18">
        <v>0</v>
      </c>
      <c r="N14" s="18">
        <v>1</v>
      </c>
      <c r="O14" s="18">
        <v>0</v>
      </c>
      <c r="P14" s="18">
        <v>0</v>
      </c>
      <c r="Q14" s="18">
        <v>2</v>
      </c>
      <c r="R14" s="18">
        <v>1</v>
      </c>
      <c r="S14" s="18">
        <v>0</v>
      </c>
      <c r="T14" s="18">
        <v>0</v>
      </c>
      <c r="U14" s="18">
        <v>0</v>
      </c>
      <c r="V14" s="27">
        <v>2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2</v>
      </c>
      <c r="AE14" s="18">
        <v>1</v>
      </c>
      <c r="AF14" s="18">
        <v>2</v>
      </c>
      <c r="AG14" s="27">
        <v>2</v>
      </c>
      <c r="AH14" s="18">
        <v>1</v>
      </c>
      <c r="AI14" s="18">
        <v>1</v>
      </c>
      <c r="AJ14" s="18">
        <v>0</v>
      </c>
      <c r="AK14" s="18">
        <v>0</v>
      </c>
      <c r="AL14" s="18">
        <v>0</v>
      </c>
      <c r="AM14" s="18">
        <v>0</v>
      </c>
      <c r="AN14" s="18">
        <v>1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1</v>
      </c>
      <c r="AY14" s="18">
        <v>0</v>
      </c>
      <c r="AZ14" s="18">
        <v>0</v>
      </c>
      <c r="BA14" s="3">
        <f t="shared" si="1"/>
        <v>3</v>
      </c>
      <c r="BB14" s="3">
        <f t="shared" si="2"/>
        <v>4</v>
      </c>
      <c r="BC14" s="3">
        <f t="shared" si="3"/>
        <v>9</v>
      </c>
      <c r="BD14" s="3">
        <f t="shared" si="4"/>
        <v>5</v>
      </c>
      <c r="BE14" s="3">
        <f t="shared" si="5"/>
        <v>3</v>
      </c>
      <c r="BF14" s="3">
        <f t="shared" si="6"/>
        <v>1</v>
      </c>
      <c r="BG14" s="3">
        <f t="shared" si="7"/>
        <v>25</v>
      </c>
      <c r="BI14" s="18">
        <f t="shared" si="8"/>
        <v>3</v>
      </c>
      <c r="BJ14" s="18">
        <f t="shared" si="0"/>
        <v>4</v>
      </c>
      <c r="BK14" s="18">
        <f t="shared" si="0"/>
        <v>9</v>
      </c>
      <c r="BL14" s="18">
        <f t="shared" si="0"/>
        <v>-1</v>
      </c>
      <c r="BM14" s="18">
        <f t="shared" si="0"/>
        <v>0</v>
      </c>
      <c r="BN14" s="18">
        <f t="shared" si="0"/>
        <v>1</v>
      </c>
      <c r="BO14" s="18">
        <f t="shared" si="0"/>
        <v>16</v>
      </c>
    </row>
    <row r="15" spans="1:67" x14ac:dyDescent="0.2">
      <c r="A15" s="3"/>
      <c r="B15" s="15" t="s">
        <v>11</v>
      </c>
      <c r="C15" s="3">
        <v>2</v>
      </c>
      <c r="D15" s="3">
        <v>2</v>
      </c>
      <c r="E15" s="27">
        <v>2</v>
      </c>
      <c r="F15" s="18">
        <v>2</v>
      </c>
      <c r="G15" s="18">
        <v>2</v>
      </c>
      <c r="H15" s="18">
        <v>1</v>
      </c>
      <c r="I15" s="18">
        <v>0</v>
      </c>
      <c r="J15" s="27">
        <v>1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1</v>
      </c>
      <c r="U15" s="18">
        <v>0</v>
      </c>
      <c r="V15" s="27">
        <v>2</v>
      </c>
      <c r="W15" s="18">
        <v>0</v>
      </c>
      <c r="X15" s="18">
        <v>0</v>
      </c>
      <c r="Y15" s="18">
        <v>0</v>
      </c>
      <c r="Z15" s="18">
        <v>1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27">
        <v>3</v>
      </c>
      <c r="AH15" s="18">
        <v>0</v>
      </c>
      <c r="AI15" s="18">
        <v>0</v>
      </c>
      <c r="AJ15" s="18">
        <v>0</v>
      </c>
      <c r="AK15" s="18">
        <v>0</v>
      </c>
      <c r="AL15" s="18">
        <v>1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1</v>
      </c>
      <c r="AX15" s="18">
        <v>0</v>
      </c>
      <c r="AY15" s="18">
        <v>0</v>
      </c>
      <c r="AZ15" s="18">
        <v>0</v>
      </c>
      <c r="BA15" s="3">
        <f t="shared" si="1"/>
        <v>1</v>
      </c>
      <c r="BB15" s="3">
        <f t="shared" si="2"/>
        <v>2</v>
      </c>
      <c r="BC15" s="3">
        <f t="shared" si="3"/>
        <v>4</v>
      </c>
      <c r="BD15" s="3">
        <f t="shared" si="4"/>
        <v>5</v>
      </c>
      <c r="BE15" s="3">
        <f t="shared" si="5"/>
        <v>6</v>
      </c>
      <c r="BF15" s="3">
        <f t="shared" si="6"/>
        <v>0</v>
      </c>
      <c r="BG15" s="3">
        <f t="shared" si="7"/>
        <v>18</v>
      </c>
      <c r="BI15" s="18">
        <f t="shared" si="8"/>
        <v>-2</v>
      </c>
      <c r="BJ15" s="18">
        <f t="shared" si="0"/>
        <v>1</v>
      </c>
      <c r="BK15" s="18">
        <f t="shared" si="0"/>
        <v>4</v>
      </c>
      <c r="BL15" s="18">
        <f t="shared" si="0"/>
        <v>1</v>
      </c>
      <c r="BM15" s="18">
        <f t="shared" si="0"/>
        <v>2</v>
      </c>
      <c r="BN15" s="18">
        <f t="shared" si="0"/>
        <v>0</v>
      </c>
      <c r="BO15" s="18">
        <f t="shared" si="0"/>
        <v>6</v>
      </c>
    </row>
    <row r="16" spans="1:67" x14ac:dyDescent="0.2">
      <c r="A16" s="3"/>
      <c r="B16" s="15" t="s">
        <v>12</v>
      </c>
      <c r="C16" s="3">
        <v>1</v>
      </c>
      <c r="D16" s="3">
        <v>1</v>
      </c>
      <c r="E16" s="27">
        <v>2</v>
      </c>
      <c r="F16" s="11">
        <v>1</v>
      </c>
      <c r="G16" s="18">
        <v>3</v>
      </c>
      <c r="H16" s="18">
        <v>2</v>
      </c>
      <c r="I16" s="18">
        <v>3</v>
      </c>
      <c r="J16" s="27">
        <v>2</v>
      </c>
      <c r="K16" s="18">
        <v>2</v>
      </c>
      <c r="L16" s="18">
        <v>2</v>
      </c>
      <c r="M16" s="18">
        <v>0</v>
      </c>
      <c r="N16" s="18">
        <v>1</v>
      </c>
      <c r="O16" s="18">
        <v>0</v>
      </c>
      <c r="P16" s="18">
        <v>0</v>
      </c>
      <c r="Q16" s="18">
        <v>2</v>
      </c>
      <c r="R16" s="18">
        <v>1</v>
      </c>
      <c r="S16" s="18">
        <v>0</v>
      </c>
      <c r="T16" s="18">
        <v>2</v>
      </c>
      <c r="U16" s="18">
        <v>0</v>
      </c>
      <c r="V16" s="27">
        <v>2</v>
      </c>
      <c r="W16" s="18">
        <v>1</v>
      </c>
      <c r="X16" s="18">
        <v>0</v>
      </c>
      <c r="Y16" s="18">
        <v>0</v>
      </c>
      <c r="Z16" s="18">
        <v>2</v>
      </c>
      <c r="AA16" s="18">
        <v>3</v>
      </c>
      <c r="AB16" s="18">
        <v>1</v>
      </c>
      <c r="AC16" s="18">
        <v>0</v>
      </c>
      <c r="AD16" s="18">
        <v>3</v>
      </c>
      <c r="AE16" s="18">
        <v>2</v>
      </c>
      <c r="AF16" s="18">
        <v>2</v>
      </c>
      <c r="AG16" s="27">
        <v>2</v>
      </c>
      <c r="AH16" s="18">
        <v>1</v>
      </c>
      <c r="AI16" s="18">
        <v>0</v>
      </c>
      <c r="AJ16" s="18">
        <v>2</v>
      </c>
      <c r="AK16" s="18">
        <v>0</v>
      </c>
      <c r="AL16" s="18">
        <v>2</v>
      </c>
      <c r="AM16" s="18">
        <v>2</v>
      </c>
      <c r="AN16" s="18">
        <v>0</v>
      </c>
      <c r="AO16" s="18">
        <v>0</v>
      </c>
      <c r="AP16" s="18">
        <v>2</v>
      </c>
      <c r="AQ16" s="18">
        <v>2</v>
      </c>
      <c r="AR16" s="18">
        <v>3</v>
      </c>
      <c r="AS16" s="18">
        <v>3</v>
      </c>
      <c r="AT16" s="18">
        <v>1</v>
      </c>
      <c r="AU16" s="18">
        <v>0</v>
      </c>
      <c r="AV16" s="18">
        <v>0</v>
      </c>
      <c r="AW16" s="18">
        <v>3</v>
      </c>
      <c r="AX16" s="18">
        <v>2</v>
      </c>
      <c r="AY16" s="18">
        <v>3</v>
      </c>
      <c r="AZ16" s="18">
        <v>3</v>
      </c>
      <c r="BA16" s="3">
        <f t="shared" si="1"/>
        <v>11</v>
      </c>
      <c r="BB16" s="3">
        <f t="shared" si="2"/>
        <v>12</v>
      </c>
      <c r="BC16" s="3">
        <f t="shared" si="3"/>
        <v>16</v>
      </c>
      <c r="BD16" s="3">
        <f t="shared" si="4"/>
        <v>9</v>
      </c>
      <c r="BE16" s="3">
        <f t="shared" si="5"/>
        <v>13</v>
      </c>
      <c r="BF16" s="3">
        <f t="shared" si="6"/>
        <v>9</v>
      </c>
      <c r="BG16" s="3">
        <f t="shared" si="7"/>
        <v>70</v>
      </c>
      <c r="BI16" s="18">
        <f t="shared" si="8"/>
        <v>9</v>
      </c>
      <c r="BJ16" s="18">
        <f t="shared" si="0"/>
        <v>12</v>
      </c>
      <c r="BK16" s="18">
        <f t="shared" si="0"/>
        <v>14</v>
      </c>
      <c r="BL16" s="18">
        <f t="shared" si="0"/>
        <v>0</v>
      </c>
      <c r="BM16" s="18">
        <f t="shared" si="0"/>
        <v>10</v>
      </c>
      <c r="BN16" s="18">
        <f t="shared" si="0"/>
        <v>8</v>
      </c>
      <c r="BO16" s="18">
        <f t="shared" si="0"/>
        <v>53</v>
      </c>
    </row>
    <row r="17" spans="1:67" x14ac:dyDescent="0.2">
      <c r="A17" s="3"/>
      <c r="B17" s="15" t="s">
        <v>13</v>
      </c>
      <c r="C17" s="3">
        <v>2</v>
      </c>
      <c r="D17" s="3">
        <v>2</v>
      </c>
      <c r="E17" s="27">
        <v>0</v>
      </c>
      <c r="F17" s="18">
        <v>0</v>
      </c>
      <c r="G17" s="18">
        <v>1</v>
      </c>
      <c r="H17" s="18">
        <v>0</v>
      </c>
      <c r="I17" s="18">
        <v>3</v>
      </c>
      <c r="J17" s="27">
        <v>3</v>
      </c>
      <c r="K17" s="18">
        <v>1</v>
      </c>
      <c r="L17" s="18">
        <v>0</v>
      </c>
      <c r="M17" s="18">
        <v>0</v>
      </c>
      <c r="N17" s="18">
        <v>3</v>
      </c>
      <c r="O17" s="18">
        <v>0</v>
      </c>
      <c r="P17" s="18">
        <v>1</v>
      </c>
      <c r="Q17" s="18">
        <v>0</v>
      </c>
      <c r="R17" s="18">
        <v>0</v>
      </c>
      <c r="S17" s="18">
        <v>0</v>
      </c>
      <c r="T17" s="18">
        <v>3</v>
      </c>
      <c r="U17" s="18">
        <v>0</v>
      </c>
      <c r="V17" s="27">
        <v>1</v>
      </c>
      <c r="W17" s="18">
        <v>0</v>
      </c>
      <c r="X17" s="18">
        <v>2</v>
      </c>
      <c r="Y17" s="18">
        <v>1</v>
      </c>
      <c r="Z17" s="18">
        <v>3</v>
      </c>
      <c r="AA17" s="18">
        <v>0</v>
      </c>
      <c r="AB17" s="18">
        <v>0</v>
      </c>
      <c r="AC17" s="18">
        <v>2</v>
      </c>
      <c r="AD17" s="18">
        <v>3</v>
      </c>
      <c r="AE17" s="18">
        <v>2</v>
      </c>
      <c r="AF17" s="18">
        <v>0</v>
      </c>
      <c r="AG17" s="27">
        <v>3</v>
      </c>
      <c r="AH17" s="18">
        <v>1</v>
      </c>
      <c r="AI17" s="18">
        <v>2</v>
      </c>
      <c r="AJ17" s="18">
        <v>2</v>
      </c>
      <c r="AK17" s="18">
        <v>0</v>
      </c>
      <c r="AL17" s="18">
        <v>2</v>
      </c>
      <c r="AM17" s="18">
        <v>1</v>
      </c>
      <c r="AN17" s="18">
        <v>2</v>
      </c>
      <c r="AO17" s="18">
        <v>1</v>
      </c>
      <c r="AP17" s="18">
        <v>0</v>
      </c>
      <c r="AQ17" s="18">
        <v>0</v>
      </c>
      <c r="AR17" s="18">
        <v>0</v>
      </c>
      <c r="AS17" s="18">
        <v>3</v>
      </c>
      <c r="AT17" s="18">
        <v>0</v>
      </c>
      <c r="AU17" s="18">
        <v>0</v>
      </c>
      <c r="AV17" s="18">
        <v>1</v>
      </c>
      <c r="AW17" s="18">
        <v>3</v>
      </c>
      <c r="AX17" s="18">
        <v>3</v>
      </c>
      <c r="AY17" s="18">
        <v>1</v>
      </c>
      <c r="AZ17" s="18">
        <v>0</v>
      </c>
      <c r="BA17" s="3">
        <f t="shared" si="1"/>
        <v>9</v>
      </c>
      <c r="BB17" s="3">
        <f t="shared" si="2"/>
        <v>18</v>
      </c>
      <c r="BC17" s="3">
        <f t="shared" si="3"/>
        <v>11</v>
      </c>
      <c r="BD17" s="3">
        <f t="shared" si="4"/>
        <v>4</v>
      </c>
      <c r="BE17" s="3">
        <f t="shared" si="5"/>
        <v>11</v>
      </c>
      <c r="BF17" s="3">
        <f t="shared" si="6"/>
        <v>1</v>
      </c>
      <c r="BG17" s="3">
        <f t="shared" si="7"/>
        <v>54</v>
      </c>
      <c r="BI17" s="18">
        <f t="shared" si="8"/>
        <v>9</v>
      </c>
      <c r="BJ17" s="18">
        <f t="shared" si="0"/>
        <v>18</v>
      </c>
      <c r="BK17" s="18">
        <f t="shared" si="0"/>
        <v>11</v>
      </c>
      <c r="BL17" s="18">
        <f t="shared" si="0"/>
        <v>-1</v>
      </c>
      <c r="BM17" s="18">
        <f t="shared" si="0"/>
        <v>8</v>
      </c>
      <c r="BN17" s="18">
        <f t="shared" si="0"/>
        <v>1</v>
      </c>
      <c r="BO17" s="18">
        <f t="shared" si="0"/>
        <v>46</v>
      </c>
    </row>
    <row r="18" spans="1:67" x14ac:dyDescent="0.2">
      <c r="A18" s="3"/>
      <c r="B18" s="15" t="s">
        <v>14</v>
      </c>
      <c r="C18" s="3">
        <v>1</v>
      </c>
      <c r="D18" s="3">
        <v>1</v>
      </c>
      <c r="E18" s="27">
        <v>0</v>
      </c>
      <c r="F18" s="18">
        <v>2</v>
      </c>
      <c r="G18" s="18">
        <v>2</v>
      </c>
      <c r="H18" s="18">
        <v>1</v>
      </c>
      <c r="I18" s="18">
        <v>2</v>
      </c>
      <c r="J18" s="27">
        <v>2</v>
      </c>
      <c r="K18" s="18">
        <v>2</v>
      </c>
      <c r="L18" s="18">
        <v>3</v>
      </c>
      <c r="M18" s="18">
        <v>2</v>
      </c>
      <c r="N18" s="18">
        <v>2</v>
      </c>
      <c r="O18" s="18">
        <v>3</v>
      </c>
      <c r="P18" s="18">
        <v>3</v>
      </c>
      <c r="Q18" s="18">
        <v>3</v>
      </c>
      <c r="R18" s="18">
        <v>2</v>
      </c>
      <c r="S18" s="18">
        <v>0</v>
      </c>
      <c r="T18" s="18">
        <v>1</v>
      </c>
      <c r="U18" s="18">
        <v>2</v>
      </c>
      <c r="V18" s="27">
        <v>1</v>
      </c>
      <c r="W18" s="18">
        <v>0</v>
      </c>
      <c r="X18" s="18">
        <v>0</v>
      </c>
      <c r="Y18" s="18">
        <v>0</v>
      </c>
      <c r="Z18" s="18">
        <v>1</v>
      </c>
      <c r="AA18" s="18">
        <v>2</v>
      </c>
      <c r="AB18" s="18">
        <v>2</v>
      </c>
      <c r="AC18" s="18">
        <v>1</v>
      </c>
      <c r="AD18" s="18">
        <v>1</v>
      </c>
      <c r="AE18" s="18">
        <v>0</v>
      </c>
      <c r="AF18" s="18">
        <v>2</v>
      </c>
      <c r="AG18" s="27">
        <v>2</v>
      </c>
      <c r="AH18" s="18">
        <v>3</v>
      </c>
      <c r="AI18" s="18">
        <v>0</v>
      </c>
      <c r="AJ18" s="18">
        <v>1</v>
      </c>
      <c r="AK18" s="18">
        <v>2</v>
      </c>
      <c r="AL18" s="18">
        <v>3</v>
      </c>
      <c r="AM18" s="18">
        <v>3</v>
      </c>
      <c r="AN18" s="18">
        <v>0</v>
      </c>
      <c r="AO18" s="18">
        <v>2</v>
      </c>
      <c r="AP18" s="18">
        <v>1</v>
      </c>
      <c r="AQ18" s="18">
        <v>0</v>
      </c>
      <c r="AR18" s="18">
        <v>0</v>
      </c>
      <c r="AS18" s="18">
        <v>1</v>
      </c>
      <c r="AT18" s="18">
        <v>3</v>
      </c>
      <c r="AU18" s="18">
        <v>1</v>
      </c>
      <c r="AV18" s="18">
        <v>0</v>
      </c>
      <c r="AW18" s="18">
        <v>2</v>
      </c>
      <c r="AX18" s="18">
        <v>2</v>
      </c>
      <c r="AY18" s="18">
        <v>2</v>
      </c>
      <c r="AZ18" s="18">
        <v>0</v>
      </c>
      <c r="BA18" s="3">
        <f t="shared" si="1"/>
        <v>9</v>
      </c>
      <c r="BB18" s="3">
        <f t="shared" si="2"/>
        <v>7</v>
      </c>
      <c r="BC18" s="3">
        <f t="shared" si="3"/>
        <v>24</v>
      </c>
      <c r="BD18" s="3">
        <f t="shared" si="4"/>
        <v>7</v>
      </c>
      <c r="BE18" s="3">
        <f t="shared" si="5"/>
        <v>6</v>
      </c>
      <c r="BF18" s="3">
        <f t="shared" si="6"/>
        <v>17</v>
      </c>
      <c r="BG18" s="3">
        <f t="shared" si="7"/>
        <v>70</v>
      </c>
      <c r="BI18" s="18">
        <f t="shared" si="8"/>
        <v>7</v>
      </c>
      <c r="BJ18" s="18">
        <f t="shared" si="0"/>
        <v>6</v>
      </c>
      <c r="BK18" s="18">
        <f t="shared" si="0"/>
        <v>22</v>
      </c>
      <c r="BL18" s="18">
        <f t="shared" si="0"/>
        <v>1</v>
      </c>
      <c r="BM18" s="18">
        <f t="shared" si="0"/>
        <v>3</v>
      </c>
      <c r="BN18" s="18">
        <f t="shared" si="0"/>
        <v>14</v>
      </c>
      <c r="BO18" s="18">
        <f t="shared" si="0"/>
        <v>53</v>
      </c>
    </row>
    <row r="19" spans="1:67" x14ac:dyDescent="0.2">
      <c r="A19" s="3"/>
      <c r="B19" s="15" t="s">
        <v>15</v>
      </c>
      <c r="C19" s="3">
        <v>2</v>
      </c>
      <c r="D19" s="3">
        <v>2</v>
      </c>
      <c r="E19" s="27">
        <v>0</v>
      </c>
      <c r="F19" s="18">
        <v>0</v>
      </c>
      <c r="G19" s="18">
        <v>0</v>
      </c>
      <c r="H19" s="18">
        <v>0</v>
      </c>
      <c r="I19" s="18">
        <v>3</v>
      </c>
      <c r="J19" s="27">
        <v>1</v>
      </c>
      <c r="K19" s="18">
        <v>0</v>
      </c>
      <c r="L19" s="18">
        <v>1</v>
      </c>
      <c r="M19" s="18">
        <v>0</v>
      </c>
      <c r="N19" s="18">
        <v>2</v>
      </c>
      <c r="O19" s="18">
        <v>0</v>
      </c>
      <c r="P19" s="18">
        <v>0</v>
      </c>
      <c r="Q19" s="18">
        <v>2</v>
      </c>
      <c r="R19" s="18">
        <v>0</v>
      </c>
      <c r="S19" s="18">
        <v>0</v>
      </c>
      <c r="T19" s="18">
        <v>1</v>
      </c>
      <c r="U19" s="18">
        <v>0</v>
      </c>
      <c r="V19" s="27">
        <v>1</v>
      </c>
      <c r="W19" s="18">
        <v>0</v>
      </c>
      <c r="X19" s="18">
        <v>0</v>
      </c>
      <c r="Y19" s="18">
        <v>0</v>
      </c>
      <c r="Z19" s="18">
        <v>1</v>
      </c>
      <c r="AA19" s="18">
        <v>0</v>
      </c>
      <c r="AB19" s="18">
        <v>0</v>
      </c>
      <c r="AC19" s="18">
        <v>0</v>
      </c>
      <c r="AD19" s="18">
        <v>2</v>
      </c>
      <c r="AE19" s="18">
        <v>0</v>
      </c>
      <c r="AF19" s="18">
        <v>1</v>
      </c>
      <c r="AG19" s="27">
        <v>3</v>
      </c>
      <c r="AH19" s="18">
        <v>0</v>
      </c>
      <c r="AI19" s="18">
        <v>0</v>
      </c>
      <c r="AJ19" s="18">
        <v>0</v>
      </c>
      <c r="AK19" s="18">
        <v>0</v>
      </c>
      <c r="AL19" s="18">
        <v>1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3</v>
      </c>
      <c r="AX19" s="18">
        <v>2</v>
      </c>
      <c r="AY19" s="18">
        <v>0</v>
      </c>
      <c r="AZ19" s="18">
        <v>0</v>
      </c>
      <c r="BA19" s="3">
        <f t="shared" si="1"/>
        <v>2</v>
      </c>
      <c r="BB19" s="3">
        <f t="shared" si="2"/>
        <v>7</v>
      </c>
      <c r="BC19" s="3">
        <f t="shared" si="3"/>
        <v>9</v>
      </c>
      <c r="BD19" s="3">
        <f t="shared" si="4"/>
        <v>2</v>
      </c>
      <c r="BE19" s="3">
        <f t="shared" si="5"/>
        <v>4</v>
      </c>
      <c r="BF19" s="3">
        <f t="shared" si="6"/>
        <v>0</v>
      </c>
      <c r="BG19" s="3">
        <f t="shared" si="7"/>
        <v>24</v>
      </c>
      <c r="BI19" s="18">
        <f t="shared" si="8"/>
        <v>2</v>
      </c>
      <c r="BJ19" s="18">
        <f t="shared" si="0"/>
        <v>7</v>
      </c>
      <c r="BK19" s="18">
        <f t="shared" si="0"/>
        <v>9</v>
      </c>
      <c r="BL19" s="18">
        <f t="shared" si="0"/>
        <v>-4</v>
      </c>
      <c r="BM19" s="18">
        <f t="shared" si="0"/>
        <v>1</v>
      </c>
      <c r="BN19" s="18">
        <f t="shared" si="0"/>
        <v>0</v>
      </c>
      <c r="BO19" s="18">
        <f t="shared" si="0"/>
        <v>15</v>
      </c>
    </row>
    <row r="20" spans="1:67" x14ac:dyDescent="0.2">
      <c r="A20" s="3"/>
      <c r="B20" s="15" t="s">
        <v>16</v>
      </c>
      <c r="C20" s="3">
        <v>1</v>
      </c>
      <c r="D20" s="3">
        <v>1</v>
      </c>
      <c r="E20" s="27">
        <v>0</v>
      </c>
      <c r="F20" s="18">
        <v>2</v>
      </c>
      <c r="G20" s="18">
        <v>3</v>
      </c>
      <c r="H20" s="18">
        <v>1</v>
      </c>
      <c r="I20" s="18">
        <v>0</v>
      </c>
      <c r="J20" s="27">
        <v>2</v>
      </c>
      <c r="K20" s="18">
        <v>0</v>
      </c>
      <c r="L20" s="18">
        <v>1</v>
      </c>
      <c r="M20" s="18">
        <v>1</v>
      </c>
      <c r="N20" s="18">
        <v>3</v>
      </c>
      <c r="O20" s="18">
        <v>0</v>
      </c>
      <c r="P20" s="18">
        <v>0</v>
      </c>
      <c r="Q20" s="18">
        <v>2</v>
      </c>
      <c r="R20" s="18">
        <v>0</v>
      </c>
      <c r="S20" s="18">
        <v>2</v>
      </c>
      <c r="T20" s="18">
        <v>2</v>
      </c>
      <c r="U20" s="18">
        <v>0</v>
      </c>
      <c r="V20" s="27">
        <v>0</v>
      </c>
      <c r="W20" s="18">
        <v>0</v>
      </c>
      <c r="X20" s="18">
        <v>0</v>
      </c>
      <c r="Y20" s="18">
        <v>0</v>
      </c>
      <c r="Z20" s="18">
        <v>2</v>
      </c>
      <c r="AA20" s="18">
        <v>0</v>
      </c>
      <c r="AB20" s="18">
        <v>0</v>
      </c>
      <c r="AC20" s="18">
        <v>1</v>
      </c>
      <c r="AD20" s="18">
        <v>3</v>
      </c>
      <c r="AE20" s="18">
        <v>3</v>
      </c>
      <c r="AF20" s="18">
        <v>2</v>
      </c>
      <c r="AG20" s="27">
        <v>1</v>
      </c>
      <c r="AH20" s="18">
        <v>2</v>
      </c>
      <c r="AI20" s="18">
        <v>1</v>
      </c>
      <c r="AJ20" s="18">
        <v>0</v>
      </c>
      <c r="AK20" s="18">
        <v>0</v>
      </c>
      <c r="AL20" s="18">
        <v>2</v>
      </c>
      <c r="AM20" s="18">
        <v>2</v>
      </c>
      <c r="AN20" s="18">
        <v>0</v>
      </c>
      <c r="AO20" s="18">
        <v>2</v>
      </c>
      <c r="AP20" s="18">
        <v>0</v>
      </c>
      <c r="AQ20" s="18">
        <v>0</v>
      </c>
      <c r="AR20" s="18">
        <v>0</v>
      </c>
      <c r="AS20" s="18">
        <v>3</v>
      </c>
      <c r="AT20" s="18">
        <v>0</v>
      </c>
      <c r="AU20" s="18">
        <v>1</v>
      </c>
      <c r="AV20" s="18">
        <v>0</v>
      </c>
      <c r="AW20" s="18">
        <v>3</v>
      </c>
      <c r="AX20" s="18">
        <v>3</v>
      </c>
      <c r="AY20" s="18">
        <v>0</v>
      </c>
      <c r="AZ20" s="18">
        <v>1</v>
      </c>
      <c r="BA20" s="3">
        <f t="shared" si="1"/>
        <v>8</v>
      </c>
      <c r="BB20" s="3">
        <f t="shared" si="2"/>
        <v>9</v>
      </c>
      <c r="BC20" s="3">
        <f t="shared" si="3"/>
        <v>19</v>
      </c>
      <c r="BD20" s="3">
        <f t="shared" si="4"/>
        <v>5</v>
      </c>
      <c r="BE20" s="3">
        <f t="shared" si="5"/>
        <v>10</v>
      </c>
      <c r="BF20" s="3">
        <f t="shared" si="6"/>
        <v>0</v>
      </c>
      <c r="BG20" s="3">
        <f t="shared" si="7"/>
        <v>51</v>
      </c>
      <c r="BI20" s="18">
        <f t="shared" si="8"/>
        <v>8</v>
      </c>
      <c r="BJ20" s="18">
        <f t="shared" ref="BJ20:BJ23" si="16">BB20-BB46</f>
        <v>9</v>
      </c>
      <c r="BK20" s="18">
        <f t="shared" ref="BK20:BK23" si="17">BC20-BC46</f>
        <v>19</v>
      </c>
      <c r="BL20" s="18">
        <f t="shared" ref="BL20:BL23" si="18">BD20-BD46</f>
        <v>2</v>
      </c>
      <c r="BM20" s="18">
        <f t="shared" ref="BM20:BM23" si="19">BE20-BE46</f>
        <v>8</v>
      </c>
      <c r="BN20" s="18">
        <f t="shared" ref="BN20:BN23" si="20">BF20-BF46</f>
        <v>0</v>
      </c>
      <c r="BO20" s="18">
        <f t="shared" ref="BO20:BO23" si="21">BG20-BG46</f>
        <v>46</v>
      </c>
    </row>
    <row r="21" spans="1:67" x14ac:dyDescent="0.2">
      <c r="A21" s="3"/>
      <c r="B21" s="15" t="s">
        <v>17</v>
      </c>
      <c r="C21" s="3">
        <v>2</v>
      </c>
      <c r="D21" s="3">
        <v>2</v>
      </c>
      <c r="E21" s="27">
        <v>0</v>
      </c>
      <c r="F21" s="18">
        <v>0</v>
      </c>
      <c r="G21" s="18">
        <v>1</v>
      </c>
      <c r="H21" s="18">
        <v>0</v>
      </c>
      <c r="I21" s="18">
        <v>2</v>
      </c>
      <c r="J21" s="27">
        <v>3</v>
      </c>
      <c r="K21" s="18">
        <v>0</v>
      </c>
      <c r="L21" s="18">
        <v>3</v>
      </c>
      <c r="M21" s="18">
        <v>1</v>
      </c>
      <c r="N21" s="18">
        <v>2</v>
      </c>
      <c r="O21" s="18">
        <v>0</v>
      </c>
      <c r="P21" s="18">
        <v>0</v>
      </c>
      <c r="Q21" s="18">
        <v>2</v>
      </c>
      <c r="R21" s="18">
        <v>0</v>
      </c>
      <c r="S21" s="18">
        <v>0</v>
      </c>
      <c r="T21" s="18">
        <v>2</v>
      </c>
      <c r="U21" s="18">
        <v>0</v>
      </c>
      <c r="V21" s="27">
        <v>0</v>
      </c>
      <c r="W21" s="18">
        <v>0</v>
      </c>
      <c r="X21" s="18">
        <v>1</v>
      </c>
      <c r="Y21" s="18">
        <v>2</v>
      </c>
      <c r="Z21" s="18">
        <v>2</v>
      </c>
      <c r="AA21" s="18">
        <v>0</v>
      </c>
      <c r="AB21" s="18">
        <v>0</v>
      </c>
      <c r="AC21" s="18">
        <v>0</v>
      </c>
      <c r="AD21" s="18">
        <v>2</v>
      </c>
      <c r="AE21" s="18">
        <v>3</v>
      </c>
      <c r="AF21" s="18">
        <v>2</v>
      </c>
      <c r="AG21" s="27">
        <v>2</v>
      </c>
      <c r="AH21" s="18">
        <v>2</v>
      </c>
      <c r="AI21" s="18">
        <v>0</v>
      </c>
      <c r="AJ21" s="18">
        <v>2</v>
      </c>
      <c r="AK21" s="18">
        <v>0</v>
      </c>
      <c r="AL21" s="18">
        <v>1</v>
      </c>
      <c r="AM21" s="18">
        <v>1</v>
      </c>
      <c r="AN21" s="18">
        <v>1</v>
      </c>
      <c r="AO21" s="18">
        <v>0</v>
      </c>
      <c r="AP21" s="18">
        <v>0</v>
      </c>
      <c r="AQ21" s="18">
        <v>0</v>
      </c>
      <c r="AR21" s="18">
        <v>0</v>
      </c>
      <c r="AS21" s="18">
        <v>1</v>
      </c>
      <c r="AT21" s="18">
        <v>0</v>
      </c>
      <c r="AU21" s="18">
        <v>0</v>
      </c>
      <c r="AV21" s="18">
        <v>0</v>
      </c>
      <c r="AW21" s="18">
        <v>1</v>
      </c>
      <c r="AX21" s="18">
        <v>2</v>
      </c>
      <c r="AY21" s="18">
        <v>1</v>
      </c>
      <c r="AZ21" s="18">
        <v>0</v>
      </c>
      <c r="BA21" s="3">
        <f t="shared" si="1"/>
        <v>3</v>
      </c>
      <c r="BB21" s="3">
        <f t="shared" si="2"/>
        <v>12</v>
      </c>
      <c r="BC21" s="3">
        <f t="shared" si="3"/>
        <v>15</v>
      </c>
      <c r="BD21" s="3">
        <f t="shared" si="4"/>
        <v>4</v>
      </c>
      <c r="BE21" s="3">
        <f t="shared" si="5"/>
        <v>8</v>
      </c>
      <c r="BF21" s="3">
        <f t="shared" si="6"/>
        <v>0</v>
      </c>
      <c r="BG21" s="3">
        <f t="shared" si="7"/>
        <v>42</v>
      </c>
      <c r="BI21" s="18">
        <f t="shared" si="8"/>
        <v>3</v>
      </c>
      <c r="BJ21" s="18">
        <f t="shared" si="16"/>
        <v>12</v>
      </c>
      <c r="BK21" s="18">
        <f t="shared" si="17"/>
        <v>13</v>
      </c>
      <c r="BL21" s="18">
        <f t="shared" si="18"/>
        <v>-3</v>
      </c>
      <c r="BM21" s="18">
        <f t="shared" si="19"/>
        <v>4</v>
      </c>
      <c r="BN21" s="18">
        <f t="shared" si="20"/>
        <v>0</v>
      </c>
      <c r="BO21" s="18">
        <f t="shared" si="21"/>
        <v>29</v>
      </c>
    </row>
    <row r="22" spans="1:67" x14ac:dyDescent="0.2">
      <c r="A22" s="3"/>
      <c r="B22" s="15" t="s">
        <v>18</v>
      </c>
      <c r="C22" s="3">
        <v>1</v>
      </c>
      <c r="D22" s="3">
        <v>1</v>
      </c>
      <c r="E22" s="27">
        <v>1</v>
      </c>
      <c r="F22" s="18">
        <v>1</v>
      </c>
      <c r="G22" s="18">
        <v>1</v>
      </c>
      <c r="H22" s="18">
        <v>0</v>
      </c>
      <c r="I22" s="18">
        <v>3</v>
      </c>
      <c r="J22" s="27">
        <v>2</v>
      </c>
      <c r="K22" s="18">
        <v>0</v>
      </c>
      <c r="L22" s="18">
        <v>1</v>
      </c>
      <c r="M22" s="18">
        <v>0</v>
      </c>
      <c r="N22" s="18">
        <v>2</v>
      </c>
      <c r="O22" s="18">
        <v>0</v>
      </c>
      <c r="P22" s="18">
        <v>0</v>
      </c>
      <c r="Q22" s="18">
        <v>3</v>
      </c>
      <c r="R22" s="18">
        <v>0</v>
      </c>
      <c r="S22" s="18">
        <v>0</v>
      </c>
      <c r="T22" s="18">
        <v>2</v>
      </c>
      <c r="U22" s="18">
        <v>0</v>
      </c>
      <c r="V22" s="27">
        <v>2</v>
      </c>
      <c r="W22" s="18">
        <v>0</v>
      </c>
      <c r="X22" s="18">
        <v>0</v>
      </c>
      <c r="Y22" s="18">
        <v>1</v>
      </c>
      <c r="Z22" s="18">
        <v>3</v>
      </c>
      <c r="AA22" s="18">
        <v>1</v>
      </c>
      <c r="AB22" s="18">
        <v>1</v>
      </c>
      <c r="AC22" s="18">
        <v>0</v>
      </c>
      <c r="AD22" s="18">
        <v>3</v>
      </c>
      <c r="AE22" s="18">
        <v>3</v>
      </c>
      <c r="AF22" s="18">
        <v>2</v>
      </c>
      <c r="AG22" s="27">
        <v>2</v>
      </c>
      <c r="AH22" s="18">
        <v>1</v>
      </c>
      <c r="AI22" s="18">
        <v>0</v>
      </c>
      <c r="AJ22" s="18">
        <v>0</v>
      </c>
      <c r="AK22" s="18">
        <v>0</v>
      </c>
      <c r="AL22" s="18">
        <v>2</v>
      </c>
      <c r="AM22" s="18">
        <v>0</v>
      </c>
      <c r="AN22" s="18">
        <v>3</v>
      </c>
      <c r="AO22" s="18">
        <v>2</v>
      </c>
      <c r="AP22" s="18">
        <v>0</v>
      </c>
      <c r="AQ22" s="18">
        <v>0</v>
      </c>
      <c r="AR22" s="18">
        <v>0</v>
      </c>
      <c r="AS22" s="18">
        <v>1</v>
      </c>
      <c r="AT22" s="18">
        <v>0</v>
      </c>
      <c r="AU22" s="18">
        <v>0</v>
      </c>
      <c r="AV22" s="18">
        <v>0</v>
      </c>
      <c r="AW22" s="18">
        <v>3</v>
      </c>
      <c r="AX22" s="18">
        <v>2</v>
      </c>
      <c r="AY22" s="18">
        <v>1</v>
      </c>
      <c r="AZ22" s="18">
        <v>0</v>
      </c>
      <c r="BA22" s="3">
        <f t="shared" si="1"/>
        <v>3</v>
      </c>
      <c r="BB22" s="3">
        <f t="shared" si="2"/>
        <v>15</v>
      </c>
      <c r="BC22" s="3">
        <f t="shared" si="3"/>
        <v>17</v>
      </c>
      <c r="BD22" s="3">
        <f t="shared" si="4"/>
        <v>6</v>
      </c>
      <c r="BE22" s="3">
        <f t="shared" si="5"/>
        <v>7</v>
      </c>
      <c r="BF22" s="3">
        <f t="shared" si="6"/>
        <v>1</v>
      </c>
      <c r="BG22" s="3">
        <f t="shared" si="7"/>
        <v>49</v>
      </c>
      <c r="BI22" s="18">
        <f t="shared" si="8"/>
        <v>3</v>
      </c>
      <c r="BJ22" s="18">
        <f t="shared" si="16"/>
        <v>15</v>
      </c>
      <c r="BK22" s="18">
        <f t="shared" si="17"/>
        <v>17</v>
      </c>
      <c r="BL22" s="18">
        <f t="shared" si="18"/>
        <v>0</v>
      </c>
      <c r="BM22" s="18">
        <f t="shared" si="19"/>
        <v>4</v>
      </c>
      <c r="BN22" s="18">
        <f t="shared" si="20"/>
        <v>1</v>
      </c>
      <c r="BO22" s="18">
        <f t="shared" si="21"/>
        <v>40</v>
      </c>
    </row>
    <row r="23" spans="1:67" ht="16" thickBot="1" x14ac:dyDescent="0.25">
      <c r="A23" s="3"/>
      <c r="B23" s="15" t="s">
        <v>19</v>
      </c>
      <c r="C23" s="3">
        <v>2</v>
      </c>
      <c r="D23" s="3">
        <v>2</v>
      </c>
      <c r="E23" s="27">
        <v>0</v>
      </c>
      <c r="F23" s="18">
        <v>2</v>
      </c>
      <c r="G23" s="18">
        <v>3</v>
      </c>
      <c r="H23" s="18">
        <v>2</v>
      </c>
      <c r="I23" s="18">
        <v>1</v>
      </c>
      <c r="J23" s="27">
        <v>2</v>
      </c>
      <c r="K23" s="18">
        <v>1</v>
      </c>
      <c r="L23" s="18">
        <v>2</v>
      </c>
      <c r="M23" s="18">
        <v>0</v>
      </c>
      <c r="N23" s="18">
        <v>2</v>
      </c>
      <c r="O23" s="18">
        <v>0</v>
      </c>
      <c r="P23" s="18">
        <v>0</v>
      </c>
      <c r="Q23" s="18">
        <v>1</v>
      </c>
      <c r="R23" s="18">
        <v>1</v>
      </c>
      <c r="S23" s="18">
        <v>0</v>
      </c>
      <c r="T23" s="18">
        <v>1</v>
      </c>
      <c r="U23" s="18">
        <v>0</v>
      </c>
      <c r="V23" s="27">
        <v>0</v>
      </c>
      <c r="W23" s="18">
        <v>0</v>
      </c>
      <c r="X23" s="18">
        <v>2</v>
      </c>
      <c r="Y23" s="18">
        <v>0</v>
      </c>
      <c r="Z23" s="18">
        <v>3</v>
      </c>
      <c r="AA23" s="18">
        <v>0</v>
      </c>
      <c r="AB23" s="18">
        <v>0</v>
      </c>
      <c r="AC23" s="18">
        <v>0</v>
      </c>
      <c r="AD23" s="18">
        <v>3</v>
      </c>
      <c r="AE23" s="18">
        <v>2</v>
      </c>
      <c r="AF23" s="18">
        <v>0</v>
      </c>
      <c r="AG23" s="27">
        <v>2</v>
      </c>
      <c r="AH23" s="18">
        <v>1</v>
      </c>
      <c r="AI23" s="18">
        <v>0</v>
      </c>
      <c r="AJ23" s="18">
        <v>1</v>
      </c>
      <c r="AK23" s="18">
        <v>0</v>
      </c>
      <c r="AL23" s="18">
        <v>2</v>
      </c>
      <c r="AM23" s="18">
        <v>2</v>
      </c>
      <c r="AN23" s="18">
        <v>0</v>
      </c>
      <c r="AO23" s="18">
        <v>1</v>
      </c>
      <c r="AP23" s="18">
        <v>1</v>
      </c>
      <c r="AQ23" s="18">
        <v>0</v>
      </c>
      <c r="AR23" s="18">
        <v>0</v>
      </c>
      <c r="AS23" s="18">
        <v>3</v>
      </c>
      <c r="AT23" s="18">
        <v>0</v>
      </c>
      <c r="AU23" s="18">
        <v>0</v>
      </c>
      <c r="AV23" s="18">
        <v>0</v>
      </c>
      <c r="AW23" s="18">
        <v>2</v>
      </c>
      <c r="AX23" s="18">
        <v>3</v>
      </c>
      <c r="AY23" s="18">
        <v>2</v>
      </c>
      <c r="AZ23" s="18">
        <v>1</v>
      </c>
      <c r="BA23" s="3">
        <f t="shared" si="1"/>
        <v>7</v>
      </c>
      <c r="BB23" s="3">
        <f t="shared" si="2"/>
        <v>11</v>
      </c>
      <c r="BC23" s="3">
        <f t="shared" si="3"/>
        <v>16</v>
      </c>
      <c r="BD23" s="3">
        <f t="shared" si="4"/>
        <v>2</v>
      </c>
      <c r="BE23" s="3">
        <f t="shared" si="5"/>
        <v>10</v>
      </c>
      <c r="BF23" s="3">
        <f t="shared" si="6"/>
        <v>3</v>
      </c>
      <c r="BG23" s="3">
        <f t="shared" si="7"/>
        <v>49</v>
      </c>
      <c r="BI23" s="18">
        <f t="shared" si="8"/>
        <v>6</v>
      </c>
      <c r="BJ23" s="18">
        <f t="shared" si="16"/>
        <v>11</v>
      </c>
      <c r="BK23" s="18">
        <f t="shared" si="17"/>
        <v>14</v>
      </c>
      <c r="BL23" s="18">
        <f t="shared" si="18"/>
        <v>-3</v>
      </c>
      <c r="BM23" s="18">
        <f t="shared" si="19"/>
        <v>6</v>
      </c>
      <c r="BN23" s="18">
        <f t="shared" si="20"/>
        <v>2</v>
      </c>
      <c r="BO23" s="18">
        <f t="shared" si="21"/>
        <v>36</v>
      </c>
    </row>
    <row r="24" spans="1:67" s="6" customFormat="1" ht="16" thickBot="1" x14ac:dyDescent="0.25">
      <c r="A24" s="4"/>
      <c r="B24" s="10" t="s">
        <v>52</v>
      </c>
      <c r="C24" s="4"/>
      <c r="D24" s="4"/>
      <c r="E24" s="34">
        <f>AVERAGE(E4:E23)</f>
        <v>0.9</v>
      </c>
      <c r="F24" s="34">
        <f t="shared" ref="F24:BE24" si="22">AVERAGE(F4:F23)</f>
        <v>1.25</v>
      </c>
      <c r="G24" s="34">
        <f t="shared" si="22"/>
        <v>1.75</v>
      </c>
      <c r="H24" s="34">
        <f t="shared" si="22"/>
        <v>0.85</v>
      </c>
      <c r="I24" s="34">
        <f t="shared" si="22"/>
        <v>1.9</v>
      </c>
      <c r="J24" s="34">
        <f t="shared" si="22"/>
        <v>1.7</v>
      </c>
      <c r="K24" s="34">
        <f t="shared" si="22"/>
        <v>0.95</v>
      </c>
      <c r="L24" s="34">
        <f t="shared" si="22"/>
        <v>1.5</v>
      </c>
      <c r="M24" s="34">
        <f t="shared" si="22"/>
        <v>0.45</v>
      </c>
      <c r="N24" s="34">
        <f t="shared" si="22"/>
        <v>2.0499999999999998</v>
      </c>
      <c r="O24" s="34">
        <f t="shared" si="22"/>
        <v>0.3</v>
      </c>
      <c r="P24" s="34">
        <f t="shared" si="22"/>
        <v>0.4</v>
      </c>
      <c r="Q24" s="34">
        <f t="shared" si="22"/>
        <v>1.35</v>
      </c>
      <c r="R24" s="34">
        <f t="shared" si="22"/>
        <v>0.55000000000000004</v>
      </c>
      <c r="S24" s="34">
        <f t="shared" si="22"/>
        <v>0.2</v>
      </c>
      <c r="T24" s="34">
        <f t="shared" si="22"/>
        <v>1.55</v>
      </c>
      <c r="U24" s="34">
        <f t="shared" si="22"/>
        <v>0.25</v>
      </c>
      <c r="V24" s="34">
        <f t="shared" si="22"/>
        <v>1.1000000000000001</v>
      </c>
      <c r="W24" s="34">
        <f t="shared" si="22"/>
        <v>0.1</v>
      </c>
      <c r="X24" s="34">
        <f t="shared" si="22"/>
        <v>0.4</v>
      </c>
      <c r="Y24" s="34">
        <f t="shared" si="22"/>
        <v>0.2</v>
      </c>
      <c r="Z24" s="34">
        <f t="shared" si="22"/>
        <v>2.0499999999999998</v>
      </c>
      <c r="AA24" s="34">
        <f t="shared" si="22"/>
        <v>0.6</v>
      </c>
      <c r="AB24" s="34">
        <f t="shared" si="22"/>
        <v>0.35</v>
      </c>
      <c r="AC24" s="34">
        <f t="shared" si="22"/>
        <v>0.25</v>
      </c>
      <c r="AD24" s="34">
        <f t="shared" si="22"/>
        <v>1.95</v>
      </c>
      <c r="AE24" s="34">
        <f t="shared" si="22"/>
        <v>1.5</v>
      </c>
      <c r="AF24" s="34">
        <f t="shared" si="22"/>
        <v>1.6</v>
      </c>
      <c r="AG24" s="34">
        <f t="shared" si="22"/>
        <v>1.95</v>
      </c>
      <c r="AH24" s="34">
        <f t="shared" si="22"/>
        <v>1.25</v>
      </c>
      <c r="AI24" s="34">
        <f t="shared" si="22"/>
        <v>0.45</v>
      </c>
      <c r="AJ24" s="34">
        <f t="shared" si="22"/>
        <v>0.8</v>
      </c>
      <c r="AK24" s="34">
        <f t="shared" si="22"/>
        <v>0.1</v>
      </c>
      <c r="AL24" s="34">
        <f t="shared" si="22"/>
        <v>1.55</v>
      </c>
      <c r="AM24" s="34">
        <f t="shared" si="22"/>
        <v>1.1000000000000001</v>
      </c>
      <c r="AN24" s="34">
        <f t="shared" si="22"/>
        <v>0.6</v>
      </c>
      <c r="AO24" s="34">
        <f t="shared" si="22"/>
        <v>0.85</v>
      </c>
      <c r="AP24" s="34">
        <f t="shared" si="22"/>
        <v>0.5</v>
      </c>
      <c r="AQ24" s="34">
        <f t="shared" si="22"/>
        <v>0.3</v>
      </c>
      <c r="AR24" s="34">
        <f t="shared" si="22"/>
        <v>0.3</v>
      </c>
      <c r="AS24" s="34">
        <f t="shared" si="22"/>
        <v>1.45</v>
      </c>
      <c r="AT24" s="34">
        <f t="shared" si="22"/>
        <v>0.2</v>
      </c>
      <c r="AU24" s="34">
        <f t="shared" si="22"/>
        <v>0.3</v>
      </c>
      <c r="AV24" s="34">
        <f t="shared" si="22"/>
        <v>0.1</v>
      </c>
      <c r="AW24" s="34">
        <f t="shared" si="22"/>
        <v>2.1</v>
      </c>
      <c r="AX24" s="34">
        <f t="shared" si="22"/>
        <v>2.0499999999999998</v>
      </c>
      <c r="AY24" s="34">
        <f t="shared" si="22"/>
        <v>1.3</v>
      </c>
      <c r="AZ24" s="34">
        <f t="shared" si="22"/>
        <v>0.5</v>
      </c>
      <c r="BA24" s="312">
        <f t="shared" si="22"/>
        <v>5.4</v>
      </c>
      <c r="BB24" s="312">
        <f t="shared" si="22"/>
        <v>9.75</v>
      </c>
      <c r="BC24" s="312">
        <f t="shared" si="22"/>
        <v>14.75</v>
      </c>
      <c r="BD24" s="312">
        <f t="shared" si="22"/>
        <v>5</v>
      </c>
      <c r="BE24" s="312">
        <f t="shared" si="22"/>
        <v>7.4</v>
      </c>
      <c r="BF24" s="312">
        <f>AVERAGE(BF4:BF23)</f>
        <v>3.45</v>
      </c>
      <c r="BG24" s="312">
        <f>AVERAGE(BG4:BG23)</f>
        <v>45.75</v>
      </c>
      <c r="BH24" s="4"/>
      <c r="BI24" s="4">
        <f t="shared" ref="BI24:BO24" si="23">AVERAGE(BI4:BI23)</f>
        <v>4.5999999999999996</v>
      </c>
      <c r="BJ24" s="4">
        <f t="shared" si="23"/>
        <v>9.35</v>
      </c>
      <c r="BK24" s="4">
        <f t="shared" si="23"/>
        <v>13.75</v>
      </c>
      <c r="BL24" s="4">
        <f t="shared" si="23"/>
        <v>-0.85</v>
      </c>
      <c r="BM24" s="4">
        <f t="shared" si="23"/>
        <v>4.2</v>
      </c>
      <c r="BN24" s="4">
        <f t="shared" si="23"/>
        <v>3.15</v>
      </c>
      <c r="BO24" s="4">
        <f t="shared" si="23"/>
        <v>34.200000000000003</v>
      </c>
    </row>
    <row r="25" spans="1:67" s="6" customFormat="1" ht="16" thickBot="1" x14ac:dyDescent="0.25">
      <c r="A25" s="4"/>
      <c r="B25" s="10" t="s">
        <v>53</v>
      </c>
      <c r="C25" s="4"/>
      <c r="D25" s="4"/>
      <c r="E25" s="34">
        <f>STDEV(E4:E23)</f>
        <v>0.91190950612899146</v>
      </c>
      <c r="F25" s="34">
        <f t="shared" ref="F25:AZ25" si="24">STDEV(F4:F23)</f>
        <v>1.0699237552766379</v>
      </c>
      <c r="G25" s="34">
        <f t="shared" si="24"/>
        <v>1.1180339887498949</v>
      </c>
      <c r="H25" s="34">
        <f t="shared" si="24"/>
        <v>0.87509397991542059</v>
      </c>
      <c r="I25" s="34">
        <f t="shared" si="24"/>
        <v>1.0711528467275953</v>
      </c>
      <c r="J25" s="34">
        <f t="shared" si="24"/>
        <v>0.80131470918603187</v>
      </c>
      <c r="K25" s="34">
        <f t="shared" si="24"/>
        <v>1.145931016569864</v>
      </c>
      <c r="L25" s="34">
        <f t="shared" si="24"/>
        <v>1.1470786693528088</v>
      </c>
      <c r="M25" s="34">
        <f t="shared" si="24"/>
        <v>0.8255779474818965</v>
      </c>
      <c r="N25" s="34">
        <f t="shared" si="24"/>
        <v>0.88704120832301703</v>
      </c>
      <c r="O25" s="34">
        <f t="shared" si="24"/>
        <v>0.80131470918603176</v>
      </c>
      <c r="P25" s="34">
        <f t="shared" si="24"/>
        <v>0.94032469196325452</v>
      </c>
      <c r="Q25" s="34">
        <f t="shared" si="24"/>
        <v>1.2258187382102494</v>
      </c>
      <c r="R25" s="34">
        <f t="shared" si="24"/>
        <v>0.88704120832301692</v>
      </c>
      <c r="S25" s="34">
        <f t="shared" si="24"/>
        <v>0.52314836378059693</v>
      </c>
      <c r="T25" s="34">
        <f t="shared" si="24"/>
        <v>0.998683343734455</v>
      </c>
      <c r="U25" s="34">
        <f t="shared" si="24"/>
        <v>0.63866637365850509</v>
      </c>
      <c r="V25" s="34">
        <f t="shared" si="24"/>
        <v>0.85224162622679034</v>
      </c>
      <c r="W25" s="34">
        <f t="shared" si="24"/>
        <v>0.30779350562554625</v>
      </c>
      <c r="X25" s="34">
        <f t="shared" si="24"/>
        <v>0.88257995015808777</v>
      </c>
      <c r="Y25" s="34">
        <f t="shared" si="24"/>
        <v>0.52314836378059693</v>
      </c>
      <c r="Z25" s="34">
        <f t="shared" si="24"/>
        <v>1.2763022245616642</v>
      </c>
      <c r="AA25" s="34">
        <f t="shared" si="24"/>
        <v>1.0462967275611939</v>
      </c>
      <c r="AB25" s="34">
        <f t="shared" si="24"/>
        <v>0.5871429486123998</v>
      </c>
      <c r="AC25" s="34">
        <f t="shared" si="24"/>
        <v>0.5501196042201808</v>
      </c>
      <c r="AD25" s="34">
        <f t="shared" si="24"/>
        <v>1.0990426455975697</v>
      </c>
      <c r="AE25" s="34">
        <f t="shared" si="24"/>
        <v>1.3954814298487213</v>
      </c>
      <c r="AF25" s="34">
        <f t="shared" si="24"/>
        <v>1.0462967275611939</v>
      </c>
      <c r="AG25" s="34">
        <f t="shared" si="24"/>
        <v>1.1459310165698642</v>
      </c>
      <c r="AH25" s="34">
        <f t="shared" si="24"/>
        <v>1.1180339887498949</v>
      </c>
      <c r="AI25" s="34">
        <f t="shared" si="24"/>
        <v>0.8255779474818965</v>
      </c>
      <c r="AJ25" s="34">
        <f t="shared" si="24"/>
        <v>0.95145318218750874</v>
      </c>
      <c r="AK25" s="34">
        <f t="shared" si="24"/>
        <v>0.44721359549995793</v>
      </c>
      <c r="AL25" s="34">
        <f t="shared" si="24"/>
        <v>1.0990426455975697</v>
      </c>
      <c r="AM25" s="34">
        <f t="shared" si="24"/>
        <v>1.0711528467275955</v>
      </c>
      <c r="AN25" s="34">
        <f t="shared" si="24"/>
        <v>0.94032469196325452</v>
      </c>
      <c r="AO25" s="34">
        <f t="shared" si="24"/>
        <v>1.1821033884786185</v>
      </c>
      <c r="AP25" s="34">
        <f t="shared" si="24"/>
        <v>0.82717019186851115</v>
      </c>
      <c r="AQ25" s="34">
        <f t="shared" si="24"/>
        <v>0.80131470918603176</v>
      </c>
      <c r="AR25" s="34">
        <f t="shared" si="24"/>
        <v>0.80131470918603176</v>
      </c>
      <c r="AS25" s="34">
        <f t="shared" si="24"/>
        <v>1.3168942730211068</v>
      </c>
      <c r="AT25" s="34">
        <f t="shared" si="24"/>
        <v>0.69585237393845933</v>
      </c>
      <c r="AU25" s="34">
        <f t="shared" si="24"/>
        <v>0.57124057057747946</v>
      </c>
      <c r="AV25" s="34">
        <f t="shared" si="24"/>
        <v>0.30779350562554625</v>
      </c>
      <c r="AW25" s="34">
        <f t="shared" si="24"/>
        <v>1.1652874052533586</v>
      </c>
      <c r="AX25" s="34">
        <f t="shared" si="24"/>
        <v>0.9445132413883327</v>
      </c>
      <c r="AY25" s="34">
        <f t="shared" si="24"/>
        <v>1.1285761872936695</v>
      </c>
      <c r="AZ25" s="34">
        <f t="shared" si="24"/>
        <v>0.94590530292691732</v>
      </c>
      <c r="BA25" s="312">
        <f>STDEV(BA4:BA23)</f>
        <v>3.8168601038853356</v>
      </c>
      <c r="BB25" s="312">
        <f t="shared" ref="BB25:BG25" si="25">STDEV(BB4:BB23)</f>
        <v>4.6552177856228107</v>
      </c>
      <c r="BC25" s="312">
        <f t="shared" si="25"/>
        <v>8.1555599375356707</v>
      </c>
      <c r="BD25" s="312">
        <f t="shared" si="25"/>
        <v>2</v>
      </c>
      <c r="BE25" s="312">
        <f t="shared" si="25"/>
        <v>2.9091507170885524</v>
      </c>
      <c r="BF25" s="312">
        <f t="shared" si="25"/>
        <v>5.2563245113311883</v>
      </c>
      <c r="BG25" s="312">
        <f t="shared" si="25"/>
        <v>20.970844422423092</v>
      </c>
      <c r="BH25" s="38"/>
      <c r="BI25" s="38">
        <f t="shared" ref="BI25:BO25" si="26">STDEV(BI4:BI23)</f>
        <v>3.9920974568844332</v>
      </c>
      <c r="BJ25" s="38">
        <f t="shared" si="26"/>
        <v>4.7158746467872241</v>
      </c>
      <c r="BK25" s="38">
        <f t="shared" si="26"/>
        <v>7.7992914657948935</v>
      </c>
      <c r="BL25" s="38">
        <f t="shared" si="26"/>
        <v>1.7851728502481652</v>
      </c>
      <c r="BM25" s="38">
        <f t="shared" si="26"/>
        <v>2.9486839169543524</v>
      </c>
      <c r="BN25" s="38">
        <f t="shared" si="26"/>
        <v>4.8370826353343013</v>
      </c>
      <c r="BO25" s="38">
        <f t="shared" si="26"/>
        <v>18.942016788082519</v>
      </c>
    </row>
    <row r="26" spans="1:67" s="6" customFormat="1" ht="16" thickBot="1" x14ac:dyDescent="0.25">
      <c r="A26" s="4"/>
      <c r="B26" s="10" t="s">
        <v>54</v>
      </c>
      <c r="C26" s="4"/>
      <c r="D26" s="4"/>
      <c r="E26" s="34">
        <f>E25/SQRT(20)</f>
        <v>0.2039091645032686</v>
      </c>
      <c r="F26" s="34">
        <f t="shared" ref="F26:BG26" si="27">F25/SQRT(20)</f>
        <v>0.23924222475404114</v>
      </c>
      <c r="G26" s="34">
        <f t="shared" si="27"/>
        <v>0.25</v>
      </c>
      <c r="H26" s="34">
        <f t="shared" si="27"/>
        <v>0.19567696257917161</v>
      </c>
      <c r="I26" s="34">
        <f t="shared" si="27"/>
        <v>0.23951705795753161</v>
      </c>
      <c r="J26" s="34">
        <f t="shared" si="27"/>
        <v>0.17917941611104424</v>
      </c>
      <c r="K26" s="34">
        <f t="shared" si="27"/>
        <v>0.25623796505756535</v>
      </c>
      <c r="L26" s="34">
        <f t="shared" si="27"/>
        <v>0.25649458802128849</v>
      </c>
      <c r="M26" s="34">
        <f t="shared" si="27"/>
        <v>0.18460484112942718</v>
      </c>
      <c r="N26" s="34">
        <f t="shared" si="27"/>
        <v>0.19834844406538182</v>
      </c>
      <c r="O26" s="34">
        <f t="shared" si="27"/>
        <v>0.17917941611104421</v>
      </c>
      <c r="P26" s="34">
        <f t="shared" si="27"/>
        <v>0.21026299321513872</v>
      </c>
      <c r="Q26" s="34">
        <f t="shared" si="27"/>
        <v>0.27410140267311367</v>
      </c>
      <c r="R26" s="34">
        <f t="shared" si="27"/>
        <v>0.1983484440653818</v>
      </c>
      <c r="S26" s="34">
        <f t="shared" si="27"/>
        <v>0.11697953037312035</v>
      </c>
      <c r="T26" s="34">
        <f t="shared" si="27"/>
        <v>0.22331238445870299</v>
      </c>
      <c r="U26" s="34">
        <f t="shared" si="27"/>
        <v>0.14281014264436984</v>
      </c>
      <c r="V26" s="34">
        <f t="shared" si="27"/>
        <v>0.19056702094980707</v>
      </c>
      <c r="W26" s="34">
        <f t="shared" si="27"/>
        <v>6.8824720161168529E-2</v>
      </c>
      <c r="X26" s="34">
        <f t="shared" si="27"/>
        <v>0.19735087641318605</v>
      </c>
      <c r="Y26" s="34">
        <f t="shared" si="27"/>
        <v>0.11697953037312035</v>
      </c>
      <c r="Z26" s="34">
        <f t="shared" si="27"/>
        <v>0.28538985339540829</v>
      </c>
      <c r="AA26" s="34">
        <f t="shared" si="27"/>
        <v>0.2339590607462407</v>
      </c>
      <c r="AB26" s="34">
        <f t="shared" si="27"/>
        <v>0.13128915456069917</v>
      </c>
      <c r="AC26" s="34">
        <f t="shared" si="27"/>
        <v>0.12301048307916045</v>
      </c>
      <c r="AD26" s="34">
        <f t="shared" si="27"/>
        <v>0.24575340657273756</v>
      </c>
      <c r="AE26" s="34">
        <f t="shared" si="27"/>
        <v>0.31203913384803444</v>
      </c>
      <c r="AF26" s="34">
        <f t="shared" si="27"/>
        <v>0.2339590607462407</v>
      </c>
      <c r="AG26" s="34">
        <f t="shared" si="27"/>
        <v>0.25623796505756541</v>
      </c>
      <c r="AH26" s="34">
        <f t="shared" si="27"/>
        <v>0.25</v>
      </c>
      <c r="AI26" s="34">
        <f t="shared" si="27"/>
        <v>0.18460484112942718</v>
      </c>
      <c r="AJ26" s="34">
        <f t="shared" si="27"/>
        <v>0.21275139927797615</v>
      </c>
      <c r="AK26" s="34">
        <f t="shared" si="27"/>
        <v>9.9999999999999992E-2</v>
      </c>
      <c r="AL26" s="34">
        <f t="shared" si="27"/>
        <v>0.24575340657273756</v>
      </c>
      <c r="AM26" s="34">
        <f t="shared" si="27"/>
        <v>0.23951705795753164</v>
      </c>
      <c r="AN26" s="34">
        <f t="shared" si="27"/>
        <v>0.21026299321513872</v>
      </c>
      <c r="AO26" s="34">
        <f t="shared" si="27"/>
        <v>0.26432635330710325</v>
      </c>
      <c r="AP26" s="34">
        <f t="shared" si="27"/>
        <v>0.18496087779795345</v>
      </c>
      <c r="AQ26" s="34">
        <f t="shared" si="27"/>
        <v>0.17917941611104421</v>
      </c>
      <c r="AR26" s="34">
        <f t="shared" si="27"/>
        <v>0.17917941611104421</v>
      </c>
      <c r="AS26" s="34">
        <f t="shared" si="27"/>
        <v>0.2944665113655362</v>
      </c>
      <c r="AT26" s="34">
        <f t="shared" si="27"/>
        <v>0.15559732104309981</v>
      </c>
      <c r="AU26" s="34">
        <f t="shared" si="27"/>
        <v>0.12773327473170104</v>
      </c>
      <c r="AV26" s="34">
        <f t="shared" si="27"/>
        <v>6.8824720161168529E-2</v>
      </c>
      <c r="AW26" s="34">
        <f t="shared" si="27"/>
        <v>0.26056618514708552</v>
      </c>
      <c r="AX26" s="34">
        <f t="shared" si="27"/>
        <v>0.21119958133929798</v>
      </c>
      <c r="AY26" s="34">
        <f t="shared" si="27"/>
        <v>0.2523573072576179</v>
      </c>
      <c r="AZ26" s="34">
        <f t="shared" si="27"/>
        <v>0.21151085576221179</v>
      </c>
      <c r="BA26" s="237">
        <f t="shared" si="27"/>
        <v>0.85347586528945196</v>
      </c>
      <c r="BB26" s="237">
        <f t="shared" si="27"/>
        <v>1.0409383418718647</v>
      </c>
      <c r="BC26" s="237">
        <f t="shared" si="27"/>
        <v>1.8236386414903698</v>
      </c>
      <c r="BD26" s="237">
        <f t="shared" si="27"/>
        <v>0.44721359549995793</v>
      </c>
      <c r="BE26" s="237">
        <f t="shared" si="27"/>
        <v>0.65050587602022625</v>
      </c>
      <c r="BF26" s="237">
        <f t="shared" si="27"/>
        <v>1.1753498919134899</v>
      </c>
      <c r="BG26" s="237">
        <f t="shared" si="27"/>
        <v>4.6892233674110342</v>
      </c>
      <c r="BH26" s="34"/>
      <c r="BI26" s="34">
        <f t="shared" ref="BI26:BO26" si="28">BI25/SQRT(20)</f>
        <v>0.89266012863976285</v>
      </c>
      <c r="BJ26" s="34">
        <f t="shared" si="28"/>
        <v>1.0545016283584043</v>
      </c>
      <c r="BK26" s="34">
        <f t="shared" si="28"/>
        <v>1.7439745893851357</v>
      </c>
      <c r="BL26" s="34">
        <f t="shared" si="28"/>
        <v>0.39917678447419497</v>
      </c>
      <c r="BM26" s="34">
        <f t="shared" si="28"/>
        <v>0.65934576824702762</v>
      </c>
      <c r="BN26" s="34">
        <f t="shared" si="28"/>
        <v>1.0816045585391323</v>
      </c>
      <c r="BO26" s="34">
        <f t="shared" si="28"/>
        <v>4.235563716909474</v>
      </c>
    </row>
    <row r="27" spans="1:67" ht="16" thickBot="1" x14ac:dyDescent="0.25">
      <c r="A27" s="5"/>
      <c r="B27" s="16"/>
      <c r="C27" s="5"/>
      <c r="D27" s="5"/>
      <c r="F27" s="11"/>
      <c r="G27" s="11"/>
      <c r="H27" s="11"/>
      <c r="I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3"/>
      <c r="BB27" s="3"/>
      <c r="BC27" s="3"/>
      <c r="BD27" s="3"/>
      <c r="BE27" s="3"/>
      <c r="BF27" s="3"/>
    </row>
    <row r="28" spans="1:67" s="6" customFormat="1" ht="16" thickBot="1" x14ac:dyDescent="0.25">
      <c r="A28" s="4"/>
      <c r="B28" s="10" t="s">
        <v>232</v>
      </c>
      <c r="C28" s="4"/>
      <c r="D28" s="4"/>
      <c r="E28" s="34"/>
      <c r="J28" s="34"/>
      <c r="V28" s="34"/>
      <c r="AG28" s="34"/>
      <c r="BA28" s="4"/>
      <c r="BB28" s="4"/>
      <c r="BC28" s="4"/>
      <c r="BD28" s="4"/>
      <c r="BE28" s="4"/>
      <c r="BF28" s="4"/>
    </row>
    <row r="29" spans="1:67" s="36" customFormat="1" ht="16" thickBot="1" x14ac:dyDescent="0.25">
      <c r="A29" s="10"/>
      <c r="B29" s="10" t="s">
        <v>20</v>
      </c>
      <c r="C29" s="10" t="s">
        <v>21</v>
      </c>
      <c r="D29" s="10" t="s">
        <v>51</v>
      </c>
      <c r="E29" s="35" t="s">
        <v>153</v>
      </c>
      <c r="F29" s="36" t="s">
        <v>154</v>
      </c>
      <c r="G29" s="36" t="s">
        <v>155</v>
      </c>
      <c r="H29" s="36" t="s">
        <v>156</v>
      </c>
      <c r="I29" s="36" t="s">
        <v>157</v>
      </c>
      <c r="J29" s="35" t="s">
        <v>158</v>
      </c>
      <c r="K29" s="36" t="s">
        <v>159</v>
      </c>
      <c r="L29" s="36" t="s">
        <v>160</v>
      </c>
      <c r="M29" s="36" t="s">
        <v>161</v>
      </c>
      <c r="N29" s="36" t="s">
        <v>162</v>
      </c>
      <c r="O29" s="36" t="s">
        <v>163</v>
      </c>
      <c r="P29" s="36" t="s">
        <v>164</v>
      </c>
      <c r="Q29" s="36" t="s">
        <v>165</v>
      </c>
      <c r="R29" s="36" t="s">
        <v>166</v>
      </c>
      <c r="S29" s="36" t="s">
        <v>167</v>
      </c>
      <c r="T29" s="36" t="s">
        <v>168</v>
      </c>
      <c r="U29" s="36" t="s">
        <v>169</v>
      </c>
      <c r="V29" s="35" t="s">
        <v>170</v>
      </c>
      <c r="W29" s="36" t="s">
        <v>171</v>
      </c>
      <c r="X29" s="36" t="s">
        <v>172</v>
      </c>
      <c r="Y29" s="36" t="s">
        <v>173</v>
      </c>
      <c r="Z29" s="36" t="s">
        <v>174</v>
      </c>
      <c r="AA29" s="36" t="s">
        <v>175</v>
      </c>
      <c r="AB29" s="36" t="s">
        <v>176</v>
      </c>
      <c r="AC29" s="36" t="s">
        <v>177</v>
      </c>
      <c r="AD29" s="36" t="s">
        <v>178</v>
      </c>
      <c r="AE29" s="36" t="s">
        <v>179</v>
      </c>
      <c r="AF29" s="36" t="s">
        <v>180</v>
      </c>
      <c r="AG29" s="35" t="s">
        <v>181</v>
      </c>
      <c r="AH29" s="36" t="s">
        <v>182</v>
      </c>
      <c r="AI29" s="36" t="s">
        <v>183</v>
      </c>
      <c r="AJ29" s="36" t="s">
        <v>184</v>
      </c>
      <c r="AK29" s="36" t="s">
        <v>185</v>
      </c>
      <c r="AL29" s="36" t="s">
        <v>186</v>
      </c>
      <c r="AM29" s="36" t="s">
        <v>187</v>
      </c>
      <c r="AN29" s="36" t="s">
        <v>188</v>
      </c>
      <c r="AO29" s="36" t="s">
        <v>189</v>
      </c>
      <c r="AP29" s="36" t="s">
        <v>190</v>
      </c>
      <c r="AQ29" s="36" t="s">
        <v>191</v>
      </c>
      <c r="AR29" s="36" t="s">
        <v>192</v>
      </c>
      <c r="AS29" s="36" t="s">
        <v>193</v>
      </c>
      <c r="AT29" s="36" t="s">
        <v>194</v>
      </c>
      <c r="AU29" s="36" t="s">
        <v>195</v>
      </c>
      <c r="AV29" s="36" t="s">
        <v>196</v>
      </c>
      <c r="AW29" s="36" t="s">
        <v>197</v>
      </c>
      <c r="AX29" s="36" t="s">
        <v>198</v>
      </c>
      <c r="AY29" s="36" t="s">
        <v>199</v>
      </c>
      <c r="AZ29" s="36" t="s">
        <v>200</v>
      </c>
      <c r="BA29" s="10" t="s">
        <v>205</v>
      </c>
      <c r="BB29" s="10" t="s">
        <v>207</v>
      </c>
      <c r="BC29" s="10" t="s">
        <v>208</v>
      </c>
      <c r="BD29" s="10" t="s">
        <v>210</v>
      </c>
      <c r="BE29" s="10" t="s">
        <v>212</v>
      </c>
      <c r="BF29" s="10" t="s">
        <v>214</v>
      </c>
      <c r="BG29" s="10" t="s">
        <v>216</v>
      </c>
      <c r="BI29" s="36" t="s">
        <v>247</v>
      </c>
      <c r="BJ29" s="36" t="s">
        <v>248</v>
      </c>
    </row>
    <row r="30" spans="1:67" x14ac:dyDescent="0.2">
      <c r="A30" s="3"/>
      <c r="B30" s="15" t="s">
        <v>0</v>
      </c>
      <c r="C30" s="3">
        <v>2</v>
      </c>
      <c r="D30" s="3">
        <v>2</v>
      </c>
      <c r="E30" s="27">
        <v>1</v>
      </c>
      <c r="F30" s="13">
        <v>0</v>
      </c>
      <c r="G30" s="13">
        <v>0</v>
      </c>
      <c r="H30" s="13">
        <v>0</v>
      </c>
      <c r="I30" s="13">
        <v>0</v>
      </c>
      <c r="J30" s="27">
        <v>1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27">
        <v>3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27">
        <v>3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3">
        <f t="shared" si="1"/>
        <v>0</v>
      </c>
      <c r="BB30" s="3">
        <f t="shared" si="2"/>
        <v>0</v>
      </c>
      <c r="BC30" s="3">
        <f t="shared" si="3"/>
        <v>0</v>
      </c>
      <c r="BD30" s="3">
        <f t="shared" si="4"/>
        <v>5</v>
      </c>
      <c r="BE30" s="3">
        <f t="shared" si="5"/>
        <v>3</v>
      </c>
      <c r="BF30" s="3">
        <f t="shared" si="6"/>
        <v>0</v>
      </c>
      <c r="BG30" s="62">
        <f>SUM(BA30:BF30)</f>
        <v>8</v>
      </c>
      <c r="BH30" t="s">
        <v>0</v>
      </c>
      <c r="BI30">
        <v>20</v>
      </c>
      <c r="BJ30">
        <v>58</v>
      </c>
    </row>
    <row r="31" spans="1:67" x14ac:dyDescent="0.2">
      <c r="A31" s="3"/>
      <c r="B31" s="15" t="s">
        <v>1</v>
      </c>
      <c r="C31" s="3">
        <v>1</v>
      </c>
      <c r="D31" s="3">
        <v>1</v>
      </c>
      <c r="E31" s="27">
        <v>0</v>
      </c>
      <c r="F31" s="13">
        <v>0</v>
      </c>
      <c r="G31" s="13">
        <v>0</v>
      </c>
      <c r="H31" s="13">
        <v>0</v>
      </c>
      <c r="I31" s="13">
        <v>0</v>
      </c>
      <c r="J31" s="27">
        <v>2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27">
        <v>2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27">
        <v>3</v>
      </c>
      <c r="AH31" s="13">
        <v>0</v>
      </c>
      <c r="AI31" s="13">
        <v>0</v>
      </c>
      <c r="AJ31" s="13">
        <v>0</v>
      </c>
      <c r="AK31" s="13">
        <v>0</v>
      </c>
      <c r="AL31" s="13">
        <v>1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3">
        <f t="shared" si="1"/>
        <v>0</v>
      </c>
      <c r="BB31" s="3">
        <f t="shared" si="2"/>
        <v>0</v>
      </c>
      <c r="BC31" s="3">
        <f t="shared" si="3"/>
        <v>1</v>
      </c>
      <c r="BD31" s="3">
        <f t="shared" si="4"/>
        <v>4</v>
      </c>
      <c r="BE31" s="3">
        <f t="shared" si="5"/>
        <v>3</v>
      </c>
      <c r="BF31" s="3">
        <f t="shared" si="6"/>
        <v>0</v>
      </c>
      <c r="BG31" s="62">
        <f t="shared" ref="BG31:BG49" si="29">SUM(BA31:BF31)</f>
        <v>8</v>
      </c>
      <c r="BH31" t="s">
        <v>1</v>
      </c>
      <c r="BI31">
        <v>33</v>
      </c>
      <c r="BJ31">
        <v>42</v>
      </c>
    </row>
    <row r="32" spans="1:67" x14ac:dyDescent="0.2">
      <c r="A32" s="3"/>
      <c r="B32" s="15" t="s">
        <v>2</v>
      </c>
      <c r="C32" s="3">
        <v>2</v>
      </c>
      <c r="D32" s="3">
        <v>2</v>
      </c>
      <c r="E32" s="27">
        <v>1</v>
      </c>
      <c r="F32" s="13">
        <v>0</v>
      </c>
      <c r="G32" s="13">
        <v>1</v>
      </c>
      <c r="H32" s="13">
        <v>1</v>
      </c>
      <c r="I32" s="13">
        <v>0</v>
      </c>
      <c r="J32" s="27">
        <v>2</v>
      </c>
      <c r="K32" s="13">
        <v>0</v>
      </c>
      <c r="L32" s="13">
        <v>0</v>
      </c>
      <c r="M32" s="13">
        <v>1</v>
      </c>
      <c r="N32" s="13">
        <v>1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27">
        <v>2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27">
        <v>3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3">
        <f t="shared" si="1"/>
        <v>1</v>
      </c>
      <c r="BB32" s="3">
        <f t="shared" si="2"/>
        <v>0</v>
      </c>
      <c r="BC32" s="3">
        <f t="shared" si="3"/>
        <v>1</v>
      </c>
      <c r="BD32" s="3">
        <f t="shared" si="4"/>
        <v>6</v>
      </c>
      <c r="BE32" s="3">
        <f t="shared" si="5"/>
        <v>4</v>
      </c>
      <c r="BF32" s="3">
        <f t="shared" si="6"/>
        <v>0</v>
      </c>
      <c r="BG32" s="64">
        <f t="shared" si="29"/>
        <v>12</v>
      </c>
      <c r="BH32" t="s">
        <v>2</v>
      </c>
      <c r="BI32">
        <v>35</v>
      </c>
      <c r="BJ32">
        <v>71</v>
      </c>
    </row>
    <row r="33" spans="1:64" x14ac:dyDescent="0.2">
      <c r="A33" s="3"/>
      <c r="B33" s="15" t="s">
        <v>3</v>
      </c>
      <c r="C33" s="3">
        <v>1</v>
      </c>
      <c r="D33" s="3">
        <v>1</v>
      </c>
      <c r="E33" s="27">
        <v>1</v>
      </c>
      <c r="F33" s="18">
        <v>1</v>
      </c>
      <c r="G33" s="18">
        <v>0</v>
      </c>
      <c r="H33" s="18">
        <v>0</v>
      </c>
      <c r="I33" s="18">
        <v>1</v>
      </c>
      <c r="J33" s="27">
        <v>3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27">
        <v>3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27">
        <v>3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3">
        <f t="shared" si="1"/>
        <v>0</v>
      </c>
      <c r="BB33" s="3">
        <f t="shared" si="2"/>
        <v>1</v>
      </c>
      <c r="BC33" s="3">
        <f t="shared" si="3"/>
        <v>1</v>
      </c>
      <c r="BD33" s="3">
        <f t="shared" si="4"/>
        <v>7</v>
      </c>
      <c r="BE33" s="3">
        <f t="shared" si="5"/>
        <v>3</v>
      </c>
      <c r="BF33" s="3">
        <f t="shared" si="6"/>
        <v>0</v>
      </c>
      <c r="BG33" s="64">
        <f t="shared" si="29"/>
        <v>12</v>
      </c>
      <c r="BH33" t="s">
        <v>3</v>
      </c>
      <c r="BI33">
        <v>35</v>
      </c>
      <c r="BJ33">
        <v>79</v>
      </c>
    </row>
    <row r="34" spans="1:64" x14ac:dyDescent="0.2">
      <c r="A34" s="3"/>
      <c r="B34" s="15" t="s">
        <v>4</v>
      </c>
      <c r="C34" s="3">
        <v>2</v>
      </c>
      <c r="D34" s="3">
        <v>2</v>
      </c>
      <c r="E34" s="27">
        <v>2</v>
      </c>
      <c r="F34" s="18">
        <v>0</v>
      </c>
      <c r="G34" s="18">
        <v>1</v>
      </c>
      <c r="H34" s="18">
        <v>3</v>
      </c>
      <c r="I34" s="18">
        <v>0</v>
      </c>
      <c r="J34" s="27">
        <v>3</v>
      </c>
      <c r="K34" s="18">
        <v>0</v>
      </c>
      <c r="L34" s="18">
        <v>0</v>
      </c>
      <c r="M34" s="18">
        <v>0</v>
      </c>
      <c r="N34" s="18">
        <v>2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27">
        <v>3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1</v>
      </c>
      <c r="AG34" s="27">
        <v>3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3">
        <f t="shared" si="1"/>
        <v>3</v>
      </c>
      <c r="BB34" s="3">
        <f t="shared" si="2"/>
        <v>0</v>
      </c>
      <c r="BC34" s="3">
        <f t="shared" si="3"/>
        <v>3</v>
      </c>
      <c r="BD34" s="3">
        <f t="shared" si="4"/>
        <v>8</v>
      </c>
      <c r="BE34" s="3">
        <f t="shared" si="5"/>
        <v>4</v>
      </c>
      <c r="BF34" s="3">
        <f t="shared" si="6"/>
        <v>0</v>
      </c>
      <c r="BG34" s="63">
        <f t="shared" si="29"/>
        <v>18</v>
      </c>
      <c r="BH34" t="s">
        <v>4</v>
      </c>
      <c r="BI34">
        <v>27</v>
      </c>
      <c r="BJ34">
        <v>33</v>
      </c>
    </row>
    <row r="35" spans="1:64" x14ac:dyDescent="0.2">
      <c r="A35" s="3"/>
      <c r="B35" s="15" t="s">
        <v>5</v>
      </c>
      <c r="C35" s="3">
        <v>1</v>
      </c>
      <c r="D35" s="3">
        <v>1</v>
      </c>
      <c r="E35" s="27">
        <v>1</v>
      </c>
      <c r="F35" s="18">
        <v>0</v>
      </c>
      <c r="G35" s="18">
        <v>1</v>
      </c>
      <c r="H35" s="18">
        <v>2</v>
      </c>
      <c r="I35" s="18">
        <v>0</v>
      </c>
      <c r="J35" s="27">
        <v>1</v>
      </c>
      <c r="K35" s="18">
        <v>0</v>
      </c>
      <c r="L35" s="18">
        <v>0</v>
      </c>
      <c r="M35" s="18">
        <v>1</v>
      </c>
      <c r="N35" s="18">
        <v>1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27">
        <v>1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27">
        <v>3</v>
      </c>
      <c r="AH35" s="18">
        <v>0</v>
      </c>
      <c r="AI35" s="18">
        <v>0</v>
      </c>
      <c r="AJ35" s="18">
        <v>0</v>
      </c>
      <c r="AK35" s="18">
        <v>0</v>
      </c>
      <c r="AL35" s="18">
        <v>1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3">
        <f t="shared" si="1"/>
        <v>2</v>
      </c>
      <c r="BB35" s="3">
        <f t="shared" si="2"/>
        <v>0</v>
      </c>
      <c r="BC35" s="3">
        <f t="shared" si="3"/>
        <v>2</v>
      </c>
      <c r="BD35" s="3">
        <f t="shared" si="4"/>
        <v>4</v>
      </c>
      <c r="BE35" s="3">
        <f t="shared" si="5"/>
        <v>4</v>
      </c>
      <c r="BF35" s="3">
        <f t="shared" si="6"/>
        <v>0</v>
      </c>
      <c r="BG35" s="64">
        <f t="shared" si="29"/>
        <v>12</v>
      </c>
      <c r="BH35" t="s">
        <v>5</v>
      </c>
      <c r="BJ35">
        <v>81</v>
      </c>
    </row>
    <row r="36" spans="1:64" x14ac:dyDescent="0.2">
      <c r="A36" s="3"/>
      <c r="B36" s="15" t="s">
        <v>6</v>
      </c>
      <c r="C36" s="3">
        <v>2</v>
      </c>
      <c r="D36" s="3">
        <v>2</v>
      </c>
      <c r="E36" s="27">
        <v>1</v>
      </c>
      <c r="F36" s="18">
        <v>0</v>
      </c>
      <c r="G36" s="18">
        <v>0</v>
      </c>
      <c r="H36" s="18">
        <v>0</v>
      </c>
      <c r="I36" s="18">
        <v>0</v>
      </c>
      <c r="J36" s="27">
        <v>3</v>
      </c>
      <c r="K36" s="18">
        <v>0</v>
      </c>
      <c r="L36" s="18">
        <v>0</v>
      </c>
      <c r="M36" s="18">
        <v>0</v>
      </c>
      <c r="N36" s="18">
        <v>1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27">
        <v>2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27">
        <v>3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3">
        <f t="shared" si="1"/>
        <v>0</v>
      </c>
      <c r="BB36" s="3">
        <f t="shared" si="2"/>
        <v>0</v>
      </c>
      <c r="BC36" s="3">
        <f t="shared" si="3"/>
        <v>1</v>
      </c>
      <c r="BD36" s="3">
        <f t="shared" si="4"/>
        <v>6</v>
      </c>
      <c r="BE36" s="3">
        <f t="shared" si="5"/>
        <v>3</v>
      </c>
      <c r="BF36" s="3">
        <f t="shared" si="6"/>
        <v>0</v>
      </c>
      <c r="BG36" s="62">
        <f t="shared" si="29"/>
        <v>10</v>
      </c>
      <c r="BH36" t="s">
        <v>6</v>
      </c>
      <c r="BI36">
        <v>33</v>
      </c>
      <c r="BJ36">
        <v>77</v>
      </c>
    </row>
    <row r="37" spans="1:64" x14ac:dyDescent="0.2">
      <c r="A37" s="3"/>
      <c r="B37" s="15" t="s">
        <v>7</v>
      </c>
      <c r="C37" s="3">
        <v>1</v>
      </c>
      <c r="D37" s="3">
        <v>1</v>
      </c>
      <c r="E37" s="27">
        <v>2</v>
      </c>
      <c r="F37" s="18">
        <v>0</v>
      </c>
      <c r="G37" s="18">
        <v>1</v>
      </c>
      <c r="H37" s="18">
        <v>0</v>
      </c>
      <c r="I37" s="18">
        <v>1</v>
      </c>
      <c r="J37" s="27">
        <v>2</v>
      </c>
      <c r="K37" s="18">
        <v>0</v>
      </c>
      <c r="L37" s="18">
        <v>1</v>
      </c>
      <c r="M37" s="18">
        <v>1</v>
      </c>
      <c r="N37" s="18">
        <v>0</v>
      </c>
      <c r="O37" s="18">
        <v>0</v>
      </c>
      <c r="P37" s="18">
        <v>0</v>
      </c>
      <c r="Q37" s="18">
        <v>1</v>
      </c>
      <c r="R37" s="18">
        <v>0</v>
      </c>
      <c r="S37" s="18">
        <v>2</v>
      </c>
      <c r="T37" s="18">
        <v>0</v>
      </c>
      <c r="U37" s="18">
        <v>0</v>
      </c>
      <c r="V37" s="27">
        <v>2</v>
      </c>
      <c r="W37" s="18">
        <v>0</v>
      </c>
      <c r="X37" s="18">
        <v>0</v>
      </c>
      <c r="Y37" s="18">
        <v>0</v>
      </c>
      <c r="Z37" s="18">
        <v>1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27">
        <v>3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3">
        <f t="shared" si="1"/>
        <v>0</v>
      </c>
      <c r="BB37" s="3">
        <f t="shared" si="2"/>
        <v>2</v>
      </c>
      <c r="BC37" s="3">
        <f t="shared" si="3"/>
        <v>2</v>
      </c>
      <c r="BD37" s="3">
        <f t="shared" si="4"/>
        <v>9</v>
      </c>
      <c r="BE37" s="3">
        <f t="shared" si="5"/>
        <v>4</v>
      </c>
      <c r="BF37" s="3">
        <f t="shared" si="6"/>
        <v>0</v>
      </c>
      <c r="BG37" s="63">
        <f t="shared" si="29"/>
        <v>17</v>
      </c>
      <c r="BH37" t="s">
        <v>7</v>
      </c>
      <c r="BI37">
        <v>33</v>
      </c>
      <c r="BJ37">
        <v>57</v>
      </c>
    </row>
    <row r="38" spans="1:64" x14ac:dyDescent="0.2">
      <c r="A38" s="3"/>
      <c r="B38" s="15" t="s">
        <v>8</v>
      </c>
      <c r="C38" s="3">
        <v>2</v>
      </c>
      <c r="D38" s="3">
        <v>2</v>
      </c>
      <c r="E38" s="27">
        <v>1</v>
      </c>
      <c r="F38" s="18">
        <v>0</v>
      </c>
      <c r="G38" s="18">
        <v>0</v>
      </c>
      <c r="H38" s="18">
        <v>0</v>
      </c>
      <c r="I38" s="18">
        <v>0</v>
      </c>
      <c r="J38" s="27">
        <v>2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27">
        <v>2</v>
      </c>
      <c r="W38" s="18">
        <v>0</v>
      </c>
      <c r="X38" s="18">
        <v>0</v>
      </c>
      <c r="Y38" s="18">
        <v>0</v>
      </c>
      <c r="Z38" s="18">
        <v>1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27">
        <v>2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3">
        <f t="shared" si="1"/>
        <v>0</v>
      </c>
      <c r="BB38" s="3">
        <f t="shared" si="2"/>
        <v>1</v>
      </c>
      <c r="BC38" s="3">
        <f t="shared" si="3"/>
        <v>0</v>
      </c>
      <c r="BD38" s="3">
        <f t="shared" si="4"/>
        <v>5</v>
      </c>
      <c r="BE38" s="3">
        <f t="shared" si="5"/>
        <v>2</v>
      </c>
      <c r="BF38" s="3">
        <f t="shared" si="6"/>
        <v>0</v>
      </c>
      <c r="BG38" s="62">
        <f t="shared" si="29"/>
        <v>8</v>
      </c>
      <c r="BH38" t="s">
        <v>8</v>
      </c>
      <c r="BI38">
        <v>26</v>
      </c>
      <c r="BJ38">
        <v>59</v>
      </c>
    </row>
    <row r="39" spans="1:64" x14ac:dyDescent="0.2">
      <c r="A39" s="3"/>
      <c r="B39" s="15" t="s">
        <v>9</v>
      </c>
      <c r="C39" s="3">
        <v>1</v>
      </c>
      <c r="D39" s="3">
        <v>1</v>
      </c>
      <c r="E39" s="27">
        <v>2</v>
      </c>
      <c r="F39" s="18">
        <v>0</v>
      </c>
      <c r="G39" s="18">
        <v>0</v>
      </c>
      <c r="H39" s="18">
        <v>2</v>
      </c>
      <c r="I39" s="18">
        <v>0</v>
      </c>
      <c r="J39" s="27">
        <v>2</v>
      </c>
      <c r="K39" s="18">
        <v>1</v>
      </c>
      <c r="L39" s="18">
        <v>0</v>
      </c>
      <c r="M39" s="18">
        <v>0</v>
      </c>
      <c r="N39" s="18">
        <v>1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27">
        <v>2</v>
      </c>
      <c r="W39" s="18">
        <v>0</v>
      </c>
      <c r="X39" s="18">
        <v>0</v>
      </c>
      <c r="Y39" s="18">
        <v>0</v>
      </c>
      <c r="Z39" s="18">
        <v>2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27">
        <v>2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3">
        <f t="shared" si="1"/>
        <v>2</v>
      </c>
      <c r="BB39" s="3">
        <f t="shared" si="2"/>
        <v>2</v>
      </c>
      <c r="BC39" s="3">
        <f t="shared" si="3"/>
        <v>1</v>
      </c>
      <c r="BD39" s="3">
        <f t="shared" si="4"/>
        <v>6</v>
      </c>
      <c r="BE39" s="3">
        <f t="shared" si="5"/>
        <v>2</v>
      </c>
      <c r="BF39" s="3">
        <f t="shared" si="6"/>
        <v>1</v>
      </c>
      <c r="BG39" s="63">
        <f t="shared" si="29"/>
        <v>14</v>
      </c>
      <c r="BH39" t="s">
        <v>9</v>
      </c>
      <c r="BI39">
        <v>29</v>
      </c>
      <c r="BJ39">
        <v>19</v>
      </c>
    </row>
    <row r="40" spans="1:64" x14ac:dyDescent="0.2">
      <c r="A40" s="3"/>
      <c r="B40" s="15" t="s">
        <v>10</v>
      </c>
      <c r="C40" s="3">
        <v>2</v>
      </c>
      <c r="D40" s="3">
        <v>2</v>
      </c>
      <c r="E40" s="27">
        <v>1</v>
      </c>
      <c r="F40" s="18">
        <v>0</v>
      </c>
      <c r="G40" s="18">
        <v>0</v>
      </c>
      <c r="H40" s="18">
        <v>0</v>
      </c>
      <c r="I40" s="18">
        <v>0</v>
      </c>
      <c r="J40" s="27">
        <v>2</v>
      </c>
      <c r="K40" s="18">
        <v>0</v>
      </c>
      <c r="L40" s="18">
        <v>0</v>
      </c>
      <c r="M40" s="18">
        <v>1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27">
        <v>2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27">
        <v>2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1</v>
      </c>
      <c r="BA40" s="3">
        <f t="shared" si="1"/>
        <v>0</v>
      </c>
      <c r="BB40" s="3">
        <f t="shared" si="2"/>
        <v>0</v>
      </c>
      <c r="BC40" s="3">
        <f t="shared" si="3"/>
        <v>0</v>
      </c>
      <c r="BD40" s="3">
        <f t="shared" si="4"/>
        <v>6</v>
      </c>
      <c r="BE40" s="3">
        <f t="shared" si="5"/>
        <v>3</v>
      </c>
      <c r="BF40" s="3">
        <f t="shared" si="6"/>
        <v>0</v>
      </c>
      <c r="BG40" s="62">
        <f t="shared" si="29"/>
        <v>9</v>
      </c>
      <c r="BH40" t="s">
        <v>10</v>
      </c>
      <c r="BI40">
        <v>28</v>
      </c>
      <c r="BJ40">
        <v>75</v>
      </c>
    </row>
    <row r="41" spans="1:64" x14ac:dyDescent="0.2">
      <c r="A41" s="3"/>
      <c r="B41" s="15" t="s">
        <v>11</v>
      </c>
      <c r="C41" s="3">
        <v>1</v>
      </c>
      <c r="D41" s="3">
        <v>1</v>
      </c>
      <c r="E41" s="27">
        <v>1</v>
      </c>
      <c r="F41" s="18">
        <v>0</v>
      </c>
      <c r="G41" s="18">
        <v>1</v>
      </c>
      <c r="H41" s="18">
        <v>1</v>
      </c>
      <c r="I41" s="18">
        <v>0</v>
      </c>
      <c r="J41" s="27">
        <v>2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27">
        <v>1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2</v>
      </c>
      <c r="AE41" s="18">
        <v>1</v>
      </c>
      <c r="AF41" s="18">
        <v>0</v>
      </c>
      <c r="AG41" s="27">
        <v>3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3">
        <f t="shared" si="1"/>
        <v>3</v>
      </c>
      <c r="BB41" s="3">
        <f t="shared" si="2"/>
        <v>1</v>
      </c>
      <c r="BC41" s="3">
        <f t="shared" si="3"/>
        <v>0</v>
      </c>
      <c r="BD41" s="3">
        <f t="shared" si="4"/>
        <v>4</v>
      </c>
      <c r="BE41" s="3">
        <f t="shared" si="5"/>
        <v>4</v>
      </c>
      <c r="BF41" s="3">
        <f t="shared" si="6"/>
        <v>0</v>
      </c>
      <c r="BG41" s="64">
        <f t="shared" si="29"/>
        <v>12</v>
      </c>
      <c r="BH41" t="s">
        <v>11</v>
      </c>
      <c r="BI41">
        <v>23</v>
      </c>
      <c r="BJ41">
        <v>49</v>
      </c>
    </row>
    <row r="42" spans="1:64" x14ac:dyDescent="0.2">
      <c r="A42" s="3"/>
      <c r="B42" s="15" t="s">
        <v>12</v>
      </c>
      <c r="C42" s="3">
        <v>2</v>
      </c>
      <c r="D42" s="3">
        <v>2</v>
      </c>
      <c r="E42" s="27">
        <v>1</v>
      </c>
      <c r="F42" s="18">
        <v>0</v>
      </c>
      <c r="G42" s="18">
        <v>0</v>
      </c>
      <c r="H42" s="18">
        <v>2</v>
      </c>
      <c r="I42" s="18">
        <v>0</v>
      </c>
      <c r="J42" s="27">
        <v>2</v>
      </c>
      <c r="K42" s="18">
        <v>0</v>
      </c>
      <c r="L42" s="18">
        <v>0</v>
      </c>
      <c r="M42" s="18">
        <v>2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27">
        <v>2</v>
      </c>
      <c r="W42" s="18">
        <v>0</v>
      </c>
      <c r="X42" s="18">
        <v>0</v>
      </c>
      <c r="Y42" s="18">
        <v>0</v>
      </c>
      <c r="Z42" s="18">
        <v>0</v>
      </c>
      <c r="AA42" s="18">
        <v>1</v>
      </c>
      <c r="AB42" s="18">
        <v>1</v>
      </c>
      <c r="AC42" s="18">
        <v>0</v>
      </c>
      <c r="AD42" s="18">
        <v>0</v>
      </c>
      <c r="AE42" s="18">
        <v>0</v>
      </c>
      <c r="AF42" s="18">
        <v>0</v>
      </c>
      <c r="AG42" s="27">
        <v>2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1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1</v>
      </c>
      <c r="AY42" s="18">
        <v>1</v>
      </c>
      <c r="AZ42" s="18">
        <v>1</v>
      </c>
      <c r="BA42" s="3">
        <f t="shared" si="1"/>
        <v>2</v>
      </c>
      <c r="BB42" s="3">
        <f t="shared" si="2"/>
        <v>0</v>
      </c>
      <c r="BC42" s="3">
        <f t="shared" si="3"/>
        <v>2</v>
      </c>
      <c r="BD42" s="3">
        <f t="shared" si="4"/>
        <v>9</v>
      </c>
      <c r="BE42" s="3">
        <f t="shared" si="5"/>
        <v>3</v>
      </c>
      <c r="BF42" s="3">
        <f t="shared" si="6"/>
        <v>1</v>
      </c>
      <c r="BG42" s="63">
        <f t="shared" si="29"/>
        <v>17</v>
      </c>
      <c r="BH42" t="s">
        <v>12</v>
      </c>
      <c r="BI42">
        <v>29</v>
      </c>
      <c r="BJ42">
        <v>56</v>
      </c>
    </row>
    <row r="43" spans="1:64" x14ac:dyDescent="0.2">
      <c r="A43" s="3"/>
      <c r="B43" s="15" t="s">
        <v>13</v>
      </c>
      <c r="C43" s="3">
        <v>1</v>
      </c>
      <c r="D43" s="3">
        <v>1</v>
      </c>
      <c r="E43" s="27">
        <v>0</v>
      </c>
      <c r="F43" s="18">
        <v>0</v>
      </c>
      <c r="G43" s="18">
        <v>0</v>
      </c>
      <c r="H43" s="18">
        <v>0</v>
      </c>
      <c r="I43" s="18">
        <v>0</v>
      </c>
      <c r="J43" s="27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27">
        <v>3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27">
        <v>3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3">
        <f t="shared" si="1"/>
        <v>0</v>
      </c>
      <c r="BB43" s="3">
        <f t="shared" si="2"/>
        <v>0</v>
      </c>
      <c r="BC43" s="3">
        <f t="shared" si="3"/>
        <v>0</v>
      </c>
      <c r="BD43" s="3">
        <f t="shared" si="4"/>
        <v>5</v>
      </c>
      <c r="BE43" s="3">
        <f t="shared" si="5"/>
        <v>3</v>
      </c>
      <c r="BF43" s="3">
        <f t="shared" si="6"/>
        <v>0</v>
      </c>
      <c r="BG43" s="62">
        <f t="shared" si="29"/>
        <v>8</v>
      </c>
      <c r="BH43" t="s">
        <v>13</v>
      </c>
      <c r="BI43">
        <v>26</v>
      </c>
      <c r="BJ43">
        <v>44</v>
      </c>
    </row>
    <row r="44" spans="1:64" x14ac:dyDescent="0.2">
      <c r="A44" s="3"/>
      <c r="B44" s="15" t="s">
        <v>14</v>
      </c>
      <c r="C44" s="3">
        <v>2</v>
      </c>
      <c r="D44" s="3">
        <v>2</v>
      </c>
      <c r="E44" s="27">
        <v>1</v>
      </c>
      <c r="F44" s="18">
        <v>1</v>
      </c>
      <c r="G44" s="18">
        <v>0</v>
      </c>
      <c r="H44" s="18">
        <v>0</v>
      </c>
      <c r="I44" s="18">
        <v>0</v>
      </c>
      <c r="J44" s="27">
        <v>2</v>
      </c>
      <c r="K44" s="18">
        <v>1</v>
      </c>
      <c r="L44" s="18">
        <v>0</v>
      </c>
      <c r="M44" s="18">
        <v>0</v>
      </c>
      <c r="N44" s="18">
        <v>0</v>
      </c>
      <c r="O44" s="18">
        <v>0</v>
      </c>
      <c r="P44" s="18">
        <v>1</v>
      </c>
      <c r="Q44" s="18">
        <v>0</v>
      </c>
      <c r="R44" s="18">
        <v>1</v>
      </c>
      <c r="S44" s="18">
        <v>1</v>
      </c>
      <c r="T44" s="18">
        <v>0</v>
      </c>
      <c r="U44" s="18">
        <v>0</v>
      </c>
      <c r="V44" s="27">
        <v>2</v>
      </c>
      <c r="W44" s="18">
        <v>0</v>
      </c>
      <c r="X44" s="18">
        <v>0</v>
      </c>
      <c r="Y44" s="18">
        <v>0</v>
      </c>
      <c r="Z44" s="18">
        <v>1</v>
      </c>
      <c r="AA44" s="18">
        <v>0</v>
      </c>
      <c r="AB44" s="18">
        <v>0</v>
      </c>
      <c r="AC44" s="18">
        <v>0</v>
      </c>
      <c r="AD44" s="18">
        <v>1</v>
      </c>
      <c r="AE44" s="18">
        <v>0</v>
      </c>
      <c r="AF44" s="18">
        <v>0</v>
      </c>
      <c r="AG44" s="27">
        <v>3</v>
      </c>
      <c r="AH44" s="18">
        <v>0</v>
      </c>
      <c r="AI44" s="18">
        <v>0</v>
      </c>
      <c r="AJ44" s="18">
        <v>0</v>
      </c>
      <c r="AK44" s="18">
        <v>0</v>
      </c>
      <c r="AL44" s="18">
        <v>1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1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3">
        <f t="shared" si="1"/>
        <v>2</v>
      </c>
      <c r="BB44" s="3">
        <f t="shared" si="2"/>
        <v>1</v>
      </c>
      <c r="BC44" s="3">
        <f t="shared" si="3"/>
        <v>2</v>
      </c>
      <c r="BD44" s="3">
        <f t="shared" si="4"/>
        <v>6</v>
      </c>
      <c r="BE44" s="3">
        <f t="shared" si="5"/>
        <v>3</v>
      </c>
      <c r="BF44" s="3">
        <f t="shared" si="6"/>
        <v>3</v>
      </c>
      <c r="BG44" s="63">
        <f t="shared" si="29"/>
        <v>17</v>
      </c>
      <c r="BH44" t="s">
        <v>14</v>
      </c>
      <c r="BI44">
        <v>38</v>
      </c>
      <c r="BJ44">
        <v>63</v>
      </c>
    </row>
    <row r="45" spans="1:64" x14ac:dyDescent="0.2">
      <c r="A45" s="3"/>
      <c r="B45" s="15" t="s">
        <v>15</v>
      </c>
      <c r="C45" s="3">
        <v>1</v>
      </c>
      <c r="D45" s="3">
        <v>1</v>
      </c>
      <c r="E45" s="27">
        <v>0</v>
      </c>
      <c r="F45" s="18">
        <v>0</v>
      </c>
      <c r="G45" s="18">
        <v>0</v>
      </c>
      <c r="H45" s="18">
        <v>0</v>
      </c>
      <c r="I45" s="18">
        <v>0</v>
      </c>
      <c r="J45" s="27">
        <v>3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27">
        <v>3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27">
        <v>3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3">
        <f t="shared" si="1"/>
        <v>0</v>
      </c>
      <c r="BB45" s="3">
        <f t="shared" si="2"/>
        <v>0</v>
      </c>
      <c r="BC45" s="3">
        <f t="shared" si="3"/>
        <v>0</v>
      </c>
      <c r="BD45" s="3">
        <f t="shared" si="4"/>
        <v>6</v>
      </c>
      <c r="BE45" s="3">
        <f t="shared" si="5"/>
        <v>3</v>
      </c>
      <c r="BF45" s="3">
        <f t="shared" si="6"/>
        <v>0</v>
      </c>
      <c r="BG45" s="62">
        <f t="shared" si="29"/>
        <v>9</v>
      </c>
      <c r="BH45" t="s">
        <v>15</v>
      </c>
      <c r="BI45">
        <v>24</v>
      </c>
      <c r="BJ45">
        <v>55</v>
      </c>
      <c r="BL45" t="s">
        <v>217</v>
      </c>
    </row>
    <row r="46" spans="1:64" x14ac:dyDescent="0.2">
      <c r="A46" s="3"/>
      <c r="B46" s="15" t="s">
        <v>16</v>
      </c>
      <c r="C46" s="3">
        <v>2</v>
      </c>
      <c r="D46" s="3">
        <v>2</v>
      </c>
      <c r="E46" s="27">
        <v>0</v>
      </c>
      <c r="F46" s="18">
        <v>0</v>
      </c>
      <c r="G46" s="18">
        <v>0</v>
      </c>
      <c r="H46" s="18">
        <v>0</v>
      </c>
      <c r="I46" s="18">
        <v>0</v>
      </c>
      <c r="J46" s="27">
        <v>2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27">
        <v>1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27">
        <v>2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3">
        <f t="shared" si="1"/>
        <v>0</v>
      </c>
      <c r="BB46" s="3">
        <f t="shared" si="2"/>
        <v>0</v>
      </c>
      <c r="BC46" s="3">
        <f t="shared" si="3"/>
        <v>0</v>
      </c>
      <c r="BD46" s="3">
        <f t="shared" si="4"/>
        <v>3</v>
      </c>
      <c r="BE46" s="3">
        <f t="shared" si="5"/>
        <v>2</v>
      </c>
      <c r="BF46" s="3">
        <f t="shared" si="6"/>
        <v>0</v>
      </c>
      <c r="BG46" s="62">
        <f t="shared" si="29"/>
        <v>5</v>
      </c>
      <c r="BH46" t="s">
        <v>16</v>
      </c>
      <c r="BI46">
        <v>27</v>
      </c>
      <c r="BJ46">
        <v>89</v>
      </c>
    </row>
    <row r="47" spans="1:64" x14ac:dyDescent="0.2">
      <c r="A47" s="3"/>
      <c r="B47" s="15" t="s">
        <v>17</v>
      </c>
      <c r="C47" s="3">
        <v>1</v>
      </c>
      <c r="D47" s="3">
        <v>1</v>
      </c>
      <c r="E47" s="27">
        <v>1</v>
      </c>
      <c r="F47" s="18">
        <v>0</v>
      </c>
      <c r="G47" s="18">
        <v>1</v>
      </c>
      <c r="H47" s="18">
        <v>0</v>
      </c>
      <c r="I47" s="18">
        <v>0</v>
      </c>
      <c r="J47" s="27">
        <v>3</v>
      </c>
      <c r="K47" s="18">
        <v>0</v>
      </c>
      <c r="L47" s="18">
        <v>0</v>
      </c>
      <c r="M47" s="18">
        <v>1</v>
      </c>
      <c r="N47" s="18">
        <v>1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27">
        <v>2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1</v>
      </c>
      <c r="AG47" s="27">
        <v>3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3">
        <f t="shared" si="1"/>
        <v>0</v>
      </c>
      <c r="BB47" s="3">
        <f t="shared" si="2"/>
        <v>0</v>
      </c>
      <c r="BC47" s="3">
        <f t="shared" si="3"/>
        <v>2</v>
      </c>
      <c r="BD47" s="3">
        <f t="shared" si="4"/>
        <v>7</v>
      </c>
      <c r="BE47" s="3">
        <f t="shared" si="5"/>
        <v>4</v>
      </c>
      <c r="BF47" s="3">
        <f t="shared" si="6"/>
        <v>0</v>
      </c>
      <c r="BG47" s="63">
        <f t="shared" si="29"/>
        <v>13</v>
      </c>
      <c r="BH47" t="s">
        <v>17</v>
      </c>
      <c r="BI47">
        <v>33</v>
      </c>
      <c r="BJ47">
        <v>76</v>
      </c>
    </row>
    <row r="48" spans="1:64" x14ac:dyDescent="0.2">
      <c r="A48" s="3"/>
      <c r="B48" s="15" t="s">
        <v>18</v>
      </c>
      <c r="C48" s="3">
        <v>2</v>
      </c>
      <c r="D48" s="3">
        <v>2</v>
      </c>
      <c r="E48" s="27">
        <v>1</v>
      </c>
      <c r="F48" s="18">
        <v>0</v>
      </c>
      <c r="G48" s="18">
        <v>0</v>
      </c>
      <c r="H48" s="18">
        <v>0</v>
      </c>
      <c r="I48" s="18">
        <v>0</v>
      </c>
      <c r="J48" s="27">
        <v>2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27">
        <v>3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27">
        <v>3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3">
        <f t="shared" si="1"/>
        <v>0</v>
      </c>
      <c r="BB48" s="3">
        <f t="shared" si="2"/>
        <v>0</v>
      </c>
      <c r="BC48" s="3">
        <f t="shared" si="3"/>
        <v>0</v>
      </c>
      <c r="BD48" s="3">
        <f t="shared" si="4"/>
        <v>6</v>
      </c>
      <c r="BE48" s="3">
        <f t="shared" si="5"/>
        <v>3</v>
      </c>
      <c r="BF48" s="3">
        <f t="shared" si="6"/>
        <v>0</v>
      </c>
      <c r="BG48" s="62">
        <f t="shared" si="29"/>
        <v>9</v>
      </c>
      <c r="BH48" t="s">
        <v>18</v>
      </c>
      <c r="BI48">
        <v>27</v>
      </c>
      <c r="BJ48">
        <v>18</v>
      </c>
    </row>
    <row r="49" spans="1:62" ht="16" thickBot="1" x14ac:dyDescent="0.25">
      <c r="A49" s="3"/>
      <c r="B49" s="15" t="s">
        <v>19</v>
      </c>
      <c r="C49" s="3">
        <v>1</v>
      </c>
      <c r="D49" s="3">
        <v>1</v>
      </c>
      <c r="E49" s="27">
        <v>0</v>
      </c>
      <c r="F49" s="18">
        <v>1</v>
      </c>
      <c r="G49" s="18">
        <v>1</v>
      </c>
      <c r="H49" s="18">
        <v>1</v>
      </c>
      <c r="I49" s="18">
        <v>0</v>
      </c>
      <c r="J49" s="27">
        <v>2</v>
      </c>
      <c r="K49" s="18">
        <v>1</v>
      </c>
      <c r="L49" s="18">
        <v>0</v>
      </c>
      <c r="M49" s="18">
        <v>1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1</v>
      </c>
      <c r="U49" s="18">
        <v>0</v>
      </c>
      <c r="V49" s="27">
        <v>2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27">
        <v>2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1</v>
      </c>
      <c r="AY49" s="18">
        <v>0</v>
      </c>
      <c r="AZ49" s="18">
        <v>0</v>
      </c>
      <c r="BA49" s="3">
        <f t="shared" si="1"/>
        <v>1</v>
      </c>
      <c r="BB49" s="3">
        <f t="shared" si="2"/>
        <v>0</v>
      </c>
      <c r="BC49" s="3">
        <f t="shared" si="3"/>
        <v>2</v>
      </c>
      <c r="BD49" s="3">
        <f t="shared" si="4"/>
        <v>5</v>
      </c>
      <c r="BE49" s="3">
        <f t="shared" si="5"/>
        <v>4</v>
      </c>
      <c r="BF49" s="3">
        <f t="shared" si="6"/>
        <v>1</v>
      </c>
      <c r="BG49" s="63">
        <f t="shared" si="29"/>
        <v>13</v>
      </c>
      <c r="BH49" t="s">
        <v>19</v>
      </c>
      <c r="BI49">
        <v>29</v>
      </c>
      <c r="BJ49">
        <v>65</v>
      </c>
    </row>
    <row r="50" spans="1:62" s="6" customFormat="1" ht="16" thickBot="1" x14ac:dyDescent="0.25">
      <c r="A50" s="4"/>
      <c r="B50" s="10" t="s">
        <v>52</v>
      </c>
      <c r="C50" s="4"/>
      <c r="D50" s="4"/>
      <c r="E50" s="34">
        <f>AVERAGE(E30:E49)</f>
        <v>0.9</v>
      </c>
      <c r="F50" s="34">
        <f t="shared" ref="F50:BG50" si="30">AVERAGE(F30:F49)</f>
        <v>0.15</v>
      </c>
      <c r="G50" s="34">
        <f t="shared" si="30"/>
        <v>0.35</v>
      </c>
      <c r="H50" s="34">
        <f t="shared" si="30"/>
        <v>0.6</v>
      </c>
      <c r="I50" s="34">
        <f t="shared" si="30"/>
        <v>0.1</v>
      </c>
      <c r="J50" s="34">
        <f t="shared" si="30"/>
        <v>2.15</v>
      </c>
      <c r="K50" s="34">
        <f t="shared" si="30"/>
        <v>0.15</v>
      </c>
      <c r="L50" s="34">
        <f t="shared" si="30"/>
        <v>0.05</v>
      </c>
      <c r="M50" s="34">
        <f t="shared" si="30"/>
        <v>0.4</v>
      </c>
      <c r="N50" s="34">
        <f t="shared" si="30"/>
        <v>0.35</v>
      </c>
      <c r="O50" s="34">
        <f t="shared" si="30"/>
        <v>0</v>
      </c>
      <c r="P50" s="34">
        <f t="shared" si="30"/>
        <v>0.05</v>
      </c>
      <c r="Q50" s="34">
        <f t="shared" si="30"/>
        <v>0.05</v>
      </c>
      <c r="R50" s="34">
        <f t="shared" si="30"/>
        <v>0.05</v>
      </c>
      <c r="S50" s="34">
        <f t="shared" si="30"/>
        <v>0.15</v>
      </c>
      <c r="T50" s="34">
        <f t="shared" si="30"/>
        <v>0.05</v>
      </c>
      <c r="U50" s="34">
        <f t="shared" si="30"/>
        <v>0</v>
      </c>
      <c r="V50" s="34">
        <f t="shared" si="30"/>
        <v>2.15</v>
      </c>
      <c r="W50" s="34">
        <f t="shared" si="30"/>
        <v>0</v>
      </c>
      <c r="X50" s="34">
        <f t="shared" si="30"/>
        <v>0</v>
      </c>
      <c r="Y50" s="34">
        <f t="shared" si="30"/>
        <v>0</v>
      </c>
      <c r="Z50" s="34">
        <f t="shared" si="30"/>
        <v>0.25</v>
      </c>
      <c r="AA50" s="34">
        <f t="shared" si="30"/>
        <v>0.05</v>
      </c>
      <c r="AB50" s="34">
        <f t="shared" si="30"/>
        <v>0.05</v>
      </c>
      <c r="AC50" s="34">
        <f t="shared" si="30"/>
        <v>0</v>
      </c>
      <c r="AD50" s="34">
        <f t="shared" si="30"/>
        <v>0.15</v>
      </c>
      <c r="AE50" s="34">
        <f t="shared" si="30"/>
        <v>0.05</v>
      </c>
      <c r="AF50" s="34">
        <f t="shared" si="30"/>
        <v>0.1</v>
      </c>
      <c r="AG50" s="34">
        <f t="shared" si="30"/>
        <v>2.7</v>
      </c>
      <c r="AH50" s="34">
        <f t="shared" si="30"/>
        <v>0</v>
      </c>
      <c r="AI50" s="34">
        <f t="shared" si="30"/>
        <v>0</v>
      </c>
      <c r="AJ50" s="34">
        <f t="shared" si="30"/>
        <v>0</v>
      </c>
      <c r="AK50" s="34">
        <f t="shared" si="30"/>
        <v>0</v>
      </c>
      <c r="AL50" s="34">
        <f t="shared" si="30"/>
        <v>0.15</v>
      </c>
      <c r="AM50" s="34">
        <f t="shared" si="30"/>
        <v>0</v>
      </c>
      <c r="AN50" s="34">
        <f t="shared" si="30"/>
        <v>0</v>
      </c>
      <c r="AO50" s="34">
        <f t="shared" si="30"/>
        <v>0</v>
      </c>
      <c r="AP50" s="34">
        <f t="shared" si="30"/>
        <v>0</v>
      </c>
      <c r="AQ50" s="34">
        <f t="shared" si="30"/>
        <v>0.05</v>
      </c>
      <c r="AR50" s="34">
        <f t="shared" si="30"/>
        <v>0</v>
      </c>
      <c r="AS50" s="34">
        <f t="shared" si="30"/>
        <v>0</v>
      </c>
      <c r="AT50" s="34">
        <f t="shared" si="30"/>
        <v>0.05</v>
      </c>
      <c r="AU50" s="34">
        <f t="shared" si="30"/>
        <v>0</v>
      </c>
      <c r="AV50" s="34">
        <f t="shared" si="30"/>
        <v>0</v>
      </c>
      <c r="AW50" s="34">
        <f t="shared" si="30"/>
        <v>0</v>
      </c>
      <c r="AX50" s="34">
        <f t="shared" si="30"/>
        <v>0.1</v>
      </c>
      <c r="AY50" s="34">
        <f t="shared" si="30"/>
        <v>0.05</v>
      </c>
      <c r="AZ50" s="34">
        <f t="shared" si="30"/>
        <v>0.1</v>
      </c>
      <c r="BA50" s="312">
        <f t="shared" si="30"/>
        <v>0.8</v>
      </c>
      <c r="BB50" s="312">
        <f t="shared" si="30"/>
        <v>0.4</v>
      </c>
      <c r="BC50" s="312">
        <f t="shared" si="30"/>
        <v>1</v>
      </c>
      <c r="BD50" s="312">
        <f t="shared" si="30"/>
        <v>5.85</v>
      </c>
      <c r="BE50" s="312">
        <f t="shared" si="30"/>
        <v>3.2</v>
      </c>
      <c r="BF50" s="312">
        <f t="shared" si="30"/>
        <v>0.3</v>
      </c>
      <c r="BG50" s="237">
        <f t="shared" si="30"/>
        <v>11.55</v>
      </c>
      <c r="BH50" s="6">
        <f>MEDIAN(BG30:BG49)</f>
        <v>12</v>
      </c>
    </row>
    <row r="51" spans="1:62" ht="16" thickBot="1" x14ac:dyDescent="0.25">
      <c r="A51" s="32"/>
      <c r="B51" s="33" t="s">
        <v>53</v>
      </c>
      <c r="C51" s="32"/>
      <c r="D51" s="32"/>
      <c r="E51" s="37">
        <f>STDEV(E30:E49)</f>
        <v>0.64072327551718744</v>
      </c>
      <c r="F51" s="34">
        <f t="shared" ref="F51:BG51" si="31">STDEV(F30:F49)</f>
        <v>0.36634754853252327</v>
      </c>
      <c r="G51" s="34">
        <f t="shared" si="31"/>
        <v>0.48936048492959289</v>
      </c>
      <c r="H51" s="34">
        <f t="shared" si="31"/>
        <v>0.94032469196325452</v>
      </c>
      <c r="I51" s="34">
        <f t="shared" si="31"/>
        <v>0.30779350562554625</v>
      </c>
      <c r="J51" s="34">
        <f t="shared" si="31"/>
        <v>0.58714294861239968</v>
      </c>
      <c r="K51" s="34">
        <f t="shared" si="31"/>
        <v>0.36634754853252327</v>
      </c>
      <c r="L51" s="34">
        <f t="shared" si="31"/>
        <v>0.22360679774997896</v>
      </c>
      <c r="M51" s="34">
        <f t="shared" si="31"/>
        <v>0.59824304161611885</v>
      </c>
      <c r="N51" s="34">
        <f t="shared" si="31"/>
        <v>0.5871429486123998</v>
      </c>
      <c r="O51" s="34">
        <f t="shared" si="31"/>
        <v>0</v>
      </c>
      <c r="P51" s="34">
        <f t="shared" si="31"/>
        <v>0.22360679774997896</v>
      </c>
      <c r="Q51" s="34">
        <f t="shared" si="31"/>
        <v>0.22360679774997896</v>
      </c>
      <c r="R51" s="34">
        <f t="shared" si="31"/>
        <v>0.22360679774997896</v>
      </c>
      <c r="S51" s="34">
        <f t="shared" si="31"/>
        <v>0.48936048492959289</v>
      </c>
      <c r="T51" s="34">
        <f t="shared" si="31"/>
        <v>0.22360679774997896</v>
      </c>
      <c r="U51" s="34">
        <f t="shared" si="31"/>
        <v>0</v>
      </c>
      <c r="V51" s="34">
        <f t="shared" si="31"/>
        <v>0.67082039324993681</v>
      </c>
      <c r="W51" s="34">
        <f t="shared" si="31"/>
        <v>0</v>
      </c>
      <c r="X51" s="34">
        <f t="shared" si="31"/>
        <v>0</v>
      </c>
      <c r="Y51" s="34">
        <f t="shared" si="31"/>
        <v>0</v>
      </c>
      <c r="Z51" s="34">
        <f t="shared" si="31"/>
        <v>0.5501196042201808</v>
      </c>
      <c r="AA51" s="34">
        <f t="shared" si="31"/>
        <v>0.22360679774997896</v>
      </c>
      <c r="AB51" s="34">
        <f t="shared" si="31"/>
        <v>0.22360679774997896</v>
      </c>
      <c r="AC51" s="34">
        <f t="shared" si="31"/>
        <v>0</v>
      </c>
      <c r="AD51" s="34">
        <f t="shared" si="31"/>
        <v>0.48936048492959289</v>
      </c>
      <c r="AE51" s="34">
        <f t="shared" si="31"/>
        <v>0.22360679774997896</v>
      </c>
      <c r="AF51" s="34">
        <f t="shared" si="31"/>
        <v>0.30779350562554625</v>
      </c>
      <c r="AG51" s="34">
        <f t="shared" si="31"/>
        <v>0.47016234598162665</v>
      </c>
      <c r="AH51" s="34">
        <f t="shared" si="31"/>
        <v>0</v>
      </c>
      <c r="AI51" s="34">
        <f t="shared" si="31"/>
        <v>0</v>
      </c>
      <c r="AJ51" s="34">
        <f t="shared" si="31"/>
        <v>0</v>
      </c>
      <c r="AK51" s="34">
        <f t="shared" si="31"/>
        <v>0</v>
      </c>
      <c r="AL51" s="34">
        <f t="shared" si="31"/>
        <v>0.36634754853252327</v>
      </c>
      <c r="AM51" s="34">
        <f t="shared" si="31"/>
        <v>0</v>
      </c>
      <c r="AN51" s="34">
        <f t="shared" si="31"/>
        <v>0</v>
      </c>
      <c r="AO51" s="34">
        <f t="shared" si="31"/>
        <v>0</v>
      </c>
      <c r="AP51" s="34">
        <f t="shared" si="31"/>
        <v>0</v>
      </c>
      <c r="AQ51" s="34">
        <f t="shared" si="31"/>
        <v>0.22360679774997896</v>
      </c>
      <c r="AR51" s="34">
        <f t="shared" si="31"/>
        <v>0</v>
      </c>
      <c r="AS51" s="34">
        <f t="shared" si="31"/>
        <v>0</v>
      </c>
      <c r="AT51" s="34">
        <f t="shared" si="31"/>
        <v>0.22360679774997896</v>
      </c>
      <c r="AU51" s="34">
        <f t="shared" si="31"/>
        <v>0</v>
      </c>
      <c r="AV51" s="34">
        <f t="shared" si="31"/>
        <v>0</v>
      </c>
      <c r="AW51" s="34">
        <f t="shared" si="31"/>
        <v>0</v>
      </c>
      <c r="AX51" s="34">
        <f t="shared" si="31"/>
        <v>0.30779350562554625</v>
      </c>
      <c r="AY51" s="34">
        <f t="shared" si="31"/>
        <v>0.22360679774997896</v>
      </c>
      <c r="AZ51" s="34">
        <f t="shared" si="31"/>
        <v>0.30779350562554625</v>
      </c>
      <c r="BA51" s="312">
        <f t="shared" si="31"/>
        <v>1.105012502906165</v>
      </c>
      <c r="BB51" s="312">
        <f t="shared" si="31"/>
        <v>0.68055704737872058</v>
      </c>
      <c r="BC51" s="312">
        <f t="shared" si="31"/>
        <v>0.97332852678457515</v>
      </c>
      <c r="BD51" s="312">
        <f t="shared" si="31"/>
        <v>1.5985190514644279</v>
      </c>
      <c r="BE51" s="312">
        <f t="shared" si="31"/>
        <v>0.69585237393845889</v>
      </c>
      <c r="BF51" s="312">
        <f t="shared" si="31"/>
        <v>0.73269509706504654</v>
      </c>
      <c r="BG51" s="313">
        <f t="shared" si="31"/>
        <v>3.6774562146307477</v>
      </c>
    </row>
    <row r="52" spans="1:62" ht="16" thickBot="1" x14ac:dyDescent="0.25">
      <c r="A52" s="4"/>
      <c r="B52" s="10" t="s">
        <v>54</v>
      </c>
      <c r="C52" s="4"/>
      <c r="D52" s="4"/>
      <c r="E52" s="37">
        <f>E51/SQRT(20)</f>
        <v>0.14327007988227577</v>
      </c>
      <c r="F52" s="34">
        <f t="shared" ref="F52:BG52" si="32">F51/SQRT(20)</f>
        <v>8.1917802190912534E-2</v>
      </c>
      <c r="G52" s="34">
        <f t="shared" si="32"/>
        <v>0.1094243309804831</v>
      </c>
      <c r="H52" s="34">
        <f t="shared" si="32"/>
        <v>0.21026299321513872</v>
      </c>
      <c r="I52" s="34">
        <f t="shared" si="32"/>
        <v>6.8824720161168529E-2</v>
      </c>
      <c r="J52" s="34">
        <f t="shared" si="32"/>
        <v>0.13128915456069915</v>
      </c>
      <c r="K52" s="34">
        <f t="shared" si="32"/>
        <v>8.1917802190912534E-2</v>
      </c>
      <c r="L52" s="34">
        <f t="shared" si="32"/>
        <v>4.9999999999999996E-2</v>
      </c>
      <c r="M52" s="34">
        <f t="shared" si="32"/>
        <v>0.13377121081198773</v>
      </c>
      <c r="N52" s="34">
        <f t="shared" si="32"/>
        <v>0.13128915456069917</v>
      </c>
      <c r="O52" s="34">
        <f t="shared" si="32"/>
        <v>0</v>
      </c>
      <c r="P52" s="34">
        <f t="shared" si="32"/>
        <v>4.9999999999999996E-2</v>
      </c>
      <c r="Q52" s="34">
        <f t="shared" si="32"/>
        <v>4.9999999999999996E-2</v>
      </c>
      <c r="R52" s="34">
        <f t="shared" si="32"/>
        <v>4.9999999999999996E-2</v>
      </c>
      <c r="S52" s="34">
        <f t="shared" si="32"/>
        <v>0.1094243309804831</v>
      </c>
      <c r="T52" s="34">
        <f t="shared" si="32"/>
        <v>4.9999999999999996E-2</v>
      </c>
      <c r="U52" s="34">
        <f t="shared" si="32"/>
        <v>0</v>
      </c>
      <c r="V52" s="34">
        <f t="shared" si="32"/>
        <v>0.14999999999999997</v>
      </c>
      <c r="W52" s="34">
        <f t="shared" si="32"/>
        <v>0</v>
      </c>
      <c r="X52" s="34">
        <f t="shared" si="32"/>
        <v>0</v>
      </c>
      <c r="Y52" s="34">
        <f t="shared" si="32"/>
        <v>0</v>
      </c>
      <c r="Z52" s="34">
        <f t="shared" si="32"/>
        <v>0.12301048307916045</v>
      </c>
      <c r="AA52" s="34">
        <f t="shared" si="32"/>
        <v>4.9999999999999996E-2</v>
      </c>
      <c r="AB52" s="34">
        <f t="shared" si="32"/>
        <v>4.9999999999999996E-2</v>
      </c>
      <c r="AC52" s="34">
        <f t="shared" si="32"/>
        <v>0</v>
      </c>
      <c r="AD52" s="34">
        <f t="shared" si="32"/>
        <v>0.1094243309804831</v>
      </c>
      <c r="AE52" s="34">
        <f t="shared" si="32"/>
        <v>4.9999999999999996E-2</v>
      </c>
      <c r="AF52" s="34">
        <f t="shared" si="32"/>
        <v>6.8824720161168529E-2</v>
      </c>
      <c r="AG52" s="34">
        <f t="shared" si="32"/>
        <v>0.10513149660756922</v>
      </c>
      <c r="AH52" s="34">
        <f t="shared" si="32"/>
        <v>0</v>
      </c>
      <c r="AI52" s="34">
        <f t="shared" si="32"/>
        <v>0</v>
      </c>
      <c r="AJ52" s="34">
        <f t="shared" si="32"/>
        <v>0</v>
      </c>
      <c r="AK52" s="34">
        <f t="shared" si="32"/>
        <v>0</v>
      </c>
      <c r="AL52" s="34">
        <f t="shared" si="32"/>
        <v>8.1917802190912534E-2</v>
      </c>
      <c r="AM52" s="34">
        <f t="shared" si="32"/>
        <v>0</v>
      </c>
      <c r="AN52" s="34">
        <f t="shared" si="32"/>
        <v>0</v>
      </c>
      <c r="AO52" s="34">
        <f t="shared" si="32"/>
        <v>0</v>
      </c>
      <c r="AP52" s="34">
        <f t="shared" si="32"/>
        <v>0</v>
      </c>
      <c r="AQ52" s="34">
        <f t="shared" si="32"/>
        <v>4.9999999999999996E-2</v>
      </c>
      <c r="AR52" s="34">
        <f t="shared" si="32"/>
        <v>0</v>
      </c>
      <c r="AS52" s="34">
        <f t="shared" si="32"/>
        <v>0</v>
      </c>
      <c r="AT52" s="34">
        <f t="shared" si="32"/>
        <v>4.9999999999999996E-2</v>
      </c>
      <c r="AU52" s="34">
        <f t="shared" si="32"/>
        <v>0</v>
      </c>
      <c r="AV52" s="34">
        <f t="shared" si="32"/>
        <v>0</v>
      </c>
      <c r="AW52" s="34">
        <f t="shared" si="32"/>
        <v>0</v>
      </c>
      <c r="AX52" s="34">
        <f t="shared" si="32"/>
        <v>6.8824720161168529E-2</v>
      </c>
      <c r="AY52" s="34">
        <f t="shared" si="32"/>
        <v>4.9999999999999996E-2</v>
      </c>
      <c r="AZ52" s="34">
        <f t="shared" si="32"/>
        <v>6.8824720161168529E-2</v>
      </c>
      <c r="BA52" s="312">
        <f t="shared" si="32"/>
        <v>0.24708830724853689</v>
      </c>
      <c r="BB52" s="312">
        <f t="shared" si="32"/>
        <v>0.15217718205053643</v>
      </c>
      <c r="BC52" s="312">
        <f t="shared" si="32"/>
        <v>0.21764287503300347</v>
      </c>
      <c r="BD52" s="312">
        <f t="shared" si="32"/>
        <v>0.35743972624029452</v>
      </c>
      <c r="BE52" s="312">
        <f t="shared" si="32"/>
        <v>0.1555973210430997</v>
      </c>
      <c r="BF52" s="312">
        <f t="shared" si="32"/>
        <v>0.16383560438182507</v>
      </c>
      <c r="BG52" s="313">
        <f t="shared" si="32"/>
        <v>0.82230420801934079</v>
      </c>
    </row>
    <row r="53" spans="1:62" ht="16" thickBot="1" x14ac:dyDescent="0.25">
      <c r="A53" s="4"/>
      <c r="B53" s="10" t="s">
        <v>57</v>
      </c>
      <c r="C53" s="4"/>
      <c r="D53" s="4"/>
      <c r="F53" s="11"/>
      <c r="G53" s="12"/>
      <c r="H53" s="11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304">
        <f>TTEST(BA4:BA23,BA30:BA49,1,1)</f>
        <v>2.8268275006597404E-5</v>
      </c>
      <c r="BB53" s="305">
        <f>TTEST(BB4:BB23,BB30:BB49,1,1)</f>
        <v>1.7600445997600487E-8</v>
      </c>
      <c r="BC53" s="305">
        <f t="shared" ref="BC53:BG53" si="33">TTEST(BC4:BC23,BC30:BC49,1,1)</f>
        <v>1.0397198151977773E-7</v>
      </c>
      <c r="BD53" s="305">
        <f t="shared" si="33"/>
        <v>2.325961679427303E-2</v>
      </c>
      <c r="BE53" s="305">
        <f t="shared" si="33"/>
        <v>2.0651201315034296E-6</v>
      </c>
      <c r="BF53" s="305">
        <f t="shared" si="33"/>
        <v>4.4665181390712129E-3</v>
      </c>
      <c r="BG53" s="305">
        <f t="shared" si="33"/>
        <v>7.3001505649937577E-8</v>
      </c>
    </row>
    <row r="54" spans="1:62" ht="16" thickBot="1" x14ac:dyDescent="0.25">
      <c r="A54" s="4"/>
      <c r="B54" s="10" t="s">
        <v>58</v>
      </c>
      <c r="C54" s="4"/>
      <c r="D54" s="4"/>
      <c r="F54" s="11"/>
      <c r="G54" s="12"/>
      <c r="H54" s="11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304">
        <f>TTEST(BA4:BA23,BA30:BA49,2,1)</f>
        <v>5.6536550013194808E-5</v>
      </c>
      <c r="BB54" s="305">
        <f t="shared" ref="BB54:BG54" si="34">TTEST(BB4:BB23,BB30:BB49,2,1)</f>
        <v>3.5200891995200973E-8</v>
      </c>
      <c r="BC54" s="305">
        <f t="shared" si="34"/>
        <v>2.0794396303955546E-7</v>
      </c>
      <c r="BD54" s="304">
        <f t="shared" si="34"/>
        <v>4.6519233588546059E-2</v>
      </c>
      <c r="BE54" s="306">
        <f t="shared" si="34"/>
        <v>4.1302402630068592E-6</v>
      </c>
      <c r="BF54" s="306">
        <f t="shared" si="34"/>
        <v>8.9330362781424259E-3</v>
      </c>
      <c r="BG54" s="306">
        <f t="shared" si="34"/>
        <v>1.4600301129987515E-7</v>
      </c>
    </row>
    <row r="55" spans="1:62" x14ac:dyDescent="0.2">
      <c r="A55" s="11"/>
      <c r="C55" s="11"/>
      <c r="D55" s="11"/>
      <c r="F55" s="11"/>
      <c r="G55" s="12"/>
      <c r="H55" s="11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304"/>
      <c r="BD55" s="11"/>
      <c r="BE55" s="11"/>
      <c r="BI55" t="s">
        <v>217</v>
      </c>
    </row>
    <row r="56" spans="1:62" x14ac:dyDescent="0.2">
      <c r="A56" s="11"/>
      <c r="C56" s="11"/>
      <c r="D56" s="11"/>
      <c r="F56" s="11"/>
      <c r="G56" s="12"/>
      <c r="H56" s="11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H56" t="s">
        <v>217</v>
      </c>
    </row>
    <row r="57" spans="1:62" x14ac:dyDescent="0.2">
      <c r="A57" s="11"/>
      <c r="C57" s="11"/>
      <c r="D57" s="11"/>
      <c r="F57" s="11"/>
      <c r="G57" s="12"/>
      <c r="H57" s="11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</row>
    <row r="58" spans="1:62" s="24" customFormat="1" x14ac:dyDescent="0.2">
      <c r="B58" s="25"/>
      <c r="E58" s="29"/>
      <c r="J58" s="29"/>
      <c r="V58" s="29"/>
      <c r="AG58" s="29"/>
      <c r="BF58" s="24" t="s">
        <v>217</v>
      </c>
    </row>
    <row r="59" spans="1:62" s="24" customFormat="1" x14ac:dyDescent="0.2">
      <c r="A59" s="25"/>
      <c r="B59" s="25"/>
      <c r="C59" s="25"/>
      <c r="D59" s="25"/>
      <c r="E59" s="30"/>
      <c r="F59" s="25"/>
      <c r="G59" s="25"/>
      <c r="H59" s="25"/>
      <c r="I59" s="25"/>
      <c r="J59" s="30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30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30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</row>
    <row r="60" spans="1:62" s="24" customFormat="1" x14ac:dyDescent="0.2">
      <c r="B60" s="25"/>
      <c r="E60" s="29"/>
      <c r="J60" s="29"/>
      <c r="V60" s="29"/>
      <c r="AG60" s="29"/>
    </row>
    <row r="61" spans="1:62" s="24" customFormat="1" x14ac:dyDescent="0.2">
      <c r="B61" s="25"/>
      <c r="E61" s="31"/>
      <c r="F61" s="26"/>
      <c r="G61" s="26"/>
      <c r="J61" s="29"/>
      <c r="K61" s="26"/>
      <c r="V61" s="29"/>
      <c r="AG61" s="29"/>
    </row>
    <row r="62" spans="1:62" s="24" customFormat="1" x14ac:dyDescent="0.2">
      <c r="B62" s="25"/>
      <c r="E62" s="29"/>
      <c r="J62" s="29"/>
      <c r="V62" s="29"/>
      <c r="AG62" s="29"/>
    </row>
    <row r="63" spans="1:62" s="24" customFormat="1" x14ac:dyDescent="0.2">
      <c r="B63" s="25"/>
      <c r="E63" s="29"/>
      <c r="J63" s="29"/>
      <c r="V63" s="29"/>
      <c r="AG63" s="29"/>
    </row>
    <row r="64" spans="1:62" s="24" customFormat="1" x14ac:dyDescent="0.2">
      <c r="B64" s="25"/>
      <c r="E64" s="29"/>
      <c r="J64" s="29"/>
      <c r="V64" s="29"/>
      <c r="AG64" s="29"/>
    </row>
    <row r="65" spans="2:33" s="24" customFormat="1" x14ac:dyDescent="0.2">
      <c r="B65" s="25"/>
      <c r="E65" s="29"/>
      <c r="J65" s="29"/>
      <c r="V65" s="29"/>
      <c r="AG65" s="29"/>
    </row>
    <row r="66" spans="2:33" s="24" customFormat="1" x14ac:dyDescent="0.2">
      <c r="B66" s="25"/>
      <c r="E66" s="29"/>
      <c r="J66" s="29"/>
      <c r="V66" s="29"/>
      <c r="AG66" s="29"/>
    </row>
    <row r="67" spans="2:33" s="24" customFormat="1" x14ac:dyDescent="0.2">
      <c r="B67" s="25"/>
      <c r="E67" s="29"/>
      <c r="J67" s="29"/>
      <c r="V67" s="29"/>
      <c r="AG67" s="29"/>
    </row>
    <row r="68" spans="2:33" s="24" customFormat="1" x14ac:dyDescent="0.2">
      <c r="B68" s="25"/>
      <c r="E68" s="29"/>
      <c r="J68" s="29"/>
      <c r="V68" s="29"/>
      <c r="AG68" s="29"/>
    </row>
    <row r="69" spans="2:33" s="24" customFormat="1" x14ac:dyDescent="0.2">
      <c r="B69" s="25"/>
      <c r="E69" s="29"/>
      <c r="F69" s="26"/>
      <c r="J69" s="29"/>
      <c r="V69" s="29"/>
      <c r="AG69" s="29"/>
    </row>
    <row r="70" spans="2:33" s="24" customFormat="1" x14ac:dyDescent="0.2">
      <c r="B70" s="25"/>
      <c r="E70" s="29"/>
      <c r="J70" s="29"/>
      <c r="V70" s="29"/>
      <c r="AG70" s="29"/>
    </row>
    <row r="71" spans="2:33" s="24" customFormat="1" x14ac:dyDescent="0.2">
      <c r="B71" s="25"/>
      <c r="E71" s="29"/>
      <c r="J71" s="29"/>
      <c r="V71" s="29"/>
      <c r="AG71" s="29"/>
    </row>
    <row r="72" spans="2:33" s="24" customFormat="1" x14ac:dyDescent="0.2">
      <c r="B72" s="25"/>
      <c r="E72" s="29"/>
      <c r="J72" s="29"/>
      <c r="V72" s="29"/>
      <c r="AG72" s="29"/>
    </row>
    <row r="73" spans="2:33" s="24" customFormat="1" x14ac:dyDescent="0.2">
      <c r="B73" s="25"/>
      <c r="E73" s="29"/>
      <c r="J73" s="29"/>
      <c r="V73" s="29"/>
      <c r="AG73" s="29"/>
    </row>
    <row r="74" spans="2:33" s="24" customFormat="1" x14ac:dyDescent="0.2">
      <c r="B74" s="25"/>
      <c r="E74" s="29"/>
      <c r="J74" s="29"/>
      <c r="V74" s="29"/>
      <c r="AG74" s="29"/>
    </row>
    <row r="75" spans="2:33" s="24" customFormat="1" x14ac:dyDescent="0.2">
      <c r="B75" s="25"/>
      <c r="E75" s="29"/>
      <c r="J75" s="29"/>
      <c r="V75" s="29"/>
      <c r="AG75" s="29"/>
    </row>
    <row r="76" spans="2:33" s="24" customFormat="1" x14ac:dyDescent="0.2">
      <c r="B76" s="25"/>
      <c r="E76" s="29"/>
      <c r="J76" s="29"/>
      <c r="V76" s="29"/>
      <c r="AG76" s="29"/>
    </row>
    <row r="77" spans="2:33" s="24" customFormat="1" x14ac:dyDescent="0.2">
      <c r="B77" s="25"/>
      <c r="E77" s="29"/>
      <c r="J77" s="29"/>
      <c r="V77" s="29"/>
      <c r="AG77" s="29"/>
    </row>
    <row r="78" spans="2:33" s="24" customFormat="1" x14ac:dyDescent="0.2">
      <c r="B78" s="25"/>
      <c r="E78" s="29"/>
      <c r="J78" s="29"/>
      <c r="V78" s="29"/>
      <c r="AG78" s="29"/>
    </row>
    <row r="79" spans="2:33" s="24" customFormat="1" x14ac:dyDescent="0.2">
      <c r="B79" s="25"/>
      <c r="E79" s="29"/>
      <c r="J79" s="29"/>
      <c r="V79" s="29"/>
      <c r="AG79" s="29"/>
    </row>
    <row r="80" spans="2:33" s="24" customFormat="1" x14ac:dyDescent="0.2">
      <c r="B80" s="25"/>
      <c r="E80" s="29"/>
      <c r="J80" s="29"/>
      <c r="V80" s="29"/>
      <c r="AG80" s="29"/>
    </row>
    <row r="81" spans="1:52" s="24" customFormat="1" x14ac:dyDescent="0.2">
      <c r="B81" s="25"/>
      <c r="E81" s="29"/>
      <c r="J81" s="29"/>
      <c r="V81" s="29"/>
      <c r="AG81" s="29"/>
    </row>
    <row r="82" spans="1:52" s="24" customFormat="1" x14ac:dyDescent="0.2">
      <c r="B82" s="25"/>
      <c r="E82" s="29"/>
      <c r="J82" s="29"/>
      <c r="V82" s="29"/>
      <c r="AG82" s="29"/>
    </row>
    <row r="83" spans="1:52" s="24" customFormat="1" x14ac:dyDescent="0.2">
      <c r="B83" s="25"/>
      <c r="E83" s="29"/>
      <c r="J83" s="29"/>
      <c r="V83" s="29"/>
      <c r="AG83" s="29"/>
    </row>
    <row r="84" spans="1:52" s="24" customFormat="1" x14ac:dyDescent="0.2">
      <c r="B84" s="25"/>
      <c r="E84" s="29"/>
      <c r="J84" s="29"/>
      <c r="V84" s="29"/>
      <c r="AG84" s="29"/>
    </row>
    <row r="85" spans="1:52" s="24" customFormat="1" x14ac:dyDescent="0.2">
      <c r="A85" s="25"/>
      <c r="B85" s="25"/>
      <c r="C85" s="25"/>
      <c r="D85" s="25"/>
      <c r="E85" s="30"/>
      <c r="F85" s="25"/>
      <c r="G85" s="25"/>
      <c r="H85" s="25"/>
      <c r="I85" s="25"/>
      <c r="J85" s="30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30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30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</row>
    <row r="86" spans="1:52" s="24" customFormat="1" x14ac:dyDescent="0.2">
      <c r="B86" s="25"/>
      <c r="E86" s="29"/>
      <c r="J86" s="29"/>
      <c r="V86" s="29"/>
      <c r="AG86" s="29"/>
    </row>
    <row r="87" spans="1:52" s="24" customFormat="1" x14ac:dyDescent="0.2">
      <c r="B87" s="25"/>
      <c r="E87" s="29"/>
      <c r="J87" s="29"/>
      <c r="V87" s="29"/>
      <c r="AG87" s="29"/>
    </row>
    <row r="88" spans="1:52" s="24" customFormat="1" x14ac:dyDescent="0.2">
      <c r="B88" s="25"/>
      <c r="E88" s="29"/>
      <c r="J88" s="29"/>
      <c r="V88" s="29"/>
      <c r="AG88" s="29"/>
    </row>
    <row r="89" spans="1:52" s="24" customFormat="1" x14ac:dyDescent="0.2">
      <c r="B89" s="25"/>
      <c r="E89" s="29"/>
      <c r="J89" s="29"/>
      <c r="V89" s="29"/>
      <c r="AG89" s="29"/>
    </row>
    <row r="90" spans="1:52" s="24" customFormat="1" x14ac:dyDescent="0.2">
      <c r="B90" s="25"/>
      <c r="E90" s="29"/>
      <c r="J90" s="29"/>
      <c r="V90" s="29"/>
      <c r="AG90" s="29"/>
    </row>
    <row r="91" spans="1:52" s="24" customFormat="1" x14ac:dyDescent="0.2">
      <c r="B91" s="25"/>
      <c r="E91" s="29"/>
      <c r="J91" s="29"/>
      <c r="V91" s="29"/>
      <c r="AG91" s="29"/>
    </row>
    <row r="92" spans="1:52" s="24" customFormat="1" x14ac:dyDescent="0.2">
      <c r="B92" s="25"/>
      <c r="E92" s="29"/>
      <c r="J92" s="29"/>
      <c r="V92" s="29"/>
      <c r="AG92" s="29"/>
    </row>
    <row r="93" spans="1:52" s="24" customFormat="1" x14ac:dyDescent="0.2">
      <c r="B93" s="25"/>
      <c r="E93" s="29"/>
      <c r="J93" s="29"/>
      <c r="V93" s="29"/>
      <c r="AG93" s="29"/>
    </row>
    <row r="94" spans="1:52" s="24" customFormat="1" x14ac:dyDescent="0.2">
      <c r="B94" s="25"/>
      <c r="E94" s="29"/>
      <c r="J94" s="29"/>
      <c r="V94" s="29"/>
      <c r="AG94" s="29"/>
    </row>
    <row r="95" spans="1:52" s="24" customFormat="1" x14ac:dyDescent="0.2">
      <c r="B95" s="25"/>
      <c r="E95" s="29"/>
      <c r="J95" s="29"/>
      <c r="V95" s="29"/>
      <c r="AG95" s="29"/>
    </row>
    <row r="96" spans="1:52" s="24" customFormat="1" x14ac:dyDescent="0.2">
      <c r="B96" s="25"/>
      <c r="E96" s="29"/>
      <c r="J96" s="29"/>
      <c r="V96" s="29"/>
      <c r="AG96" s="29"/>
    </row>
    <row r="97" spans="1:52" s="24" customFormat="1" x14ac:dyDescent="0.2">
      <c r="B97" s="25"/>
      <c r="E97" s="29"/>
      <c r="J97" s="29"/>
      <c r="V97" s="29"/>
      <c r="AG97" s="29"/>
    </row>
    <row r="98" spans="1:52" s="24" customFormat="1" x14ac:dyDescent="0.2">
      <c r="B98" s="25"/>
      <c r="E98" s="29"/>
      <c r="J98" s="29"/>
      <c r="V98" s="29"/>
      <c r="AG98" s="29"/>
    </row>
    <row r="99" spans="1:52" s="24" customFormat="1" x14ac:dyDescent="0.2">
      <c r="B99" s="25"/>
      <c r="E99" s="29"/>
      <c r="J99" s="29"/>
      <c r="V99" s="29"/>
      <c r="AG99" s="29"/>
    </row>
    <row r="100" spans="1:52" s="24" customFormat="1" x14ac:dyDescent="0.2">
      <c r="B100" s="25"/>
      <c r="E100" s="29"/>
      <c r="J100" s="29"/>
      <c r="V100" s="29"/>
      <c r="AG100" s="29"/>
    </row>
    <row r="101" spans="1:52" s="24" customFormat="1" x14ac:dyDescent="0.2">
      <c r="B101" s="25"/>
      <c r="E101" s="29"/>
      <c r="J101" s="29"/>
      <c r="V101" s="29"/>
      <c r="AG101" s="29"/>
    </row>
    <row r="102" spans="1:52" s="24" customFormat="1" x14ac:dyDescent="0.2">
      <c r="B102" s="25"/>
      <c r="E102" s="29"/>
      <c r="J102" s="29"/>
      <c r="V102" s="29"/>
      <c r="AG102" s="29"/>
    </row>
    <row r="103" spans="1:52" s="24" customFormat="1" x14ac:dyDescent="0.2">
      <c r="B103" s="25"/>
      <c r="E103" s="29"/>
      <c r="J103" s="29"/>
      <c r="V103" s="29"/>
      <c r="AG103" s="29"/>
    </row>
    <row r="104" spans="1:52" s="24" customFormat="1" x14ac:dyDescent="0.2">
      <c r="B104" s="25"/>
      <c r="E104" s="29"/>
      <c r="J104" s="29"/>
      <c r="V104" s="29"/>
      <c r="AG104" s="29"/>
    </row>
    <row r="105" spans="1:52" s="24" customFormat="1" x14ac:dyDescent="0.2">
      <c r="B105" s="25"/>
      <c r="E105" s="29"/>
      <c r="J105" s="29"/>
      <c r="V105" s="29"/>
      <c r="AG105" s="29"/>
    </row>
    <row r="106" spans="1:52" s="24" customFormat="1" x14ac:dyDescent="0.2">
      <c r="B106" s="25"/>
      <c r="E106" s="29"/>
      <c r="J106" s="29"/>
      <c r="V106" s="29"/>
      <c r="AG106" s="29"/>
    </row>
    <row r="107" spans="1:52" s="24" customFormat="1" x14ac:dyDescent="0.2">
      <c r="B107" s="25"/>
      <c r="E107" s="29"/>
      <c r="J107" s="29"/>
      <c r="V107" s="29"/>
      <c r="AG107" s="29"/>
    </row>
    <row r="108" spans="1:52" s="24" customFormat="1" x14ac:dyDescent="0.2">
      <c r="B108" s="25"/>
      <c r="E108" s="29"/>
      <c r="J108" s="29"/>
      <c r="V108" s="29"/>
      <c r="AG108" s="29"/>
    </row>
    <row r="109" spans="1:52" s="24" customFormat="1" x14ac:dyDescent="0.2">
      <c r="B109" s="25"/>
      <c r="E109" s="29"/>
      <c r="J109" s="29"/>
      <c r="V109" s="29"/>
      <c r="AG109" s="29"/>
    </row>
    <row r="110" spans="1:52" s="24" customFormat="1" x14ac:dyDescent="0.2">
      <c r="B110" s="25"/>
      <c r="E110" s="29"/>
      <c r="J110" s="29"/>
      <c r="V110" s="29"/>
      <c r="AG110" s="29"/>
    </row>
    <row r="111" spans="1:52" x14ac:dyDescent="0.2">
      <c r="A111" s="18"/>
      <c r="C111" s="18"/>
      <c r="D111" s="18"/>
      <c r="F111" s="18"/>
      <c r="G111" s="18"/>
      <c r="H111" s="18"/>
      <c r="I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enableFormatConditionsCalculation="0"/>
  <dimension ref="A1:CF74"/>
  <sheetViews>
    <sheetView zoomScale="80" zoomScaleNormal="80" zoomScalePageLayoutView="80" workbookViewId="0">
      <pane xSplit="1" topLeftCell="B1" activePane="topRight" state="frozen"/>
      <selection pane="topRight" activeCell="B2" sqref="B2"/>
    </sheetView>
  </sheetViews>
  <sheetFormatPr baseColWidth="10" defaultColWidth="11.5" defaultRowHeight="15" x14ac:dyDescent="0.2"/>
  <cols>
    <col min="1" max="1" width="13" style="42" customWidth="1"/>
    <col min="2" max="7" width="11.5" style="42" customWidth="1"/>
    <col min="8" max="249" width="11.5" style="18"/>
    <col min="250" max="250" width="12" style="18" customWidth="1"/>
    <col min="251" max="251" width="12.5" style="18" customWidth="1"/>
    <col min="252" max="252" width="13" style="18" customWidth="1"/>
    <col min="253" max="258" width="11.5" style="18" customWidth="1"/>
    <col min="259" max="505" width="11.5" style="18"/>
    <col min="506" max="506" width="12" style="18" customWidth="1"/>
    <col min="507" max="507" width="12.5" style="18" customWidth="1"/>
    <col min="508" max="508" width="13" style="18" customWidth="1"/>
    <col min="509" max="514" width="11.5" style="18" customWidth="1"/>
    <col min="515" max="761" width="11.5" style="18"/>
    <col min="762" max="762" width="12" style="18" customWidth="1"/>
    <col min="763" max="763" width="12.5" style="18" customWidth="1"/>
    <col min="764" max="764" width="13" style="18" customWidth="1"/>
    <col min="765" max="770" width="11.5" style="18" customWidth="1"/>
    <col min="771" max="1017" width="11.5" style="18"/>
    <col min="1018" max="1018" width="12" style="18" customWidth="1"/>
    <col min="1019" max="1019" width="12.5" style="18" customWidth="1"/>
    <col min="1020" max="1020" width="13" style="18" customWidth="1"/>
    <col min="1021" max="1026" width="11.5" style="18" customWidth="1"/>
    <col min="1027" max="1273" width="11.5" style="18"/>
    <col min="1274" max="1274" width="12" style="18" customWidth="1"/>
    <col min="1275" max="1275" width="12.5" style="18" customWidth="1"/>
    <col min="1276" max="1276" width="13" style="18" customWidth="1"/>
    <col min="1277" max="1282" width="11.5" style="18" customWidth="1"/>
    <col min="1283" max="1529" width="11.5" style="18"/>
    <col min="1530" max="1530" width="12" style="18" customWidth="1"/>
    <col min="1531" max="1531" width="12.5" style="18" customWidth="1"/>
    <col min="1532" max="1532" width="13" style="18" customWidth="1"/>
    <col min="1533" max="1538" width="11.5" style="18" customWidth="1"/>
    <col min="1539" max="1785" width="11.5" style="18"/>
    <col min="1786" max="1786" width="12" style="18" customWidth="1"/>
    <col min="1787" max="1787" width="12.5" style="18" customWidth="1"/>
    <col min="1788" max="1788" width="13" style="18" customWidth="1"/>
    <col min="1789" max="1794" width="11.5" style="18" customWidth="1"/>
    <col min="1795" max="2041" width="11.5" style="18"/>
    <col min="2042" max="2042" width="12" style="18" customWidth="1"/>
    <col min="2043" max="2043" width="12.5" style="18" customWidth="1"/>
    <col min="2044" max="2044" width="13" style="18" customWidth="1"/>
    <col min="2045" max="2050" width="11.5" style="18" customWidth="1"/>
    <col min="2051" max="2297" width="11.5" style="18"/>
    <col min="2298" max="2298" width="12" style="18" customWidth="1"/>
    <col min="2299" max="2299" width="12.5" style="18" customWidth="1"/>
    <col min="2300" max="2300" width="13" style="18" customWidth="1"/>
    <col min="2301" max="2306" width="11.5" style="18" customWidth="1"/>
    <col min="2307" max="2553" width="11.5" style="18"/>
    <col min="2554" max="2554" width="12" style="18" customWidth="1"/>
    <col min="2555" max="2555" width="12.5" style="18" customWidth="1"/>
    <col min="2556" max="2556" width="13" style="18" customWidth="1"/>
    <col min="2557" max="2562" width="11.5" style="18" customWidth="1"/>
    <col min="2563" max="2809" width="11.5" style="18"/>
    <col min="2810" max="2810" width="12" style="18" customWidth="1"/>
    <col min="2811" max="2811" width="12.5" style="18" customWidth="1"/>
    <col min="2812" max="2812" width="13" style="18" customWidth="1"/>
    <col min="2813" max="2818" width="11.5" style="18" customWidth="1"/>
    <col min="2819" max="3065" width="11.5" style="18"/>
    <col min="3066" max="3066" width="12" style="18" customWidth="1"/>
    <col min="3067" max="3067" width="12.5" style="18" customWidth="1"/>
    <col min="3068" max="3068" width="13" style="18" customWidth="1"/>
    <col min="3069" max="3074" width="11.5" style="18" customWidth="1"/>
    <col min="3075" max="3321" width="11.5" style="18"/>
    <col min="3322" max="3322" width="12" style="18" customWidth="1"/>
    <col min="3323" max="3323" width="12.5" style="18" customWidth="1"/>
    <col min="3324" max="3324" width="13" style="18" customWidth="1"/>
    <col min="3325" max="3330" width="11.5" style="18" customWidth="1"/>
    <col min="3331" max="3577" width="11.5" style="18"/>
    <col min="3578" max="3578" width="12" style="18" customWidth="1"/>
    <col min="3579" max="3579" width="12.5" style="18" customWidth="1"/>
    <col min="3580" max="3580" width="13" style="18" customWidth="1"/>
    <col min="3581" max="3586" width="11.5" style="18" customWidth="1"/>
    <col min="3587" max="3833" width="11.5" style="18"/>
    <col min="3834" max="3834" width="12" style="18" customWidth="1"/>
    <col min="3835" max="3835" width="12.5" style="18" customWidth="1"/>
    <col min="3836" max="3836" width="13" style="18" customWidth="1"/>
    <col min="3837" max="3842" width="11.5" style="18" customWidth="1"/>
    <col min="3843" max="4089" width="11.5" style="18"/>
    <col min="4090" max="4090" width="12" style="18" customWidth="1"/>
    <col min="4091" max="4091" width="12.5" style="18" customWidth="1"/>
    <col min="4092" max="4092" width="13" style="18" customWidth="1"/>
    <col min="4093" max="4098" width="11.5" style="18" customWidth="1"/>
    <col min="4099" max="4345" width="11.5" style="18"/>
    <col min="4346" max="4346" width="12" style="18" customWidth="1"/>
    <col min="4347" max="4347" width="12.5" style="18" customWidth="1"/>
    <col min="4348" max="4348" width="13" style="18" customWidth="1"/>
    <col min="4349" max="4354" width="11.5" style="18" customWidth="1"/>
    <col min="4355" max="4601" width="11.5" style="18"/>
    <col min="4602" max="4602" width="12" style="18" customWidth="1"/>
    <col min="4603" max="4603" width="12.5" style="18" customWidth="1"/>
    <col min="4604" max="4604" width="13" style="18" customWidth="1"/>
    <col min="4605" max="4610" width="11.5" style="18" customWidth="1"/>
    <col min="4611" max="4857" width="11.5" style="18"/>
    <col min="4858" max="4858" width="12" style="18" customWidth="1"/>
    <col min="4859" max="4859" width="12.5" style="18" customWidth="1"/>
    <col min="4860" max="4860" width="13" style="18" customWidth="1"/>
    <col min="4861" max="4866" width="11.5" style="18" customWidth="1"/>
    <col min="4867" max="5113" width="11.5" style="18"/>
    <col min="5114" max="5114" width="12" style="18" customWidth="1"/>
    <col min="5115" max="5115" width="12.5" style="18" customWidth="1"/>
    <col min="5116" max="5116" width="13" style="18" customWidth="1"/>
    <col min="5117" max="5122" width="11.5" style="18" customWidth="1"/>
    <col min="5123" max="5369" width="11.5" style="18"/>
    <col min="5370" max="5370" width="12" style="18" customWidth="1"/>
    <col min="5371" max="5371" width="12.5" style="18" customWidth="1"/>
    <col min="5372" max="5372" width="13" style="18" customWidth="1"/>
    <col min="5373" max="5378" width="11.5" style="18" customWidth="1"/>
    <col min="5379" max="5625" width="11.5" style="18"/>
    <col min="5626" max="5626" width="12" style="18" customWidth="1"/>
    <col min="5627" max="5627" width="12.5" style="18" customWidth="1"/>
    <col min="5628" max="5628" width="13" style="18" customWidth="1"/>
    <col min="5629" max="5634" width="11.5" style="18" customWidth="1"/>
    <col min="5635" max="5881" width="11.5" style="18"/>
    <col min="5882" max="5882" width="12" style="18" customWidth="1"/>
    <col min="5883" max="5883" width="12.5" style="18" customWidth="1"/>
    <col min="5884" max="5884" width="13" style="18" customWidth="1"/>
    <col min="5885" max="5890" width="11.5" style="18" customWidth="1"/>
    <col min="5891" max="6137" width="11.5" style="18"/>
    <col min="6138" max="6138" width="12" style="18" customWidth="1"/>
    <col min="6139" max="6139" width="12.5" style="18" customWidth="1"/>
    <col min="6140" max="6140" width="13" style="18" customWidth="1"/>
    <col min="6141" max="6146" width="11.5" style="18" customWidth="1"/>
    <col min="6147" max="6393" width="11.5" style="18"/>
    <col min="6394" max="6394" width="12" style="18" customWidth="1"/>
    <col min="6395" max="6395" width="12.5" style="18" customWidth="1"/>
    <col min="6396" max="6396" width="13" style="18" customWidth="1"/>
    <col min="6397" max="6402" width="11.5" style="18" customWidth="1"/>
    <col min="6403" max="6649" width="11.5" style="18"/>
    <col min="6650" max="6650" width="12" style="18" customWidth="1"/>
    <col min="6651" max="6651" width="12.5" style="18" customWidth="1"/>
    <col min="6652" max="6652" width="13" style="18" customWidth="1"/>
    <col min="6653" max="6658" width="11.5" style="18" customWidth="1"/>
    <col min="6659" max="6905" width="11.5" style="18"/>
    <col min="6906" max="6906" width="12" style="18" customWidth="1"/>
    <col min="6907" max="6907" width="12.5" style="18" customWidth="1"/>
    <col min="6908" max="6908" width="13" style="18" customWidth="1"/>
    <col min="6909" max="6914" width="11.5" style="18" customWidth="1"/>
    <col min="6915" max="7161" width="11.5" style="18"/>
    <col min="7162" max="7162" width="12" style="18" customWidth="1"/>
    <col min="7163" max="7163" width="12.5" style="18" customWidth="1"/>
    <col min="7164" max="7164" width="13" style="18" customWidth="1"/>
    <col min="7165" max="7170" width="11.5" style="18" customWidth="1"/>
    <col min="7171" max="7417" width="11.5" style="18"/>
    <col min="7418" max="7418" width="12" style="18" customWidth="1"/>
    <col min="7419" max="7419" width="12.5" style="18" customWidth="1"/>
    <col min="7420" max="7420" width="13" style="18" customWidth="1"/>
    <col min="7421" max="7426" width="11.5" style="18" customWidth="1"/>
    <col min="7427" max="7673" width="11.5" style="18"/>
    <col min="7674" max="7674" width="12" style="18" customWidth="1"/>
    <col min="7675" max="7675" width="12.5" style="18" customWidth="1"/>
    <col min="7676" max="7676" width="13" style="18" customWidth="1"/>
    <col min="7677" max="7682" width="11.5" style="18" customWidth="1"/>
    <col min="7683" max="7929" width="11.5" style="18"/>
    <col min="7930" max="7930" width="12" style="18" customWidth="1"/>
    <col min="7931" max="7931" width="12.5" style="18" customWidth="1"/>
    <col min="7932" max="7932" width="13" style="18" customWidth="1"/>
    <col min="7933" max="7938" width="11.5" style="18" customWidth="1"/>
    <col min="7939" max="8185" width="11.5" style="18"/>
    <col min="8186" max="8186" width="12" style="18" customWidth="1"/>
    <col min="8187" max="8187" width="12.5" style="18" customWidth="1"/>
    <col min="8188" max="8188" width="13" style="18" customWidth="1"/>
    <col min="8189" max="8194" width="11.5" style="18" customWidth="1"/>
    <col min="8195" max="8441" width="11.5" style="18"/>
    <col min="8442" max="8442" width="12" style="18" customWidth="1"/>
    <col min="8443" max="8443" width="12.5" style="18" customWidth="1"/>
    <col min="8444" max="8444" width="13" style="18" customWidth="1"/>
    <col min="8445" max="8450" width="11.5" style="18" customWidth="1"/>
    <col min="8451" max="8697" width="11.5" style="18"/>
    <col min="8698" max="8698" width="12" style="18" customWidth="1"/>
    <col min="8699" max="8699" width="12.5" style="18" customWidth="1"/>
    <col min="8700" max="8700" width="13" style="18" customWidth="1"/>
    <col min="8701" max="8706" width="11.5" style="18" customWidth="1"/>
    <col min="8707" max="8953" width="11.5" style="18"/>
    <col min="8954" max="8954" width="12" style="18" customWidth="1"/>
    <col min="8955" max="8955" width="12.5" style="18" customWidth="1"/>
    <col min="8956" max="8956" width="13" style="18" customWidth="1"/>
    <col min="8957" max="8962" width="11.5" style="18" customWidth="1"/>
    <col min="8963" max="9209" width="11.5" style="18"/>
    <col min="9210" max="9210" width="12" style="18" customWidth="1"/>
    <col min="9211" max="9211" width="12.5" style="18" customWidth="1"/>
    <col min="9212" max="9212" width="13" style="18" customWidth="1"/>
    <col min="9213" max="9218" width="11.5" style="18" customWidth="1"/>
    <col min="9219" max="9465" width="11.5" style="18"/>
    <col min="9466" max="9466" width="12" style="18" customWidth="1"/>
    <col min="9467" max="9467" width="12.5" style="18" customWidth="1"/>
    <col min="9468" max="9468" width="13" style="18" customWidth="1"/>
    <col min="9469" max="9474" width="11.5" style="18" customWidth="1"/>
    <col min="9475" max="9721" width="11.5" style="18"/>
    <col min="9722" max="9722" width="12" style="18" customWidth="1"/>
    <col min="9723" max="9723" width="12.5" style="18" customWidth="1"/>
    <col min="9724" max="9724" width="13" style="18" customWidth="1"/>
    <col min="9725" max="9730" width="11.5" style="18" customWidth="1"/>
    <col min="9731" max="9977" width="11.5" style="18"/>
    <col min="9978" max="9978" width="12" style="18" customWidth="1"/>
    <col min="9979" max="9979" width="12.5" style="18" customWidth="1"/>
    <col min="9980" max="9980" width="13" style="18" customWidth="1"/>
    <col min="9981" max="9986" width="11.5" style="18" customWidth="1"/>
    <col min="9987" max="10233" width="11.5" style="18"/>
    <col min="10234" max="10234" width="12" style="18" customWidth="1"/>
    <col min="10235" max="10235" width="12.5" style="18" customWidth="1"/>
    <col min="10236" max="10236" width="13" style="18" customWidth="1"/>
    <col min="10237" max="10242" width="11.5" style="18" customWidth="1"/>
    <col min="10243" max="10489" width="11.5" style="18"/>
    <col min="10490" max="10490" width="12" style="18" customWidth="1"/>
    <col min="10491" max="10491" width="12.5" style="18" customWidth="1"/>
    <col min="10492" max="10492" width="13" style="18" customWidth="1"/>
    <col min="10493" max="10498" width="11.5" style="18" customWidth="1"/>
    <col min="10499" max="10745" width="11.5" style="18"/>
    <col min="10746" max="10746" width="12" style="18" customWidth="1"/>
    <col min="10747" max="10747" width="12.5" style="18" customWidth="1"/>
    <col min="10748" max="10748" width="13" style="18" customWidth="1"/>
    <col min="10749" max="10754" width="11.5" style="18" customWidth="1"/>
    <col min="10755" max="11001" width="11.5" style="18"/>
    <col min="11002" max="11002" width="12" style="18" customWidth="1"/>
    <col min="11003" max="11003" width="12.5" style="18" customWidth="1"/>
    <col min="11004" max="11004" width="13" style="18" customWidth="1"/>
    <col min="11005" max="11010" width="11.5" style="18" customWidth="1"/>
    <col min="11011" max="11257" width="11.5" style="18"/>
    <col min="11258" max="11258" width="12" style="18" customWidth="1"/>
    <col min="11259" max="11259" width="12.5" style="18" customWidth="1"/>
    <col min="11260" max="11260" width="13" style="18" customWidth="1"/>
    <col min="11261" max="11266" width="11.5" style="18" customWidth="1"/>
    <col min="11267" max="11513" width="11.5" style="18"/>
    <col min="11514" max="11514" width="12" style="18" customWidth="1"/>
    <col min="11515" max="11515" width="12.5" style="18" customWidth="1"/>
    <col min="11516" max="11516" width="13" style="18" customWidth="1"/>
    <col min="11517" max="11522" width="11.5" style="18" customWidth="1"/>
    <col min="11523" max="11769" width="11.5" style="18"/>
    <col min="11770" max="11770" width="12" style="18" customWidth="1"/>
    <col min="11771" max="11771" width="12.5" style="18" customWidth="1"/>
    <col min="11772" max="11772" width="13" style="18" customWidth="1"/>
    <col min="11773" max="11778" width="11.5" style="18" customWidth="1"/>
    <col min="11779" max="12025" width="11.5" style="18"/>
    <col min="12026" max="12026" width="12" style="18" customWidth="1"/>
    <col min="12027" max="12027" width="12.5" style="18" customWidth="1"/>
    <col min="12028" max="12028" width="13" style="18" customWidth="1"/>
    <col min="12029" max="12034" width="11.5" style="18" customWidth="1"/>
    <col min="12035" max="12281" width="11.5" style="18"/>
    <col min="12282" max="12282" width="12" style="18" customWidth="1"/>
    <col min="12283" max="12283" width="12.5" style="18" customWidth="1"/>
    <col min="12284" max="12284" width="13" style="18" customWidth="1"/>
    <col min="12285" max="12290" width="11.5" style="18" customWidth="1"/>
    <col min="12291" max="12537" width="11.5" style="18"/>
    <col min="12538" max="12538" width="12" style="18" customWidth="1"/>
    <col min="12539" max="12539" width="12.5" style="18" customWidth="1"/>
    <col min="12540" max="12540" width="13" style="18" customWidth="1"/>
    <col min="12541" max="12546" width="11.5" style="18" customWidth="1"/>
    <col min="12547" max="12793" width="11.5" style="18"/>
    <col min="12794" max="12794" width="12" style="18" customWidth="1"/>
    <col min="12795" max="12795" width="12.5" style="18" customWidth="1"/>
    <col min="12796" max="12796" width="13" style="18" customWidth="1"/>
    <col min="12797" max="12802" width="11.5" style="18" customWidth="1"/>
    <col min="12803" max="13049" width="11.5" style="18"/>
    <col min="13050" max="13050" width="12" style="18" customWidth="1"/>
    <col min="13051" max="13051" width="12.5" style="18" customWidth="1"/>
    <col min="13052" max="13052" width="13" style="18" customWidth="1"/>
    <col min="13053" max="13058" width="11.5" style="18" customWidth="1"/>
    <col min="13059" max="13305" width="11.5" style="18"/>
    <col min="13306" max="13306" width="12" style="18" customWidth="1"/>
    <col min="13307" max="13307" width="12.5" style="18" customWidth="1"/>
    <col min="13308" max="13308" width="13" style="18" customWidth="1"/>
    <col min="13309" max="13314" width="11.5" style="18" customWidth="1"/>
    <col min="13315" max="13561" width="11.5" style="18"/>
    <col min="13562" max="13562" width="12" style="18" customWidth="1"/>
    <col min="13563" max="13563" width="12.5" style="18" customWidth="1"/>
    <col min="13564" max="13564" width="13" style="18" customWidth="1"/>
    <col min="13565" max="13570" width="11.5" style="18" customWidth="1"/>
    <col min="13571" max="13817" width="11.5" style="18"/>
    <col min="13818" max="13818" width="12" style="18" customWidth="1"/>
    <col min="13819" max="13819" width="12.5" style="18" customWidth="1"/>
    <col min="13820" max="13820" width="13" style="18" customWidth="1"/>
    <col min="13821" max="13826" width="11.5" style="18" customWidth="1"/>
    <col min="13827" max="14073" width="11.5" style="18"/>
    <col min="14074" max="14074" width="12" style="18" customWidth="1"/>
    <col min="14075" max="14075" width="12.5" style="18" customWidth="1"/>
    <col min="14076" max="14076" width="13" style="18" customWidth="1"/>
    <col min="14077" max="14082" width="11.5" style="18" customWidth="1"/>
    <col min="14083" max="14329" width="11.5" style="18"/>
    <col min="14330" max="14330" width="12" style="18" customWidth="1"/>
    <col min="14331" max="14331" width="12.5" style="18" customWidth="1"/>
    <col min="14332" max="14332" width="13" style="18" customWidth="1"/>
    <col min="14333" max="14338" width="11.5" style="18" customWidth="1"/>
    <col min="14339" max="14585" width="11.5" style="18"/>
    <col min="14586" max="14586" width="12" style="18" customWidth="1"/>
    <col min="14587" max="14587" width="12.5" style="18" customWidth="1"/>
    <col min="14588" max="14588" width="13" style="18" customWidth="1"/>
    <col min="14589" max="14594" width="11.5" style="18" customWidth="1"/>
    <col min="14595" max="14841" width="11.5" style="18"/>
    <col min="14842" max="14842" width="12" style="18" customWidth="1"/>
    <col min="14843" max="14843" width="12.5" style="18" customWidth="1"/>
    <col min="14844" max="14844" width="13" style="18" customWidth="1"/>
    <col min="14845" max="14850" width="11.5" style="18" customWidth="1"/>
    <col min="14851" max="15097" width="11.5" style="18"/>
    <col min="15098" max="15098" width="12" style="18" customWidth="1"/>
    <col min="15099" max="15099" width="12.5" style="18" customWidth="1"/>
    <col min="15100" max="15100" width="13" style="18" customWidth="1"/>
    <col min="15101" max="15106" width="11.5" style="18" customWidth="1"/>
    <col min="15107" max="15353" width="11.5" style="18"/>
    <col min="15354" max="15354" width="12" style="18" customWidth="1"/>
    <col min="15355" max="15355" width="12.5" style="18" customWidth="1"/>
    <col min="15356" max="15356" width="13" style="18" customWidth="1"/>
    <col min="15357" max="15362" width="11.5" style="18" customWidth="1"/>
    <col min="15363" max="15609" width="11.5" style="18"/>
    <col min="15610" max="15610" width="12" style="18" customWidth="1"/>
    <col min="15611" max="15611" width="12.5" style="18" customWidth="1"/>
    <col min="15612" max="15612" width="13" style="18" customWidth="1"/>
    <col min="15613" max="15618" width="11.5" style="18" customWidth="1"/>
    <col min="15619" max="15865" width="11.5" style="18"/>
    <col min="15866" max="15866" width="12" style="18" customWidth="1"/>
    <col min="15867" max="15867" width="12.5" style="18" customWidth="1"/>
    <col min="15868" max="15868" width="13" style="18" customWidth="1"/>
    <col min="15869" max="15874" width="11.5" style="18" customWidth="1"/>
    <col min="15875" max="16121" width="11.5" style="18"/>
    <col min="16122" max="16122" width="12" style="18" customWidth="1"/>
    <col min="16123" max="16123" width="12.5" style="18" customWidth="1"/>
    <col min="16124" max="16124" width="13" style="18" customWidth="1"/>
    <col min="16125" max="16130" width="11.5" style="18" customWidth="1"/>
    <col min="16131" max="16384" width="11.5" style="18"/>
  </cols>
  <sheetData>
    <row r="1" spans="1:84" ht="16" thickBot="1" x14ac:dyDescent="0.25">
      <c r="A1" s="60" t="s">
        <v>55</v>
      </c>
      <c r="B1" s="44" t="s">
        <v>236</v>
      </c>
      <c r="C1" s="45" t="s">
        <v>237</v>
      </c>
      <c r="D1" s="46" t="s">
        <v>234</v>
      </c>
      <c r="E1" s="47" t="s">
        <v>233</v>
      </c>
      <c r="F1" s="48" t="s">
        <v>235</v>
      </c>
      <c r="G1" s="43" t="s">
        <v>240</v>
      </c>
      <c r="H1" s="4" t="s">
        <v>232</v>
      </c>
      <c r="I1" s="44" t="s">
        <v>218</v>
      </c>
      <c r="J1" s="45" t="s">
        <v>219</v>
      </c>
      <c r="K1" s="46" t="s">
        <v>220</v>
      </c>
      <c r="L1" s="47" t="s">
        <v>221</v>
      </c>
      <c r="M1" s="48" t="s">
        <v>222</v>
      </c>
      <c r="N1" s="43" t="s">
        <v>223</v>
      </c>
      <c r="AU1" s="24" t="s">
        <v>295</v>
      </c>
      <c r="AV1" s="18" t="s">
        <v>307</v>
      </c>
      <c r="AX1" s="18" t="s">
        <v>303</v>
      </c>
      <c r="AY1" s="18" t="s">
        <v>304</v>
      </c>
      <c r="AZ1" s="18" t="s">
        <v>312</v>
      </c>
      <c r="BA1" s="24" t="s">
        <v>305</v>
      </c>
      <c r="BB1" s="18" t="s">
        <v>306</v>
      </c>
      <c r="BD1" s="67" t="s">
        <v>314</v>
      </c>
      <c r="BE1" s="6" t="s">
        <v>314</v>
      </c>
      <c r="BF1" s="6" t="s">
        <v>314</v>
      </c>
      <c r="BG1" s="6" t="s">
        <v>314</v>
      </c>
      <c r="BH1" s="6" t="s">
        <v>314</v>
      </c>
      <c r="BI1" s="6" t="s">
        <v>314</v>
      </c>
      <c r="BJ1" s="6" t="s">
        <v>314</v>
      </c>
      <c r="BK1" s="6" t="s">
        <v>314</v>
      </c>
      <c r="BL1" s="6" t="s">
        <v>314</v>
      </c>
      <c r="BM1" s="7" t="s">
        <v>314</v>
      </c>
      <c r="BN1" s="4" t="s">
        <v>314</v>
      </c>
      <c r="BP1" s="18" t="s">
        <v>276</v>
      </c>
      <c r="BQ1" s="18" t="s">
        <v>322</v>
      </c>
      <c r="BR1" s="18" t="s">
        <v>323</v>
      </c>
      <c r="BS1" s="24" t="s">
        <v>324</v>
      </c>
      <c r="BT1" s="24" t="s">
        <v>325</v>
      </c>
      <c r="BU1" s="24" t="s">
        <v>326</v>
      </c>
      <c r="BV1" s="24" t="s">
        <v>327</v>
      </c>
      <c r="BW1" s="24" t="s">
        <v>335</v>
      </c>
      <c r="BX1" s="24" t="s">
        <v>328</v>
      </c>
      <c r="BY1" s="24" t="s">
        <v>329</v>
      </c>
      <c r="BZ1" s="24" t="s">
        <v>313</v>
      </c>
      <c r="CA1" s="18" t="s">
        <v>330</v>
      </c>
      <c r="CB1" s="18" t="s">
        <v>331</v>
      </c>
      <c r="CC1" s="18" t="s">
        <v>332</v>
      </c>
      <c r="CD1" s="18" t="s">
        <v>333</v>
      </c>
      <c r="CE1" s="18" t="s">
        <v>334</v>
      </c>
      <c r="CF1" s="18" t="s">
        <v>336</v>
      </c>
    </row>
    <row r="2" spans="1:84" x14ac:dyDescent="0.2">
      <c r="A2" s="41" t="s">
        <v>0</v>
      </c>
      <c r="B2" s="58">
        <v>331.00000042476597</v>
      </c>
      <c r="C2" s="58">
        <v>15.000000596</v>
      </c>
      <c r="D2" s="58">
        <v>690.00000506641993</v>
      </c>
      <c r="E2" s="58">
        <v>66.000000946248008</v>
      </c>
      <c r="F2" s="58">
        <v>61.999999172978001</v>
      </c>
      <c r="G2" s="58">
        <v>1036.000006087186</v>
      </c>
      <c r="H2" s="49" t="s">
        <v>224</v>
      </c>
      <c r="I2" s="58">
        <v>13.999999687072004</v>
      </c>
      <c r="J2" s="59">
        <v>11.999999731776002</v>
      </c>
      <c r="K2" s="59">
        <v>9.999999776480001</v>
      </c>
      <c r="L2" s="59">
        <v>13.999999687074004</v>
      </c>
      <c r="M2" s="59">
        <v>42.99999997017801</v>
      </c>
      <c r="N2" s="58">
        <v>35.999999195328009</v>
      </c>
      <c r="AU2" s="18">
        <v>2.7467214999999996</v>
      </c>
      <c r="AV2" s="18">
        <v>-3.1136297368421002E-2</v>
      </c>
      <c r="AW2" s="24">
        <v>1</v>
      </c>
      <c r="AX2" s="18">
        <v>10.507674</v>
      </c>
      <c r="AY2" s="18">
        <v>10.161918</v>
      </c>
      <c r="AZ2" s="18">
        <f>AVERAGE(AX2:AY2)</f>
        <v>10.334796000000001</v>
      </c>
      <c r="BA2" s="18">
        <v>11</v>
      </c>
      <c r="BB2" s="18">
        <v>11</v>
      </c>
      <c r="BD2" s="68"/>
      <c r="BE2" s="5" t="s">
        <v>315</v>
      </c>
      <c r="BF2" s="5" t="s">
        <v>313</v>
      </c>
      <c r="BG2" s="5" t="s">
        <v>316</v>
      </c>
      <c r="BH2" s="5" t="s">
        <v>318</v>
      </c>
      <c r="BI2" s="24" t="s">
        <v>321</v>
      </c>
      <c r="BJ2" s="5"/>
      <c r="BK2" s="5"/>
      <c r="BL2" s="80" t="s">
        <v>317</v>
      </c>
      <c r="BM2" s="80" t="s">
        <v>319</v>
      </c>
      <c r="BN2" s="3" t="s">
        <v>320</v>
      </c>
      <c r="BP2" s="18" t="s">
        <v>277</v>
      </c>
      <c r="BQ2" s="18">
        <v>9.368487</v>
      </c>
      <c r="BR2" s="18">
        <v>10.791903</v>
      </c>
      <c r="BS2" s="18">
        <f>AVERAGE(BQ2:BR2)</f>
        <v>10.080195</v>
      </c>
      <c r="BT2" s="18">
        <v>17.486696999999999</v>
      </c>
      <c r="BU2" s="18">
        <v>16.055759999999999</v>
      </c>
      <c r="BV2" s="18">
        <f>AVERAGE(BT2:BU2)</f>
        <v>16.771228499999999</v>
      </c>
      <c r="BW2" s="18">
        <f>BV2-BS2</f>
        <v>6.6910334999999996</v>
      </c>
      <c r="BX2" s="5">
        <v>0.33000001311299998</v>
      </c>
      <c r="BY2" s="5">
        <v>0.68999999761599995</v>
      </c>
      <c r="BZ2" s="85">
        <v>11</v>
      </c>
      <c r="CA2" s="18">
        <v>16</v>
      </c>
      <c r="CB2" s="18">
        <v>10.5</v>
      </c>
      <c r="CC2" s="18">
        <v>3</v>
      </c>
      <c r="CD2" s="18">
        <v>10</v>
      </c>
      <c r="CE2" s="18">
        <v>0</v>
      </c>
      <c r="CF2" s="18">
        <v>5.7165800000000003E-2</v>
      </c>
    </row>
    <row r="3" spans="1:84" x14ac:dyDescent="0.2">
      <c r="A3" s="41" t="s">
        <v>1</v>
      </c>
      <c r="B3" s="58">
        <v>1269</v>
      </c>
      <c r="C3" s="58">
        <v>296</v>
      </c>
      <c r="D3" s="58">
        <v>951</v>
      </c>
      <c r="E3" s="58">
        <v>325</v>
      </c>
      <c r="F3" s="58">
        <v>220</v>
      </c>
      <c r="G3" s="58">
        <v>2516</v>
      </c>
      <c r="H3" s="51"/>
      <c r="I3" s="58">
        <v>0</v>
      </c>
      <c r="J3" s="59">
        <v>0</v>
      </c>
      <c r="K3" s="59">
        <v>0</v>
      </c>
      <c r="L3" s="59">
        <v>0</v>
      </c>
      <c r="M3" s="59">
        <v>0</v>
      </c>
      <c r="N3" s="58">
        <v>0</v>
      </c>
      <c r="AU3" s="18">
        <v>6.9953005000000026</v>
      </c>
      <c r="AV3" s="18">
        <v>2.0308752631578979E-2</v>
      </c>
      <c r="AW3" s="24">
        <v>2</v>
      </c>
      <c r="AX3" s="18">
        <v>10.914756000000001</v>
      </c>
      <c r="AY3" s="18">
        <v>11.461981</v>
      </c>
      <c r="AZ3" s="18">
        <f t="shared" ref="AZ3:AZ21" si="0">AVERAGE(AX3:AY3)</f>
        <v>11.188368499999999</v>
      </c>
      <c r="BA3" s="18">
        <v>12</v>
      </c>
      <c r="BB3" s="18">
        <v>11</v>
      </c>
      <c r="BD3" s="68">
        <v>1</v>
      </c>
      <c r="BE3" s="5">
        <v>-3.1136297368421002E-2</v>
      </c>
      <c r="BF3" s="88">
        <v>11</v>
      </c>
      <c r="BG3" s="18">
        <v>10.334796000000001</v>
      </c>
      <c r="BH3" s="87">
        <v>5.7165800000000003E-2</v>
      </c>
      <c r="BI3" s="5">
        <v>13.0815175</v>
      </c>
      <c r="BJ3" s="5"/>
      <c r="BK3" s="5"/>
      <c r="BL3" s="80">
        <v>-5.2565997368421005E-2</v>
      </c>
      <c r="BM3" s="89">
        <v>3.5736100000000007E-2</v>
      </c>
      <c r="BN3" s="3">
        <v>2.7467214999999996</v>
      </c>
      <c r="BP3" s="18" t="s">
        <v>278</v>
      </c>
      <c r="BQ3" s="18">
        <v>17.028009000000001</v>
      </c>
      <c r="BR3" s="18">
        <v>19.038983000000002</v>
      </c>
      <c r="BS3" s="18">
        <f t="shared" ref="BS3:BS19" si="1">AVERAGE(BQ3:BR3)</f>
        <v>18.033496</v>
      </c>
      <c r="BT3" s="18">
        <v>56.692808999999997</v>
      </c>
      <c r="BU3" s="18">
        <v>29.880866000000001</v>
      </c>
      <c r="BV3" s="18">
        <f t="shared" ref="BV3:BV19" si="2">AVERAGE(BT3:BU3)</f>
        <v>43.286837499999997</v>
      </c>
      <c r="BW3" s="18">
        <f t="shared" ref="BW3:BW19" si="3">BV3-BS3</f>
        <v>25.253341499999998</v>
      </c>
      <c r="BX3" s="5">
        <v>0.9</v>
      </c>
      <c r="BY3" s="5">
        <v>0.71</v>
      </c>
      <c r="BZ3" s="85">
        <v>11.5</v>
      </c>
      <c r="CA3" s="18">
        <v>10</v>
      </c>
      <c r="CB3" s="18">
        <v>6.5</v>
      </c>
      <c r="CC3" s="18">
        <v>13</v>
      </c>
      <c r="CD3" s="18">
        <v>3.5</v>
      </c>
      <c r="CE3" s="18">
        <v>16</v>
      </c>
      <c r="CF3" s="18">
        <v>0.10861085000000001</v>
      </c>
    </row>
    <row r="4" spans="1:84" x14ac:dyDescent="0.2">
      <c r="A4" s="41" t="s">
        <v>2</v>
      </c>
      <c r="B4" s="58">
        <v>279</v>
      </c>
      <c r="C4" s="58">
        <v>241</v>
      </c>
      <c r="D4" s="58">
        <v>332</v>
      </c>
      <c r="E4" s="58">
        <v>3</v>
      </c>
      <c r="F4" s="58">
        <v>278</v>
      </c>
      <c r="G4" s="58">
        <v>852</v>
      </c>
      <c r="H4" s="49" t="s">
        <v>225</v>
      </c>
      <c r="I4" s="58">
        <v>0</v>
      </c>
      <c r="J4" s="59">
        <v>0</v>
      </c>
      <c r="K4" s="59">
        <v>0</v>
      </c>
      <c r="L4" s="59">
        <v>0</v>
      </c>
      <c r="M4" s="59">
        <v>0</v>
      </c>
      <c r="N4" s="58">
        <v>0</v>
      </c>
      <c r="AU4" s="18">
        <v>2.2974400000000017</v>
      </c>
      <c r="AV4" s="18">
        <v>-4.4648047368420998E-2</v>
      </c>
      <c r="AW4" s="24">
        <v>3</v>
      </c>
      <c r="AX4" s="18">
        <v>12.519413999999999</v>
      </c>
      <c r="AY4" s="18">
        <v>7.7011349999999998</v>
      </c>
      <c r="AZ4" s="18">
        <f t="shared" si="0"/>
        <v>10.110274499999999</v>
      </c>
      <c r="BA4" s="18">
        <v>11</v>
      </c>
      <c r="BB4" s="18">
        <v>10</v>
      </c>
      <c r="BD4" s="68">
        <v>2</v>
      </c>
      <c r="BE4" s="5">
        <v>2.0308752631578979E-2</v>
      </c>
      <c r="BF4" s="88">
        <v>11.5</v>
      </c>
      <c r="BG4" s="18">
        <v>11.188368499999999</v>
      </c>
      <c r="BH4" s="87">
        <v>0.10861085000000001</v>
      </c>
      <c r="BI4" s="5">
        <v>18.183669000000002</v>
      </c>
      <c r="BJ4" s="5"/>
      <c r="BK4" s="5"/>
      <c r="BL4" s="80">
        <v>-2.1310197368421012E-2</v>
      </c>
      <c r="BM4" s="89">
        <v>6.6991900000000007E-2</v>
      </c>
      <c r="BN4" s="3">
        <v>6.9953005000000026</v>
      </c>
      <c r="BP4" s="18" t="s">
        <v>279</v>
      </c>
      <c r="BQ4" s="18">
        <v>11.06202</v>
      </c>
      <c r="BR4" s="18">
        <v>12.872802999999999</v>
      </c>
      <c r="BS4" s="18">
        <f t="shared" si="1"/>
        <v>11.967411500000001</v>
      </c>
      <c r="BT4" s="18">
        <v>17.051635000000001</v>
      </c>
      <c r="BU4" s="18">
        <v>18.480882000000001</v>
      </c>
      <c r="BV4" s="18">
        <f t="shared" si="2"/>
        <v>17.766258499999999</v>
      </c>
      <c r="BW4" s="18">
        <f t="shared" si="3"/>
        <v>5.7988469999999985</v>
      </c>
      <c r="BX4" s="5">
        <v>0.28999999999999998</v>
      </c>
      <c r="BY4" s="5">
        <v>0.42</v>
      </c>
      <c r="BZ4" s="85">
        <v>10.5</v>
      </c>
      <c r="CA4" s="18">
        <v>4.5</v>
      </c>
      <c r="CB4" s="18">
        <v>0.5</v>
      </c>
      <c r="CC4" s="18">
        <v>3</v>
      </c>
      <c r="CD4" s="18">
        <v>1.5</v>
      </c>
      <c r="CE4" s="18">
        <v>0</v>
      </c>
      <c r="CF4" s="18">
        <v>4.365405E-2</v>
      </c>
    </row>
    <row r="5" spans="1:84" x14ac:dyDescent="0.2">
      <c r="A5" s="52" t="s">
        <v>3</v>
      </c>
      <c r="B5" s="58">
        <v>1940.9999996422</v>
      </c>
      <c r="C5" s="58">
        <v>990.99999759334798</v>
      </c>
      <c r="D5" s="58">
        <v>1401.9999930635481</v>
      </c>
      <c r="E5" s="58">
        <v>841.99999794369</v>
      </c>
      <c r="F5" s="58">
        <v>576.00000109512803</v>
      </c>
      <c r="G5" s="58">
        <v>4333.9999902990967</v>
      </c>
      <c r="H5" s="51"/>
      <c r="I5" s="58">
        <v>3.9999999105960002</v>
      </c>
      <c r="J5" s="59">
        <v>0.99999997764800008</v>
      </c>
      <c r="K5" s="59">
        <v>0</v>
      </c>
      <c r="L5" s="59">
        <v>0</v>
      </c>
      <c r="M5" s="59">
        <v>5.9999998658859992</v>
      </c>
      <c r="N5" s="58">
        <v>4.999999888244</v>
      </c>
      <c r="AU5" s="18">
        <v>8.7480905</v>
      </c>
      <c r="AV5" s="18">
        <v>-4.9376097368420996E-2</v>
      </c>
      <c r="AW5" s="24">
        <v>4</v>
      </c>
      <c r="AX5" s="18">
        <v>11.843142</v>
      </c>
      <c r="AY5" s="18">
        <v>13.571897999999999</v>
      </c>
      <c r="AZ5" s="18">
        <f t="shared" si="0"/>
        <v>12.707519999999999</v>
      </c>
      <c r="BA5" s="18">
        <v>12</v>
      </c>
      <c r="BB5" s="18">
        <v>14</v>
      </c>
      <c r="BD5" s="68">
        <v>3</v>
      </c>
      <c r="BE5" s="5">
        <v>-4.4648047368420998E-2</v>
      </c>
      <c r="BF5" s="88">
        <v>10.5</v>
      </c>
      <c r="BG5" s="18">
        <v>10.110274499999999</v>
      </c>
      <c r="BH5" s="87">
        <v>4.365405E-2</v>
      </c>
      <c r="BI5" s="5">
        <v>12.407714500000001</v>
      </c>
      <c r="BJ5" s="5"/>
      <c r="BK5" s="5"/>
      <c r="BL5" s="80">
        <v>-6.5318847368421001E-2</v>
      </c>
      <c r="BM5" s="89">
        <v>2.298325E-2</v>
      </c>
      <c r="BN5" s="3">
        <v>2.2974400000000017</v>
      </c>
      <c r="BP5" s="18" t="s">
        <v>280</v>
      </c>
      <c r="BQ5" s="18">
        <v>16.192335</v>
      </c>
      <c r="BR5" s="18">
        <v>14.906203</v>
      </c>
      <c r="BS5" s="18">
        <f t="shared" si="1"/>
        <v>15.549268999999999</v>
      </c>
      <c r="BT5" s="18">
        <v>39.528196000000001</v>
      </c>
      <c r="BU5" s="18">
        <v>49.585881999999998</v>
      </c>
      <c r="BV5" s="18">
        <f t="shared" si="2"/>
        <v>44.557039000000003</v>
      </c>
      <c r="BW5" s="18">
        <f t="shared" si="3"/>
        <v>29.007770000000004</v>
      </c>
      <c r="BX5" s="5">
        <v>1</v>
      </c>
      <c r="BY5" s="5">
        <v>0.76999998092699995</v>
      </c>
      <c r="BZ5" s="85">
        <v>13</v>
      </c>
      <c r="CA5" s="18">
        <v>20</v>
      </c>
      <c r="CB5" s="18">
        <v>20</v>
      </c>
      <c r="CC5" s="18">
        <v>10.5</v>
      </c>
      <c r="CD5" s="18">
        <v>9.5</v>
      </c>
      <c r="CE5" s="18">
        <v>2</v>
      </c>
      <c r="CF5" s="18">
        <v>3.8926000000000002E-2</v>
      </c>
    </row>
    <row r="6" spans="1:84" x14ac:dyDescent="0.2">
      <c r="A6" s="52" t="s">
        <v>4</v>
      </c>
      <c r="B6" s="58">
        <v>1436.99999954543</v>
      </c>
      <c r="C6" s="58">
        <v>1119.0000042318002</v>
      </c>
      <c r="D6" s="58">
        <v>1295.0000032783</v>
      </c>
      <c r="E6" s="58">
        <v>1046.0000053049998</v>
      </c>
      <c r="F6" s="58">
        <v>578.99999767529994</v>
      </c>
      <c r="G6" s="58">
        <v>3851.0000070555302</v>
      </c>
      <c r="H6" s="49" t="s">
        <v>226</v>
      </c>
      <c r="I6" s="58">
        <v>46.000000089454005</v>
      </c>
      <c r="J6" s="59">
        <v>98.999998718483994</v>
      </c>
      <c r="K6" s="59">
        <v>187.00000103554399</v>
      </c>
      <c r="L6" s="59">
        <v>31.000000424727997</v>
      </c>
      <c r="M6" s="59">
        <v>255.99999781713203</v>
      </c>
      <c r="N6" s="58">
        <v>331.99999984348199</v>
      </c>
      <c r="AU6" s="18">
        <v>3.5454244999999993</v>
      </c>
      <c r="AV6" s="18">
        <v>7.9939402631579004E-2</v>
      </c>
      <c r="AW6" s="24">
        <v>5</v>
      </c>
      <c r="AX6" s="18">
        <v>14.731539</v>
      </c>
      <c r="AY6" s="18">
        <v>25.272096999999999</v>
      </c>
      <c r="AZ6" s="18">
        <f t="shared" si="0"/>
        <v>20.001818</v>
      </c>
      <c r="BA6" s="18">
        <v>14</v>
      </c>
      <c r="BB6" s="18">
        <v>13</v>
      </c>
      <c r="BD6" s="68">
        <v>4</v>
      </c>
      <c r="BE6" s="5">
        <v>-4.9376097368420996E-2</v>
      </c>
      <c r="BF6" s="88">
        <v>13</v>
      </c>
      <c r="BG6" s="18">
        <v>12.707519999999999</v>
      </c>
      <c r="BH6" s="87">
        <v>3.8926000000000002E-2</v>
      </c>
      <c r="BI6" s="5">
        <v>21.455610499999999</v>
      </c>
      <c r="BJ6" s="5"/>
      <c r="BK6" s="5"/>
      <c r="BL6" s="80">
        <v>-5.1976447368420997E-2</v>
      </c>
      <c r="BM6" s="89">
        <v>3.6325650000000001E-2</v>
      </c>
      <c r="BN6" s="3">
        <v>8.7480905</v>
      </c>
      <c r="BP6" s="18" t="s">
        <v>281</v>
      </c>
      <c r="BQ6" s="18">
        <v>18.651599000000001</v>
      </c>
      <c r="BR6" s="18">
        <v>23.327891999999999</v>
      </c>
      <c r="BS6" s="18">
        <f t="shared" si="1"/>
        <v>20.989745499999998</v>
      </c>
      <c r="BT6" s="18">
        <v>68.635079000000005</v>
      </c>
      <c r="BU6" s="18">
        <v>16.355122999999999</v>
      </c>
      <c r="BV6" s="18">
        <f t="shared" si="2"/>
        <v>42.495101000000005</v>
      </c>
      <c r="BW6" s="18">
        <f t="shared" si="3"/>
        <v>21.505355500000007</v>
      </c>
      <c r="BX6" s="5">
        <v>0.87999999523200001</v>
      </c>
      <c r="BY6" s="5">
        <v>1</v>
      </c>
      <c r="BZ6" s="85">
        <v>13.5</v>
      </c>
      <c r="CA6" s="18">
        <v>9</v>
      </c>
      <c r="CB6" s="18">
        <v>5.5</v>
      </c>
      <c r="CC6" s="18">
        <v>15</v>
      </c>
      <c r="CD6" s="18">
        <v>1</v>
      </c>
      <c r="CE6" s="18">
        <v>1.5</v>
      </c>
      <c r="CF6" s="18">
        <v>0.16824149999999999</v>
      </c>
    </row>
    <row r="7" spans="1:84" x14ac:dyDescent="0.2">
      <c r="A7" s="52" t="s">
        <v>5</v>
      </c>
      <c r="B7" s="58">
        <v>106</v>
      </c>
      <c r="C7" s="58">
        <v>66</v>
      </c>
      <c r="D7" s="58">
        <v>49</v>
      </c>
      <c r="E7" s="58">
        <v>36</v>
      </c>
      <c r="F7" s="58">
        <v>32</v>
      </c>
      <c r="G7" s="58">
        <v>221</v>
      </c>
      <c r="H7" s="51"/>
      <c r="I7" s="58">
        <v>29</v>
      </c>
      <c r="J7" s="59">
        <v>93</v>
      </c>
      <c r="K7" s="59">
        <v>10</v>
      </c>
      <c r="L7" s="59">
        <v>11</v>
      </c>
      <c r="M7" s="59">
        <v>284</v>
      </c>
      <c r="N7" s="58">
        <v>132</v>
      </c>
      <c r="AU7" s="18">
        <v>4.3344745000000007</v>
      </c>
      <c r="AV7" s="18">
        <v>3.0615902631578998E-2</v>
      </c>
      <c r="AW7" s="24">
        <v>6</v>
      </c>
      <c r="AX7" s="18">
        <v>14.135496</v>
      </c>
      <c r="AY7" s="18">
        <v>11.441482000000001</v>
      </c>
      <c r="AZ7" s="18">
        <f t="shared" si="0"/>
        <v>12.788489</v>
      </c>
      <c r="BA7" s="18">
        <v>11</v>
      </c>
      <c r="BB7" s="18">
        <v>11</v>
      </c>
      <c r="BD7" s="68">
        <v>5</v>
      </c>
      <c r="BE7" s="5">
        <v>7.9939402631579004E-2</v>
      </c>
      <c r="BF7" s="88">
        <v>13.5</v>
      </c>
      <c r="BG7" s="18">
        <v>20.001818</v>
      </c>
      <c r="BH7" s="87">
        <v>0.16824149999999999</v>
      </c>
      <c r="BI7" s="5">
        <v>23.547242499999999</v>
      </c>
      <c r="BJ7" s="5"/>
      <c r="BK7" s="5"/>
      <c r="BL7" s="80">
        <v>-3.2522097368421002E-2</v>
      </c>
      <c r="BM7" s="89">
        <v>5.5779999999999996E-2</v>
      </c>
      <c r="BN7" s="3">
        <v>3.5454244999999993</v>
      </c>
      <c r="BP7" s="18" t="s">
        <v>282</v>
      </c>
      <c r="BQ7" s="18">
        <v>18.446221000000001</v>
      </c>
      <c r="BR7" s="18">
        <v>19.865383999999999</v>
      </c>
      <c r="BS7" s="18">
        <f t="shared" si="1"/>
        <v>19.1558025</v>
      </c>
      <c r="BT7" s="18">
        <v>30.053167999999999</v>
      </c>
      <c r="BU7" s="18">
        <v>28.374165999999999</v>
      </c>
      <c r="BV7" s="18">
        <f t="shared" si="2"/>
        <v>29.213667000000001</v>
      </c>
      <c r="BW7" s="18">
        <f t="shared" si="3"/>
        <v>10.057864500000001</v>
      </c>
      <c r="BX7" s="5">
        <v>0.28000000000000003</v>
      </c>
      <c r="BY7" s="5">
        <v>0.28000000000000003</v>
      </c>
      <c r="BZ7" s="85">
        <v>11</v>
      </c>
      <c r="CA7" s="18">
        <v>0</v>
      </c>
      <c r="CB7" s="18">
        <v>1</v>
      </c>
      <c r="CC7" s="18">
        <v>13.5</v>
      </c>
      <c r="CD7" s="18">
        <v>0</v>
      </c>
      <c r="CE7" s="18">
        <v>0</v>
      </c>
      <c r="CF7" s="18">
        <v>0.118918</v>
      </c>
    </row>
    <row r="8" spans="1:84" x14ac:dyDescent="0.2">
      <c r="A8" s="52" t="s">
        <v>6</v>
      </c>
      <c r="B8" s="58">
        <v>2010</v>
      </c>
      <c r="C8" s="58">
        <v>97</v>
      </c>
      <c r="D8" s="58">
        <v>1179</v>
      </c>
      <c r="E8" s="58">
        <v>95</v>
      </c>
      <c r="F8" s="58">
        <v>326</v>
      </c>
      <c r="G8" s="58">
        <v>3286</v>
      </c>
      <c r="H8" s="49" t="s">
        <v>227</v>
      </c>
      <c r="I8" s="58">
        <v>1</v>
      </c>
      <c r="J8" s="59">
        <v>0</v>
      </c>
      <c r="K8" s="59">
        <v>0</v>
      </c>
      <c r="L8" s="59">
        <v>0</v>
      </c>
      <c r="M8" s="59">
        <v>1</v>
      </c>
      <c r="N8" s="58">
        <v>1</v>
      </c>
      <c r="AU8" s="18">
        <v>-6.7611639999999973</v>
      </c>
      <c r="AV8" s="18">
        <v>0.122783402631579</v>
      </c>
      <c r="AW8" s="24">
        <v>7</v>
      </c>
      <c r="AX8" s="18">
        <v>29.593705</v>
      </c>
      <c r="AY8" s="18">
        <v>20.675716999999999</v>
      </c>
      <c r="AZ8" s="21">
        <f t="shared" si="0"/>
        <v>25.134710999999999</v>
      </c>
      <c r="BA8" s="18">
        <v>11</v>
      </c>
      <c r="BB8" s="18">
        <v>12</v>
      </c>
      <c r="BD8" s="68">
        <v>6</v>
      </c>
      <c r="BE8" s="5">
        <v>3.0615902631578998E-2</v>
      </c>
      <c r="BF8" s="88">
        <v>11</v>
      </c>
      <c r="BG8" s="18">
        <v>12.788489</v>
      </c>
      <c r="BH8" s="87">
        <v>0.118918</v>
      </c>
      <c r="BI8" s="5">
        <v>17.122963500000001</v>
      </c>
      <c r="BJ8" s="5"/>
      <c r="BK8" s="5"/>
      <c r="BL8" s="80">
        <v>7.2746026315789799E-3</v>
      </c>
      <c r="BM8" s="89">
        <v>9.5576700000000001E-2</v>
      </c>
      <c r="BN8" s="3">
        <v>4.3344745000000007</v>
      </c>
      <c r="BP8" s="18" t="s">
        <v>283</v>
      </c>
      <c r="BQ8" s="18">
        <v>47.072104000000003</v>
      </c>
      <c r="BR8" s="18">
        <v>28.845751</v>
      </c>
      <c r="BS8" s="18">
        <f t="shared" si="1"/>
        <v>37.958927500000001</v>
      </c>
      <c r="BT8" s="18">
        <v>54.721007999999998</v>
      </c>
      <c r="BU8" s="18">
        <v>73.739970999999997</v>
      </c>
      <c r="BV8" s="18">
        <f t="shared" si="2"/>
        <v>64.230489500000004</v>
      </c>
      <c r="BW8" s="18">
        <f t="shared" si="3"/>
        <v>26.271562000000003</v>
      </c>
      <c r="BX8" s="5">
        <v>0.75</v>
      </c>
      <c r="BY8" s="5">
        <v>0.71</v>
      </c>
      <c r="BZ8" s="85">
        <v>11.5</v>
      </c>
      <c r="CA8" s="18">
        <v>7</v>
      </c>
      <c r="CB8" s="18">
        <v>4.5</v>
      </c>
      <c r="CC8" s="18">
        <v>19.5</v>
      </c>
      <c r="CD8" s="18">
        <v>19</v>
      </c>
      <c r="CE8" s="18">
        <v>10</v>
      </c>
      <c r="CF8" s="18">
        <v>0.21108550000000001</v>
      </c>
    </row>
    <row r="9" spans="1:84" x14ac:dyDescent="0.2">
      <c r="A9" s="52" t="s">
        <v>7</v>
      </c>
      <c r="B9" s="58">
        <v>1766</v>
      </c>
      <c r="C9" s="58">
        <v>1053</v>
      </c>
      <c r="D9" s="58">
        <v>1382</v>
      </c>
      <c r="E9" s="58">
        <v>446</v>
      </c>
      <c r="F9" s="58">
        <v>143</v>
      </c>
      <c r="G9" s="58">
        <v>4201</v>
      </c>
      <c r="H9" s="51"/>
      <c r="I9" s="58">
        <v>201.00000070000004</v>
      </c>
      <c r="J9" s="59">
        <v>236.00000279999998</v>
      </c>
      <c r="K9" s="59">
        <v>322.00000260000002</v>
      </c>
      <c r="L9" s="59">
        <v>69.000000799999995</v>
      </c>
      <c r="M9" s="59">
        <v>148.99999929999998</v>
      </c>
      <c r="N9" s="58">
        <v>759.00000610000006</v>
      </c>
      <c r="AW9" s="24">
        <v>8</v>
      </c>
      <c r="BA9" s="18" t="s">
        <v>202</v>
      </c>
      <c r="BB9" s="18" t="s">
        <v>202</v>
      </c>
      <c r="BD9" s="68">
        <v>9</v>
      </c>
      <c r="BE9" s="5">
        <v>-3.7704547368421E-2</v>
      </c>
      <c r="BF9" s="88">
        <v>14.5</v>
      </c>
      <c r="BG9" s="18">
        <v>12.514367499999999</v>
      </c>
      <c r="BH9" s="87">
        <v>5.0597550000000005E-2</v>
      </c>
      <c r="BI9" s="5">
        <v>15.268765999999999</v>
      </c>
      <c r="BJ9" s="5"/>
      <c r="BK9" s="5"/>
      <c r="BL9" s="80">
        <v>-4.5340347368420998E-2</v>
      </c>
      <c r="BM9" s="80">
        <v>4.296175E-2</v>
      </c>
      <c r="BN9" s="3">
        <v>2.7543985000000006</v>
      </c>
      <c r="BP9" s="18" t="s">
        <v>284</v>
      </c>
      <c r="BQ9" s="18">
        <v>14.507363</v>
      </c>
      <c r="BR9" s="18">
        <v>12.339796</v>
      </c>
      <c r="BS9" s="18">
        <f t="shared" si="1"/>
        <v>13.423579499999999</v>
      </c>
      <c r="BT9" s="18">
        <v>14.311237</v>
      </c>
      <c r="BU9" s="18">
        <v>13.522819999999999</v>
      </c>
      <c r="BV9" s="18">
        <f t="shared" si="2"/>
        <v>13.917028500000001</v>
      </c>
      <c r="BW9" s="18">
        <f t="shared" si="3"/>
        <v>0.4934490000000018</v>
      </c>
      <c r="BX9" s="5">
        <v>1</v>
      </c>
      <c r="BY9" s="5">
        <v>1</v>
      </c>
      <c r="BZ9" s="85">
        <v>14.5</v>
      </c>
      <c r="CA9" s="18">
        <v>17</v>
      </c>
      <c r="CB9" s="18">
        <v>17</v>
      </c>
      <c r="CC9" s="18">
        <v>5.5</v>
      </c>
      <c r="CD9" s="18">
        <v>10.5</v>
      </c>
      <c r="CE9" s="18">
        <v>6</v>
      </c>
      <c r="CF9" s="18">
        <v>5.0597550000000005E-2</v>
      </c>
    </row>
    <row r="10" spans="1:84" x14ac:dyDescent="0.2">
      <c r="A10" s="52" t="s">
        <v>8</v>
      </c>
      <c r="B10" s="58">
        <v>1375.9999941999997</v>
      </c>
      <c r="C10" s="58">
        <v>61.999999000000003</v>
      </c>
      <c r="D10" s="58">
        <v>1003.0000015999999</v>
      </c>
      <c r="E10" s="58">
        <v>211.99999740000001</v>
      </c>
      <c r="F10" s="58">
        <v>151.00000089999997</v>
      </c>
      <c r="G10" s="58">
        <v>2440.9999947999995</v>
      </c>
      <c r="H10" s="49" t="s">
        <v>228</v>
      </c>
      <c r="I10" s="58">
        <v>11.9999997</v>
      </c>
      <c r="J10" s="59">
        <v>167.00000169999998</v>
      </c>
      <c r="K10" s="59">
        <v>0</v>
      </c>
      <c r="L10" s="59">
        <v>0</v>
      </c>
      <c r="M10" s="59">
        <v>350.99999310000004</v>
      </c>
      <c r="N10" s="58">
        <v>179.00000139999997</v>
      </c>
      <c r="AU10" s="18">
        <v>2.7543985000000006</v>
      </c>
      <c r="AV10" s="18">
        <v>-3.7704547368421E-2</v>
      </c>
      <c r="AW10" s="24">
        <v>9</v>
      </c>
      <c r="AX10" s="18">
        <v>11.816884</v>
      </c>
      <c r="AY10" s="18">
        <v>13.211850999999999</v>
      </c>
      <c r="AZ10" s="18">
        <f t="shared" si="0"/>
        <v>12.514367499999999</v>
      </c>
      <c r="BA10" s="18">
        <v>15</v>
      </c>
      <c r="BB10" s="18">
        <v>14</v>
      </c>
      <c r="BD10" s="68">
        <v>10</v>
      </c>
      <c r="BE10" s="5">
        <v>4.3502402631579E-2</v>
      </c>
      <c r="BF10" s="88">
        <v>11</v>
      </c>
      <c r="BG10" s="18">
        <v>9.3351559999999996</v>
      </c>
      <c r="BH10" s="87">
        <v>0.13180449999999999</v>
      </c>
      <c r="BI10" s="5">
        <v>16.157744000000001</v>
      </c>
      <c r="BJ10" s="5"/>
      <c r="BK10" s="5"/>
      <c r="BL10" s="80">
        <v>-2.0825297368421002E-2</v>
      </c>
      <c r="BM10" s="80">
        <v>6.7476800000000003E-2</v>
      </c>
      <c r="BN10" s="3">
        <v>6.8225880000000014</v>
      </c>
      <c r="BP10" s="18" t="s">
        <v>285</v>
      </c>
      <c r="BQ10" s="18">
        <v>18.188002000000001</v>
      </c>
      <c r="BR10" s="18">
        <v>20.864201999999999</v>
      </c>
      <c r="BS10" s="18">
        <f t="shared" si="1"/>
        <v>19.526102000000002</v>
      </c>
      <c r="BT10" s="18">
        <v>17.921443</v>
      </c>
      <c r="BU10" s="18">
        <v>18.466743000000001</v>
      </c>
      <c r="BV10" s="18">
        <f t="shared" si="2"/>
        <v>18.194093000000002</v>
      </c>
      <c r="BW10" s="18">
        <f t="shared" si="3"/>
        <v>-1.3320089999999993</v>
      </c>
      <c r="BX10" s="5">
        <v>0.97</v>
      </c>
      <c r="BY10" s="5">
        <v>0.56999999999999995</v>
      </c>
      <c r="BZ10" s="85">
        <v>11</v>
      </c>
      <c r="CA10" s="18">
        <v>0.5</v>
      </c>
      <c r="CB10" s="18">
        <v>0.5</v>
      </c>
      <c r="CC10" s="18">
        <v>12</v>
      </c>
      <c r="CD10" s="18">
        <v>0</v>
      </c>
      <c r="CE10" s="18">
        <v>1</v>
      </c>
      <c r="CF10" s="18">
        <v>0.13180449999999999</v>
      </c>
    </row>
    <row r="11" spans="1:84" x14ac:dyDescent="0.2">
      <c r="A11" s="52" t="s">
        <v>9</v>
      </c>
      <c r="B11" s="58">
        <v>682</v>
      </c>
      <c r="C11" s="58">
        <v>801</v>
      </c>
      <c r="D11" s="58">
        <v>519</v>
      </c>
      <c r="E11" s="58">
        <v>186</v>
      </c>
      <c r="F11" s="58">
        <v>411</v>
      </c>
      <c r="G11" s="58">
        <v>2002</v>
      </c>
      <c r="H11" s="51"/>
      <c r="I11" s="58">
        <v>0</v>
      </c>
      <c r="J11" s="59">
        <v>0</v>
      </c>
      <c r="K11" s="59">
        <v>0</v>
      </c>
      <c r="L11" s="59">
        <v>0</v>
      </c>
      <c r="M11" s="59">
        <v>0</v>
      </c>
      <c r="N11" s="58">
        <v>0</v>
      </c>
      <c r="AU11" s="18">
        <v>6.8225880000000014</v>
      </c>
      <c r="AV11" s="18">
        <v>4.3502402631579E-2</v>
      </c>
      <c r="AW11" s="24">
        <v>10</v>
      </c>
      <c r="AX11" s="18">
        <v>8.7569149999999993</v>
      </c>
      <c r="AY11" s="18">
        <v>9.9133969999999998</v>
      </c>
      <c r="AZ11" s="18">
        <f t="shared" si="0"/>
        <v>9.3351559999999996</v>
      </c>
      <c r="BA11" s="18">
        <v>11</v>
      </c>
      <c r="BB11" s="18">
        <v>11</v>
      </c>
      <c r="BD11" s="68">
        <v>11</v>
      </c>
      <c r="BE11" s="5">
        <v>-2.6179147368421002E-2</v>
      </c>
      <c r="BF11" s="88">
        <v>8.5</v>
      </c>
      <c r="BG11" s="18">
        <v>8.3354964999999996</v>
      </c>
      <c r="BH11" s="87">
        <v>6.2122950000000003E-2</v>
      </c>
      <c r="BI11" s="5">
        <v>16.265207499999999</v>
      </c>
      <c r="BJ11" s="5"/>
      <c r="BK11" s="5"/>
      <c r="BL11" s="80">
        <v>-2.8049097368421001E-2</v>
      </c>
      <c r="BM11" s="80">
        <v>6.0253000000000001E-2</v>
      </c>
      <c r="BN11" s="3">
        <v>7.9297109999999993</v>
      </c>
      <c r="BP11" s="18" t="s">
        <v>286</v>
      </c>
      <c r="BQ11" s="18">
        <v>13.998843000000001</v>
      </c>
      <c r="BR11" s="18">
        <v>14.51417</v>
      </c>
      <c r="BS11" s="18">
        <f t="shared" si="1"/>
        <v>14.2565065</v>
      </c>
      <c r="BT11" s="18">
        <v>31.301438999999998</v>
      </c>
      <c r="BU11" s="18">
        <v>21.352495999999999</v>
      </c>
      <c r="BV11" s="18">
        <f t="shared" si="2"/>
        <v>26.326967499999999</v>
      </c>
      <c r="BW11" s="18">
        <f t="shared" si="3"/>
        <v>12.070460999999998</v>
      </c>
      <c r="BX11" s="5">
        <v>0.28999999165500001</v>
      </c>
      <c r="BY11" s="5">
        <v>0.30000001192100001</v>
      </c>
      <c r="BZ11" s="85">
        <v>8.5</v>
      </c>
      <c r="CA11" s="18">
        <v>6.5</v>
      </c>
      <c r="CB11" s="18">
        <v>2.5</v>
      </c>
      <c r="CC11" s="18">
        <v>12</v>
      </c>
      <c r="CD11" s="18">
        <v>0.5</v>
      </c>
      <c r="CE11" s="18">
        <v>0</v>
      </c>
      <c r="CF11" s="18">
        <v>6.2122950000000003E-2</v>
      </c>
    </row>
    <row r="12" spans="1:84" x14ac:dyDescent="0.2">
      <c r="A12" s="52" t="s">
        <v>10</v>
      </c>
      <c r="B12" s="58">
        <v>380.99999670000011</v>
      </c>
      <c r="C12" s="58">
        <v>117.00000060000002</v>
      </c>
      <c r="D12" s="58">
        <v>326.00000229999989</v>
      </c>
      <c r="E12" s="58">
        <v>124.00000040000002</v>
      </c>
      <c r="F12" s="58">
        <v>175.0000024</v>
      </c>
      <c r="G12" s="58">
        <v>823.99999960000002</v>
      </c>
      <c r="H12" s="51"/>
      <c r="I12" s="58">
        <v>3</v>
      </c>
      <c r="J12" s="59">
        <v>2</v>
      </c>
      <c r="K12" s="59">
        <v>1</v>
      </c>
      <c r="L12" s="59">
        <v>69.000001300000008</v>
      </c>
      <c r="M12" s="59">
        <v>112.00000120000001</v>
      </c>
      <c r="N12" s="58">
        <v>6</v>
      </c>
      <c r="AU12" s="18">
        <v>7.9297109999999993</v>
      </c>
      <c r="AV12" s="18">
        <v>-2.6179147368421002E-2</v>
      </c>
      <c r="AW12" s="24">
        <v>11</v>
      </c>
      <c r="AX12" s="18">
        <v>8.3945019999999992</v>
      </c>
      <c r="AY12" s="18">
        <v>8.276491</v>
      </c>
      <c r="AZ12" s="18">
        <f t="shared" si="0"/>
        <v>8.3354964999999996</v>
      </c>
      <c r="BA12" s="18">
        <v>9</v>
      </c>
      <c r="BB12" s="18">
        <v>8</v>
      </c>
      <c r="BD12" s="68">
        <v>12</v>
      </c>
      <c r="BE12" s="5">
        <v>-4.0417647368421003E-2</v>
      </c>
      <c r="BF12" s="88">
        <v>4</v>
      </c>
      <c r="BG12" s="18">
        <v>14.702293000000001</v>
      </c>
      <c r="BH12" s="87">
        <v>4.7884450000000002E-2</v>
      </c>
      <c r="BI12" s="5">
        <v>24.611325999999998</v>
      </c>
      <c r="BJ12" s="5"/>
      <c r="BK12" s="5"/>
      <c r="BL12" s="80">
        <v>-2.1456197368421002E-2</v>
      </c>
      <c r="BM12" s="80">
        <v>6.68459E-2</v>
      </c>
      <c r="BN12" s="3">
        <v>9.9090329999999973</v>
      </c>
      <c r="BP12" s="18" t="s">
        <v>287</v>
      </c>
      <c r="BQ12" s="18">
        <v>11.555567</v>
      </c>
      <c r="BR12" s="18">
        <v>11.342148</v>
      </c>
      <c r="BS12" s="18">
        <f t="shared" si="1"/>
        <v>11.448857499999999</v>
      </c>
      <c r="BT12" s="18">
        <v>24.680263</v>
      </c>
      <c r="BU12" s="18">
        <v>19.647199000000001</v>
      </c>
      <c r="BV12" s="18">
        <f t="shared" si="2"/>
        <v>22.163730999999999</v>
      </c>
      <c r="BW12" s="18">
        <f t="shared" si="3"/>
        <v>10.714873499999999</v>
      </c>
      <c r="BX12" s="5">
        <v>0.68</v>
      </c>
      <c r="BY12" s="5">
        <v>0.41</v>
      </c>
      <c r="BZ12" s="85">
        <v>4</v>
      </c>
      <c r="CA12" s="18">
        <v>4</v>
      </c>
      <c r="CB12" s="18">
        <v>0</v>
      </c>
      <c r="CC12" s="18">
        <v>5</v>
      </c>
      <c r="CD12" s="18">
        <v>6.5</v>
      </c>
      <c r="CE12" s="18">
        <v>0</v>
      </c>
      <c r="CF12" s="18">
        <v>4.7884450000000002E-2</v>
      </c>
    </row>
    <row r="13" spans="1:84" x14ac:dyDescent="0.2">
      <c r="A13" s="52" t="s">
        <v>11</v>
      </c>
      <c r="B13" s="58">
        <v>148</v>
      </c>
      <c r="C13" s="58">
        <v>114</v>
      </c>
      <c r="D13" s="58">
        <v>826</v>
      </c>
      <c r="E13" s="58">
        <v>43</v>
      </c>
      <c r="F13" s="58">
        <v>31</v>
      </c>
      <c r="G13" s="58">
        <v>1088</v>
      </c>
      <c r="H13" s="49" t="s">
        <v>229</v>
      </c>
      <c r="I13" s="58">
        <v>13</v>
      </c>
      <c r="J13" s="59">
        <v>4</v>
      </c>
      <c r="K13" s="59">
        <v>74</v>
      </c>
      <c r="L13" s="59">
        <v>0</v>
      </c>
      <c r="M13" s="59">
        <v>175</v>
      </c>
      <c r="N13" s="58">
        <v>91</v>
      </c>
      <c r="AU13" s="18">
        <v>9.9090329999999973</v>
      </c>
      <c r="AV13" s="18">
        <v>-4.0417647368421003E-2</v>
      </c>
      <c r="AW13" s="24">
        <v>12</v>
      </c>
      <c r="AX13" s="18">
        <v>14.977245</v>
      </c>
      <c r="AY13" s="18">
        <v>14.427341</v>
      </c>
      <c r="AZ13" s="18">
        <f t="shared" si="0"/>
        <v>14.702293000000001</v>
      </c>
      <c r="BA13" s="18">
        <v>4</v>
      </c>
      <c r="BB13" s="18">
        <v>4</v>
      </c>
      <c r="BD13" s="68">
        <v>13</v>
      </c>
      <c r="BE13" s="5">
        <v>3.2763402631579001E-2</v>
      </c>
      <c r="BF13" s="88">
        <v>13</v>
      </c>
      <c r="BG13" s="18">
        <v>12.0141565</v>
      </c>
      <c r="BH13" s="87">
        <v>0.12106550000000001</v>
      </c>
      <c r="BI13" s="5">
        <v>9.9547744999999992</v>
      </c>
      <c r="BJ13" s="5"/>
      <c r="BK13" s="5"/>
      <c r="BL13" s="80">
        <v>-3.9821497368420999E-2</v>
      </c>
      <c r="BM13" s="80">
        <v>4.8480599999999999E-2</v>
      </c>
      <c r="BN13" s="3">
        <v>-2.0593820000000012</v>
      </c>
      <c r="BP13" s="18" t="s">
        <v>288</v>
      </c>
      <c r="BQ13" s="18">
        <v>11.439068000000001</v>
      </c>
      <c r="BR13" s="18">
        <v>10.824998000000001</v>
      </c>
      <c r="BS13" s="18">
        <f t="shared" si="1"/>
        <v>11.132033</v>
      </c>
      <c r="BT13" s="18">
        <v>10.78444</v>
      </c>
      <c r="BU13" s="18">
        <v>13.417807</v>
      </c>
      <c r="BV13" s="18">
        <f t="shared" si="2"/>
        <v>12.1011235</v>
      </c>
      <c r="BW13" s="18">
        <f t="shared" si="3"/>
        <v>0.96909050000000008</v>
      </c>
      <c r="BX13" s="5">
        <v>0.17000000178800001</v>
      </c>
      <c r="BY13" s="5">
        <v>0</v>
      </c>
      <c r="BZ13" s="85">
        <v>13</v>
      </c>
      <c r="CA13" s="18">
        <v>12</v>
      </c>
      <c r="CB13" s="18">
        <v>3.5</v>
      </c>
      <c r="CC13" s="18">
        <v>13</v>
      </c>
      <c r="CD13" s="18">
        <v>2</v>
      </c>
      <c r="CE13" s="18">
        <v>0</v>
      </c>
      <c r="CF13" s="18">
        <v>0.12106550000000001</v>
      </c>
    </row>
    <row r="14" spans="1:84" x14ac:dyDescent="0.2">
      <c r="A14" s="52" t="s">
        <v>12</v>
      </c>
      <c r="B14" s="58">
        <v>653.99998743107813</v>
      </c>
      <c r="C14" s="58">
        <v>603.00000160942807</v>
      </c>
      <c r="D14" s="58">
        <v>1105.9999961405101</v>
      </c>
      <c r="E14" s="58">
        <v>651.00000314425995</v>
      </c>
      <c r="F14" s="58">
        <v>170.9999997168</v>
      </c>
      <c r="G14" s="58">
        <v>2362.9999851810162</v>
      </c>
      <c r="I14" s="58">
        <v>23.999999649818001</v>
      </c>
      <c r="J14" s="59">
        <v>221.99999708692403</v>
      </c>
      <c r="K14" s="59">
        <v>15.999999642368</v>
      </c>
      <c r="L14" s="59">
        <v>17.99999959766</v>
      </c>
      <c r="M14" s="59">
        <v>118.00000052902401</v>
      </c>
      <c r="N14" s="58">
        <v>261.99999637911003</v>
      </c>
      <c r="AU14" s="21">
        <v>-2.0593820000000012</v>
      </c>
      <c r="AV14" s="18">
        <v>3.2763402631579001E-2</v>
      </c>
      <c r="AW14" s="24">
        <v>13</v>
      </c>
      <c r="AX14" s="18">
        <v>11.49399</v>
      </c>
      <c r="AY14" s="18">
        <v>12.534323000000001</v>
      </c>
      <c r="AZ14" s="18">
        <f t="shared" si="0"/>
        <v>12.0141565</v>
      </c>
      <c r="BA14" s="18">
        <v>14</v>
      </c>
      <c r="BB14" s="18">
        <v>12</v>
      </c>
      <c r="BD14" s="68">
        <v>15</v>
      </c>
      <c r="BE14" s="5">
        <v>-1.866409736842102E-2</v>
      </c>
      <c r="BF14" s="88">
        <v>10.5</v>
      </c>
      <c r="BG14" s="18">
        <v>15.711120000000001</v>
      </c>
      <c r="BH14" s="87">
        <v>6.9638000000000005E-2</v>
      </c>
      <c r="BI14" s="5">
        <v>19.871513499999999</v>
      </c>
      <c r="BJ14" s="5"/>
      <c r="BK14" s="5"/>
      <c r="BL14" s="80">
        <v>-5.1134547368420998E-2</v>
      </c>
      <c r="BM14" s="80">
        <v>3.7167550000000001E-2</v>
      </c>
      <c r="BN14" s="3">
        <v>4.1603934999999979</v>
      </c>
      <c r="BP14" s="18" t="s">
        <v>289</v>
      </c>
      <c r="BQ14" s="18">
        <v>18.291727000000002</v>
      </c>
      <c r="BR14" s="18">
        <v>16.267544999999998</v>
      </c>
      <c r="BS14" s="18">
        <f t="shared" si="1"/>
        <v>17.279636</v>
      </c>
      <c r="BT14" s="18">
        <v>18.824719999999999</v>
      </c>
      <c r="BU14" s="18">
        <v>18.929228999999999</v>
      </c>
      <c r="BV14" s="18">
        <f t="shared" si="2"/>
        <v>18.876974499999999</v>
      </c>
      <c r="BW14" s="18">
        <f t="shared" si="3"/>
        <v>1.5973384999999993</v>
      </c>
      <c r="BX14" s="5">
        <v>0.69999998807899999</v>
      </c>
      <c r="BY14" s="5">
        <v>0.68999999761599995</v>
      </c>
      <c r="BZ14" s="85">
        <v>10.5</v>
      </c>
      <c r="CA14" s="18">
        <v>9</v>
      </c>
      <c r="CB14" s="18">
        <v>10</v>
      </c>
      <c r="CC14" s="18">
        <v>9.5</v>
      </c>
      <c r="CD14" s="18">
        <v>12</v>
      </c>
      <c r="CE14" s="18">
        <v>3</v>
      </c>
      <c r="CF14" s="18">
        <v>6.9638000000000005E-2</v>
      </c>
    </row>
    <row r="15" spans="1:84" x14ac:dyDescent="0.2">
      <c r="A15" s="52" t="s">
        <v>13</v>
      </c>
      <c r="B15" s="58">
        <v>2068.999987654448</v>
      </c>
      <c r="C15" s="58">
        <v>216.00000057374001</v>
      </c>
      <c r="D15" s="58">
        <v>1166.0000136121298</v>
      </c>
      <c r="E15" s="58">
        <v>268.99999696753599</v>
      </c>
      <c r="F15" s="58">
        <v>19.999999739227999</v>
      </c>
      <c r="G15" s="58">
        <v>3451.000001840318</v>
      </c>
      <c r="I15" s="58">
        <v>2.9999999329440001</v>
      </c>
      <c r="J15" s="59">
        <v>1.9999999552960002</v>
      </c>
      <c r="K15" s="59">
        <v>0</v>
      </c>
      <c r="L15" s="59">
        <v>0</v>
      </c>
      <c r="M15" s="59">
        <v>0</v>
      </c>
      <c r="N15" s="58">
        <v>4.9999998882400005</v>
      </c>
      <c r="AU15" s="21">
        <v>-4.1468199999999982</v>
      </c>
      <c r="AV15" s="21">
        <v>0.47624340263157905</v>
      </c>
      <c r="AW15" s="24">
        <v>14</v>
      </c>
      <c r="AX15" s="18">
        <v>34.956570999999997</v>
      </c>
      <c r="AY15" s="18">
        <v>16.894261</v>
      </c>
      <c r="AZ15" s="21">
        <f t="shared" si="0"/>
        <v>25.925415999999998</v>
      </c>
      <c r="BA15" s="18">
        <v>16</v>
      </c>
      <c r="BB15" s="18">
        <v>13</v>
      </c>
      <c r="BD15" s="68">
        <v>16</v>
      </c>
      <c r="BE15" s="5">
        <v>6.3246402631578991E-2</v>
      </c>
      <c r="BF15" s="88">
        <v>10</v>
      </c>
      <c r="BG15" s="18">
        <v>14.970048500000001</v>
      </c>
      <c r="BH15" s="87">
        <v>0.1515485</v>
      </c>
      <c r="BI15" s="5">
        <v>19.137534500000001</v>
      </c>
      <c r="BJ15" s="5"/>
      <c r="BK15" s="5"/>
      <c r="BL15" s="80">
        <v>5.1243026315789982E-3</v>
      </c>
      <c r="BM15" s="80">
        <v>9.3426400000000007E-2</v>
      </c>
      <c r="BN15" s="3">
        <v>4.1674860000000002</v>
      </c>
      <c r="BP15" s="18" t="s">
        <v>290</v>
      </c>
      <c r="BQ15" s="18">
        <v>13.669726000000001</v>
      </c>
      <c r="BR15" s="18">
        <v>37.779404999999997</v>
      </c>
      <c r="BS15" s="18">
        <f t="shared" si="1"/>
        <v>25.724565499999997</v>
      </c>
      <c r="BT15" s="18">
        <v>38.579892999999998</v>
      </c>
      <c r="BU15" s="18">
        <v>22.618568</v>
      </c>
      <c r="BV15" s="18">
        <f t="shared" si="2"/>
        <v>30.599230499999997</v>
      </c>
      <c r="BW15" s="18">
        <f t="shared" si="3"/>
        <v>4.8746650000000002</v>
      </c>
      <c r="BX15" s="5">
        <v>0.85000002384200002</v>
      </c>
      <c r="BY15" s="5">
        <v>0.99000000953699996</v>
      </c>
      <c r="BZ15" s="85">
        <v>10</v>
      </c>
      <c r="CA15" s="18">
        <v>10</v>
      </c>
      <c r="CB15" s="18">
        <v>10.5</v>
      </c>
      <c r="CC15" s="18">
        <v>10</v>
      </c>
      <c r="CD15" s="18">
        <v>10</v>
      </c>
      <c r="CE15" s="18">
        <v>10</v>
      </c>
      <c r="CF15" s="18">
        <v>0.1515485</v>
      </c>
    </row>
    <row r="16" spans="1:84" x14ac:dyDescent="0.2">
      <c r="A16" s="52" t="s">
        <v>14</v>
      </c>
      <c r="B16" s="58">
        <v>751.00000189999992</v>
      </c>
      <c r="C16" s="58">
        <v>537.99999879999996</v>
      </c>
      <c r="D16" s="58">
        <v>767.00000609999995</v>
      </c>
      <c r="E16" s="58">
        <v>340.00000359999996</v>
      </c>
      <c r="F16" s="58">
        <v>574.99999890000004</v>
      </c>
      <c r="G16" s="58">
        <v>2056.0000067999999</v>
      </c>
      <c r="I16" s="58">
        <v>1</v>
      </c>
      <c r="J16" s="59">
        <v>83.000000499999999</v>
      </c>
      <c r="K16" s="59">
        <v>54.000000700000001</v>
      </c>
      <c r="L16" s="59">
        <v>12.999999500000001</v>
      </c>
      <c r="M16" s="59">
        <v>180.99999990000003</v>
      </c>
      <c r="N16" s="58">
        <v>138.00000119999999</v>
      </c>
      <c r="AU16" s="18">
        <v>4.1603934999999979</v>
      </c>
      <c r="AV16" s="21">
        <v>-1.866409736842102E-2</v>
      </c>
      <c r="AW16" s="24">
        <v>15</v>
      </c>
      <c r="AX16" s="18">
        <v>15.122757999999999</v>
      </c>
      <c r="AY16" s="18">
        <v>16.299482000000001</v>
      </c>
      <c r="AZ16" s="18">
        <f t="shared" si="0"/>
        <v>15.711120000000001</v>
      </c>
      <c r="BA16" s="18">
        <v>11</v>
      </c>
      <c r="BB16" s="18">
        <v>10</v>
      </c>
      <c r="BD16" s="68">
        <v>17</v>
      </c>
      <c r="BE16" s="5">
        <v>6.6691526315789855E-3</v>
      </c>
      <c r="BF16" s="88">
        <v>18.5</v>
      </c>
      <c r="BG16" s="18">
        <v>17.77064</v>
      </c>
      <c r="BH16" s="87">
        <v>9.4971250000000007E-2</v>
      </c>
      <c r="BI16" s="5">
        <v>23.117312500000001</v>
      </c>
      <c r="BJ16" s="5"/>
      <c r="BK16" s="5"/>
      <c r="BL16" s="80">
        <v>-2.9186347368421E-2</v>
      </c>
      <c r="BM16" s="80">
        <v>5.9115749999999995E-2</v>
      </c>
      <c r="BN16" s="3">
        <v>5.3466725000000004</v>
      </c>
      <c r="BP16" s="18" t="s">
        <v>291</v>
      </c>
      <c r="BQ16" s="18">
        <v>11.841018</v>
      </c>
      <c r="BR16" s="18">
        <v>12.637594</v>
      </c>
      <c r="BS16" s="18">
        <f t="shared" si="1"/>
        <v>12.239305999999999</v>
      </c>
      <c r="BT16" s="18">
        <v>30.555565999999999</v>
      </c>
      <c r="BU16" s="18">
        <v>26.828395</v>
      </c>
      <c r="BV16" s="18">
        <f t="shared" si="2"/>
        <v>28.6919805</v>
      </c>
      <c r="BW16" s="18">
        <f t="shared" si="3"/>
        <v>16.452674500000001</v>
      </c>
      <c r="BX16" s="5">
        <v>1</v>
      </c>
      <c r="BY16" s="5">
        <v>1</v>
      </c>
      <c r="BZ16" s="85">
        <v>18.5</v>
      </c>
      <c r="CA16" s="18">
        <v>15</v>
      </c>
      <c r="CB16" s="18">
        <v>11.5</v>
      </c>
      <c r="CC16" s="18">
        <v>19.5</v>
      </c>
      <c r="CD16" s="18">
        <v>20</v>
      </c>
      <c r="CE16" s="18">
        <v>20</v>
      </c>
      <c r="CF16" s="18">
        <v>9.4971250000000007E-2</v>
      </c>
    </row>
    <row r="17" spans="1:84" x14ac:dyDescent="0.2">
      <c r="A17" s="52" t="s">
        <v>15</v>
      </c>
      <c r="B17" s="58">
        <v>1239.0000060999998</v>
      </c>
      <c r="C17" s="58">
        <v>395.0000043</v>
      </c>
      <c r="D17" s="58">
        <v>901.00000109999996</v>
      </c>
      <c r="E17" s="58">
        <v>143.00000230000001</v>
      </c>
      <c r="F17" s="58">
        <v>512.00000420000003</v>
      </c>
      <c r="G17" s="58">
        <v>2535.0000114999998</v>
      </c>
      <c r="I17" s="58">
        <v>1</v>
      </c>
      <c r="J17" s="59">
        <v>0</v>
      </c>
      <c r="K17" s="59">
        <v>0</v>
      </c>
      <c r="L17" s="59">
        <v>2</v>
      </c>
      <c r="M17" s="59">
        <v>60.999997899999997</v>
      </c>
      <c r="N17" s="58">
        <v>1</v>
      </c>
      <c r="AU17" s="18">
        <v>4.1674860000000002</v>
      </c>
      <c r="AV17" s="18">
        <v>6.3246402631578991E-2</v>
      </c>
      <c r="AW17" s="24">
        <v>16</v>
      </c>
      <c r="AX17" s="18">
        <v>10.740767</v>
      </c>
      <c r="AY17" s="18">
        <v>19.19933</v>
      </c>
      <c r="AZ17" s="18">
        <f t="shared" si="0"/>
        <v>14.970048500000001</v>
      </c>
      <c r="BA17" s="18">
        <v>10</v>
      </c>
      <c r="BB17" s="18">
        <v>10</v>
      </c>
      <c r="BD17" s="68">
        <v>18</v>
      </c>
      <c r="BE17" s="5">
        <v>-2.7838047368421E-2</v>
      </c>
      <c r="BF17" s="88">
        <v>14.5</v>
      </c>
      <c r="BG17" s="18">
        <v>9.2525620000000011</v>
      </c>
      <c r="BH17" s="87">
        <v>6.0464049999999998E-2</v>
      </c>
      <c r="BI17" s="5">
        <v>17.565509499999997</v>
      </c>
      <c r="BJ17" s="5"/>
      <c r="BK17" s="5"/>
      <c r="BL17" s="80">
        <v>-5.9796447368421005E-2</v>
      </c>
      <c r="BM17" s="80">
        <v>2.850565E-2</v>
      </c>
      <c r="BN17" s="3">
        <v>8.3129474999999964</v>
      </c>
      <c r="BP17" s="18" t="s">
        <v>292</v>
      </c>
      <c r="BQ17" s="18">
        <v>12.504880999999999</v>
      </c>
      <c r="BR17" s="18">
        <v>12.553364</v>
      </c>
      <c r="BS17" s="18">
        <f t="shared" si="1"/>
        <v>12.5291225</v>
      </c>
      <c r="BT17" s="18">
        <v>28.43852</v>
      </c>
      <c r="BU17" s="18">
        <v>18.708314999999999</v>
      </c>
      <c r="BV17" s="18">
        <f t="shared" si="2"/>
        <v>23.573417499999998</v>
      </c>
      <c r="BW17" s="18">
        <f t="shared" si="3"/>
        <v>11.044294999999998</v>
      </c>
      <c r="BX17" s="5">
        <v>0.76999998092699995</v>
      </c>
      <c r="BY17" s="5">
        <v>0.75999999046300004</v>
      </c>
      <c r="BZ17" s="85">
        <v>14.5</v>
      </c>
      <c r="CA17" s="18">
        <v>10</v>
      </c>
      <c r="CB17" s="18">
        <v>3.5</v>
      </c>
      <c r="CC17" s="18">
        <v>16</v>
      </c>
      <c r="CD17" s="18">
        <v>5</v>
      </c>
      <c r="CE17" s="18">
        <v>10.5</v>
      </c>
      <c r="CF17" s="18">
        <v>6.0464049999999998E-2</v>
      </c>
    </row>
    <row r="18" spans="1:84" x14ac:dyDescent="0.2">
      <c r="A18" s="52" t="s">
        <v>16</v>
      </c>
      <c r="B18" s="58">
        <v>1923.9999924999995</v>
      </c>
      <c r="C18" s="58">
        <v>211.99999890000001</v>
      </c>
      <c r="D18" s="58">
        <v>1155.9999972999999</v>
      </c>
      <c r="E18" s="58">
        <v>537.99999920000005</v>
      </c>
      <c r="F18" s="58">
        <v>258.0000043</v>
      </c>
      <c r="G18" s="58">
        <v>3291.9999886999994</v>
      </c>
      <c r="I18" s="58">
        <v>584</v>
      </c>
      <c r="J18" s="59">
        <v>236</v>
      </c>
      <c r="K18" s="59">
        <v>707</v>
      </c>
      <c r="L18" s="59">
        <v>121</v>
      </c>
      <c r="M18" s="59">
        <v>49</v>
      </c>
      <c r="N18" s="58">
        <v>1527</v>
      </c>
      <c r="AU18" s="18">
        <v>5.3466725000000004</v>
      </c>
      <c r="AV18" s="18">
        <v>6.6691526315789855E-3</v>
      </c>
      <c r="AW18" s="24">
        <v>17</v>
      </c>
      <c r="AX18" s="18">
        <v>15.1577</v>
      </c>
      <c r="AY18" s="18">
        <v>20.383579999999998</v>
      </c>
      <c r="AZ18" s="18">
        <f t="shared" si="0"/>
        <v>17.77064</v>
      </c>
      <c r="BA18" s="18">
        <v>19</v>
      </c>
      <c r="BB18" s="18">
        <v>18</v>
      </c>
      <c r="BD18" s="68">
        <v>19</v>
      </c>
      <c r="BE18" s="5">
        <v>5.7188526315789792E-3</v>
      </c>
      <c r="BF18" s="88">
        <v>18.5</v>
      </c>
      <c r="BG18" s="18">
        <v>14.215985499999999</v>
      </c>
      <c r="BH18" s="87">
        <v>9.4020949999999992E-2</v>
      </c>
      <c r="BI18" s="5">
        <v>15.683451999999999</v>
      </c>
      <c r="BJ18" s="5"/>
      <c r="BK18" s="5"/>
      <c r="BL18" s="80">
        <v>-1.1154547368421018E-2</v>
      </c>
      <c r="BM18" s="80">
        <v>7.7147549999999995E-2</v>
      </c>
      <c r="BN18" s="3">
        <v>1.4674665000000005</v>
      </c>
      <c r="BP18" s="18" t="s">
        <v>293</v>
      </c>
      <c r="BQ18" s="18">
        <v>10.540087</v>
      </c>
      <c r="BR18" s="18">
        <v>11.051784</v>
      </c>
      <c r="BS18" s="18">
        <f t="shared" si="1"/>
        <v>10.795935499999999</v>
      </c>
      <c r="BT18" s="18">
        <v>37.933763999999996</v>
      </c>
      <c r="BU18" s="18">
        <v>15.883054</v>
      </c>
      <c r="BV18" s="18">
        <f t="shared" si="2"/>
        <v>26.908408999999999</v>
      </c>
      <c r="BW18" s="18">
        <f t="shared" si="3"/>
        <v>16.1124735</v>
      </c>
      <c r="BX18" s="5">
        <v>1</v>
      </c>
      <c r="BY18" s="5">
        <v>1</v>
      </c>
      <c r="BZ18" s="85">
        <v>18.5</v>
      </c>
      <c r="CA18" s="18">
        <v>18.5</v>
      </c>
      <c r="CB18" s="18">
        <v>18.5</v>
      </c>
      <c r="CC18" s="18">
        <v>17.5</v>
      </c>
      <c r="CD18" s="18">
        <v>16.5</v>
      </c>
      <c r="CE18" s="18">
        <v>16.5</v>
      </c>
      <c r="CF18" s="18">
        <v>9.4020949999999992E-2</v>
      </c>
    </row>
    <row r="19" spans="1:84" ht="16" thickBot="1" x14ac:dyDescent="0.25">
      <c r="A19" s="52" t="s">
        <v>17</v>
      </c>
      <c r="B19" s="58">
        <v>970.00000369999998</v>
      </c>
      <c r="C19" s="58">
        <v>180.0000019</v>
      </c>
      <c r="D19" s="58">
        <v>623.99999649999995</v>
      </c>
      <c r="E19" s="58">
        <v>648.00000569999997</v>
      </c>
      <c r="F19" s="58">
        <v>201.999999</v>
      </c>
      <c r="G19" s="58">
        <v>1774.0000020999998</v>
      </c>
      <c r="I19" s="58">
        <v>10</v>
      </c>
      <c r="J19" s="59">
        <v>16.999999899999999</v>
      </c>
      <c r="K19" s="59">
        <v>35.999999299999999</v>
      </c>
      <c r="L19" s="59">
        <v>5</v>
      </c>
      <c r="M19" s="59">
        <v>20.0000006</v>
      </c>
      <c r="N19" s="58">
        <v>62.999999199999998</v>
      </c>
      <c r="AU19" s="18">
        <v>8.3129474999999964</v>
      </c>
      <c r="AV19" s="18">
        <v>-2.7838047368421E-2</v>
      </c>
      <c r="AW19" s="24">
        <v>18</v>
      </c>
      <c r="AX19" s="18">
        <v>9.7094959999999997</v>
      </c>
      <c r="AY19" s="18">
        <v>8.7956280000000007</v>
      </c>
      <c r="AZ19" s="18">
        <f t="shared" si="0"/>
        <v>9.2525620000000011</v>
      </c>
      <c r="BA19" s="18">
        <v>14</v>
      </c>
      <c r="BB19" s="18">
        <v>15</v>
      </c>
      <c r="BD19" s="86">
        <v>20</v>
      </c>
      <c r="BE19" s="83">
        <v>-4.0302947368421001E-2</v>
      </c>
      <c r="BF19" s="90">
        <v>15.5</v>
      </c>
      <c r="BG19" s="18">
        <v>20.287838999999998</v>
      </c>
      <c r="BH19" s="91">
        <v>4.7999150000000004E-2</v>
      </c>
      <c r="BI19" s="83">
        <v>20.570086</v>
      </c>
      <c r="BJ19" s="83"/>
      <c r="BK19" s="83"/>
      <c r="BL19" s="84">
        <v>-4.5578247368421004E-2</v>
      </c>
      <c r="BM19" s="84">
        <v>4.2723850000000001E-2</v>
      </c>
      <c r="BN19" s="32">
        <v>0.28224700000000169</v>
      </c>
      <c r="BP19" s="18" t="s">
        <v>294</v>
      </c>
      <c r="BQ19" s="18">
        <v>13.373535</v>
      </c>
      <c r="BR19" s="18">
        <v>12.96509</v>
      </c>
      <c r="BS19" s="18">
        <f t="shared" si="1"/>
        <v>13.1693125</v>
      </c>
      <c r="BT19" s="18">
        <v>13.263483000000001</v>
      </c>
      <c r="BU19" s="18">
        <v>14.04012</v>
      </c>
      <c r="BV19" s="18">
        <f t="shared" si="2"/>
        <v>13.651801500000001</v>
      </c>
      <c r="BW19" s="18">
        <f t="shared" si="3"/>
        <v>0.48248900000000106</v>
      </c>
      <c r="BX19" s="5">
        <v>0.88999998569500005</v>
      </c>
      <c r="BY19" s="5">
        <v>0.56000000238400005</v>
      </c>
      <c r="BZ19" s="85">
        <v>15.5</v>
      </c>
      <c r="CA19" s="18">
        <v>5.5</v>
      </c>
      <c r="CB19" s="18">
        <v>5.5</v>
      </c>
      <c r="CC19" s="18">
        <v>15</v>
      </c>
      <c r="CD19" s="18">
        <v>8</v>
      </c>
      <c r="CE19" s="18">
        <v>11</v>
      </c>
      <c r="CF19" s="18">
        <v>4.7999150000000004E-2</v>
      </c>
    </row>
    <row r="20" spans="1:84" x14ac:dyDescent="0.2">
      <c r="A20" s="52" t="s">
        <v>18</v>
      </c>
      <c r="B20" s="58">
        <v>1452</v>
      </c>
      <c r="C20" s="58">
        <v>476</v>
      </c>
      <c r="D20" s="58">
        <v>1404</v>
      </c>
      <c r="E20" s="58">
        <v>979</v>
      </c>
      <c r="F20" s="58">
        <v>410</v>
      </c>
      <c r="G20" s="58">
        <v>3332</v>
      </c>
      <c r="I20" s="58">
        <v>10.9999999404</v>
      </c>
      <c r="J20" s="59">
        <v>3.9999999105899997</v>
      </c>
      <c r="K20" s="59">
        <v>0</v>
      </c>
      <c r="L20" s="59">
        <v>10.9999999404</v>
      </c>
      <c r="M20" s="59">
        <v>17.99999997019</v>
      </c>
      <c r="N20" s="58">
        <v>14.999999850990001</v>
      </c>
      <c r="AU20" s="18">
        <v>1.4674665000000005</v>
      </c>
      <c r="AV20" s="18">
        <v>5.7188526315789792E-3</v>
      </c>
      <c r="AW20" s="24">
        <v>19</v>
      </c>
      <c r="AX20" s="18">
        <v>11.384527</v>
      </c>
      <c r="AY20" s="18">
        <v>17.047443999999999</v>
      </c>
      <c r="AZ20" s="18">
        <f t="shared" si="0"/>
        <v>14.215985499999999</v>
      </c>
      <c r="BA20" s="18">
        <v>19</v>
      </c>
      <c r="BB20" s="18">
        <v>18</v>
      </c>
      <c r="BD20" s="18" t="s">
        <v>52</v>
      </c>
      <c r="BE20" s="18">
        <f>AVERAGE(BE3:BE19)</f>
        <v>-1.9707414860680641E-3</v>
      </c>
      <c r="BF20" s="18">
        <f t="shared" ref="BF20:BI20" si="4">AVERAGE(BF3:BF19)</f>
        <v>12.294117647058824</v>
      </c>
      <c r="BG20" s="21">
        <f t="shared" si="4"/>
        <v>13.308290029411763</v>
      </c>
      <c r="BH20" s="18">
        <f t="shared" si="4"/>
        <v>8.6331355882352953E-2</v>
      </c>
      <c r="BI20" s="21">
        <f t="shared" si="4"/>
        <v>17.88246726470588</v>
      </c>
      <c r="BL20" s="18">
        <f>AVERAGE(BL3:BL19)</f>
        <v>-3.3155132662538653E-2</v>
      </c>
      <c r="BM20" s="18">
        <f t="shared" ref="BM20:BN20" si="5">AVERAGE(BM3:BM19)</f>
        <v>5.5146964705882366E-2</v>
      </c>
      <c r="BN20" s="18">
        <f t="shared" si="5"/>
        <v>4.5741772352941172</v>
      </c>
      <c r="BP20" s="18" t="s">
        <v>52</v>
      </c>
      <c r="BQ20" s="18">
        <f>AVERAGE(BQ3:BQ19)</f>
        <v>16.374241470588235</v>
      </c>
      <c r="BR20" s="18">
        <f t="shared" ref="BR20:BV20" si="6">AVERAGE(BR3:BR19)</f>
        <v>17.176300705882355</v>
      </c>
      <c r="BS20" s="18">
        <f t="shared" si="6"/>
        <v>16.775271088235293</v>
      </c>
      <c r="BT20" s="18">
        <f t="shared" si="6"/>
        <v>31.369215470588241</v>
      </c>
      <c r="BU20" s="18">
        <f t="shared" si="6"/>
        <v>24.695978588235295</v>
      </c>
      <c r="BV20" s="18">
        <f t="shared" si="6"/>
        <v>28.032597029411765</v>
      </c>
      <c r="BW20" s="18">
        <f t="shared" ref="BW20:BZ20" si="7">AVERAGE(BW3:BW19)</f>
        <v>11.257325941176472</v>
      </c>
      <c r="BX20" s="18">
        <f t="shared" si="7"/>
        <v>0.73058823336576473</v>
      </c>
      <c r="BY20" s="18">
        <f t="shared" si="7"/>
        <v>0.65705882310870578</v>
      </c>
      <c r="BZ20" s="18">
        <f t="shared" si="7"/>
        <v>12.323529411764707</v>
      </c>
      <c r="CA20" s="18">
        <f t="shared" ref="CA20:CF20" si="8">AVERAGE(CA3:CA19)</f>
        <v>9.3235294117647065</v>
      </c>
      <c r="CB20" s="18">
        <f t="shared" si="8"/>
        <v>7.117647058823529</v>
      </c>
      <c r="CC20" s="18">
        <f t="shared" si="8"/>
        <v>12.323529411764707</v>
      </c>
      <c r="CD20" s="18">
        <f t="shared" si="8"/>
        <v>7.382352941176471</v>
      </c>
      <c r="CE20" s="18">
        <f t="shared" si="8"/>
        <v>6.3235294117647056</v>
      </c>
      <c r="CF20" s="18">
        <f t="shared" si="8"/>
        <v>9.5385455882352949E-2</v>
      </c>
    </row>
    <row r="21" spans="1:84" x14ac:dyDescent="0.2">
      <c r="A21" s="52" t="s">
        <v>19</v>
      </c>
      <c r="B21" s="58">
        <v>1379.0000021456999</v>
      </c>
      <c r="C21" s="58">
        <v>439.99999910596802</v>
      </c>
      <c r="D21" s="58">
        <v>988.00001144419014</v>
      </c>
      <c r="E21" s="58">
        <v>634.00000445541605</v>
      </c>
      <c r="F21" s="58">
        <v>616.99999272809009</v>
      </c>
      <c r="G21" s="58">
        <v>2807.000012695858</v>
      </c>
      <c r="I21" s="58">
        <v>27.999999599999999</v>
      </c>
      <c r="J21" s="59">
        <v>38.999998899999994</v>
      </c>
      <c r="K21" s="59">
        <v>24.999999699999996</v>
      </c>
      <c r="L21" s="59">
        <v>44</v>
      </c>
      <c r="M21" s="59">
        <v>41.9999994</v>
      </c>
      <c r="N21" s="58">
        <v>91.999998199999993</v>
      </c>
      <c r="AU21" s="18">
        <v>0.28224700000000169</v>
      </c>
      <c r="AV21" s="18">
        <v>-4.0302947368421001E-2</v>
      </c>
      <c r="AW21" s="24">
        <v>20</v>
      </c>
      <c r="AX21" s="18">
        <v>17.895795</v>
      </c>
      <c r="AY21" s="18">
        <v>22.679883</v>
      </c>
      <c r="AZ21" s="18">
        <f t="shared" si="0"/>
        <v>20.287838999999998</v>
      </c>
      <c r="BA21" s="18">
        <v>15</v>
      </c>
      <c r="BB21" s="18">
        <v>16</v>
      </c>
      <c r="BD21" s="18" t="s">
        <v>53</v>
      </c>
      <c r="BE21" s="18">
        <f>STDEV(BE3:BE19)</f>
        <v>4.0778646324247797E-2</v>
      </c>
      <c r="BF21" s="18">
        <f t="shared" ref="BF21:BG21" si="9">STDEV(BF3:BF19)</f>
        <v>3.5357938621042537</v>
      </c>
      <c r="BG21" s="21">
        <f t="shared" si="9"/>
        <v>3.6072394677317687</v>
      </c>
      <c r="BH21" s="18">
        <f t="shared" ref="BH21:BI21" si="10">STDEV(BH3:BH19)</f>
        <v>4.0778646324247783E-2</v>
      </c>
      <c r="BI21" s="21">
        <f t="shared" si="10"/>
        <v>4.0634702715997788</v>
      </c>
      <c r="BL21" s="18">
        <f>STDEV(BL3:BL19)</f>
        <v>2.1214855020743741E-2</v>
      </c>
      <c r="BM21" s="18">
        <f t="shared" ref="BM21:BN21" si="11">STDEV(BM3:BM19)</f>
        <v>2.121485502074372E-2</v>
      </c>
      <c r="BN21" s="18">
        <f t="shared" si="11"/>
        <v>3.2403485192544839</v>
      </c>
      <c r="BP21" s="18" t="s">
        <v>53</v>
      </c>
      <c r="BQ21" s="18">
        <f t="shared" ref="BQ21:BV21" si="12">STDEV(BQ3:BQ19)</f>
        <v>8.404114611145646</v>
      </c>
      <c r="BR21" s="18">
        <f t="shared" si="12"/>
        <v>7.2860191454704308</v>
      </c>
      <c r="BS21" s="18">
        <f t="shared" si="12"/>
        <v>6.8531199613175238</v>
      </c>
      <c r="BT21" s="18">
        <f t="shared" si="12"/>
        <v>16.54245711980402</v>
      </c>
      <c r="BU21" s="18">
        <f t="shared" si="12"/>
        <v>15.350334418536459</v>
      </c>
      <c r="BV21" s="18">
        <f t="shared" si="12"/>
        <v>13.779528141372854</v>
      </c>
      <c r="BW21" s="18">
        <f t="shared" ref="BW21:BZ21" si="13">STDEV(BW3:BW19)</f>
        <v>9.8569954817028815</v>
      </c>
      <c r="BX21" s="18">
        <f t="shared" si="13"/>
        <v>0.29039780064703569</v>
      </c>
      <c r="BY21" s="18">
        <f t="shared" si="13"/>
        <v>0.30072339160372974</v>
      </c>
      <c r="BZ21" s="18">
        <f t="shared" si="13"/>
        <v>3.5264233671959873</v>
      </c>
      <c r="CA21" s="18">
        <f t="shared" ref="CA21:CE21" si="14">STDEV(CA3:CA19)</f>
        <v>5.8227495021429423</v>
      </c>
      <c r="CB21" s="18">
        <f t="shared" si="14"/>
        <v>6.4602859160912578</v>
      </c>
      <c r="CC21" s="18">
        <f t="shared" si="14"/>
        <v>4.7695033037734529</v>
      </c>
      <c r="CD21" s="18">
        <f t="shared" si="14"/>
        <v>6.6250693670064358</v>
      </c>
      <c r="CE21" s="18">
        <f t="shared" si="14"/>
        <v>6.7637387416062937</v>
      </c>
      <c r="CF21" s="18">
        <f t="shared" ref="CF21" si="15">STDEV(CF3:CF19)</f>
        <v>4.9953559936604726E-2</v>
      </c>
    </row>
    <row r="22" spans="1:84" x14ac:dyDescent="0.2">
      <c r="A22" s="40" t="s">
        <v>500</v>
      </c>
      <c r="B22" s="53">
        <f>AVERAGE(B2:B21)</f>
        <v>1108.1999985971811</v>
      </c>
      <c r="C22" s="53">
        <f t="shared" ref="C22:G22" si="16">AVERAGE(C2:C21)</f>
        <v>401.60000036051417</v>
      </c>
      <c r="D22" s="53">
        <f t="shared" si="16"/>
        <v>903.30000137525474</v>
      </c>
      <c r="E22" s="53">
        <f t="shared" si="16"/>
        <v>381.30000086810753</v>
      </c>
      <c r="F22" s="53">
        <f t="shared" si="16"/>
        <v>287.44999999137616</v>
      </c>
      <c r="G22" s="53">
        <f t="shared" si="16"/>
        <v>2413.1000003329505</v>
      </c>
      <c r="I22" s="53">
        <f t="shared" ref="I22:N22" si="17">AVERAGE(I2:I21)</f>
        <v>49.249999960514202</v>
      </c>
      <c r="J22" s="53">
        <f t="shared" si="17"/>
        <v>60.849999959035905</v>
      </c>
      <c r="K22" s="53">
        <f t="shared" si="17"/>
        <v>72.10000013771959</v>
      </c>
      <c r="L22" s="53">
        <f t="shared" si="17"/>
        <v>20.400000062493103</v>
      </c>
      <c r="M22" s="53">
        <f t="shared" si="17"/>
        <v>93.299999477620503</v>
      </c>
      <c r="N22" s="53">
        <f t="shared" si="17"/>
        <v>182.2000000572697</v>
      </c>
      <c r="AW22" s="18">
        <v>1</v>
      </c>
      <c r="AX22" s="18">
        <v>10.161918</v>
      </c>
      <c r="BA22" s="18">
        <v>11</v>
      </c>
      <c r="BD22" s="18" t="s">
        <v>54</v>
      </c>
      <c r="BE22" s="18">
        <f>BE21/SQRT(17)</f>
        <v>9.8902744743870011E-3</v>
      </c>
      <c r="BF22" s="18">
        <f t="shared" ref="BF22:BI22" si="18">BF21/SQRT(17)</f>
        <v>0.8575559743450849</v>
      </c>
      <c r="BG22" s="21">
        <f t="shared" si="18"/>
        <v>0.87488407896205356</v>
      </c>
      <c r="BH22" s="18">
        <f t="shared" si="18"/>
        <v>9.8902744743869977E-3</v>
      </c>
      <c r="BI22" s="21">
        <f t="shared" si="18"/>
        <v>0.98553630213901</v>
      </c>
      <c r="BL22" s="18">
        <f>BL21/SQRT(17)</f>
        <v>5.1453581225112703E-3</v>
      </c>
      <c r="BM22" s="18">
        <f t="shared" ref="BM22:BN22" si="19">BM21/SQRT(17)</f>
        <v>5.1453581225112651E-3</v>
      </c>
      <c r="BN22" s="18">
        <f t="shared" si="19"/>
        <v>0.78589995345294228</v>
      </c>
      <c r="BP22" s="18" t="s">
        <v>54</v>
      </c>
      <c r="BQ22" s="18">
        <f t="shared" ref="BQ22:BV22" si="20">BQ21/SQRT(17)</f>
        <v>2.0382971900911877</v>
      </c>
      <c r="BR22" s="18">
        <f t="shared" si="20"/>
        <v>1.7671192074733595</v>
      </c>
      <c r="BS22" s="18">
        <f t="shared" si="20"/>
        <v>1.6621257332671158</v>
      </c>
      <c r="BT22" s="18">
        <f t="shared" si="20"/>
        <v>4.0121351771884042</v>
      </c>
      <c r="BU22" s="18">
        <f t="shared" si="20"/>
        <v>3.7230029527164747</v>
      </c>
      <c r="BV22" s="18">
        <f t="shared" si="20"/>
        <v>3.3420264704736047</v>
      </c>
      <c r="BW22" s="18">
        <f t="shared" ref="BW22:BZ22" si="21">BW21/SQRT(17)</f>
        <v>2.3906725601351182</v>
      </c>
      <c r="BX22" s="18">
        <f t="shared" si="21"/>
        <v>7.043181208910522E-2</v>
      </c>
      <c r="BY22" s="18">
        <f t="shared" si="21"/>
        <v>7.2936135745656522E-2</v>
      </c>
      <c r="BZ22" s="18">
        <f t="shared" si="21"/>
        <v>0.85528329550560867</v>
      </c>
      <c r="CA22" s="18">
        <f t="shared" ref="CA22:CE22" si="22">CA21/SQRT(17)</f>
        <v>1.4122241899322352</v>
      </c>
      <c r="CB22" s="18">
        <f t="shared" si="22"/>
        <v>1.5668494825726123</v>
      </c>
      <c r="CC22" s="18">
        <f t="shared" si="22"/>
        <v>1.1567744648935494</v>
      </c>
      <c r="CD22" s="18">
        <f t="shared" si="22"/>
        <v>1.6068153398359688</v>
      </c>
      <c r="CE22" s="18">
        <f t="shared" si="22"/>
        <v>1.6404476032779427</v>
      </c>
      <c r="CF22" s="18">
        <f t="shared" ref="CF22" si="23">CF21/SQRT(17)</f>
        <v>1.2115517882014348E-2</v>
      </c>
    </row>
    <row r="23" spans="1:84" x14ac:dyDescent="0.2">
      <c r="A23" s="54" t="s">
        <v>231</v>
      </c>
      <c r="B23" s="55">
        <v>2700</v>
      </c>
      <c r="C23" s="56">
        <v>2100</v>
      </c>
      <c r="D23" s="56">
        <v>1800</v>
      </c>
      <c r="E23" s="56">
        <v>1600</v>
      </c>
      <c r="F23" s="56">
        <v>1200</v>
      </c>
      <c r="G23" s="57">
        <v>6600</v>
      </c>
      <c r="I23" s="55">
        <v>2700</v>
      </c>
      <c r="J23" s="56">
        <v>2100</v>
      </c>
      <c r="K23" s="56">
        <v>1800</v>
      </c>
      <c r="L23" s="56">
        <v>1600</v>
      </c>
      <c r="M23" s="56">
        <v>1200</v>
      </c>
      <c r="N23" s="57">
        <v>6600</v>
      </c>
      <c r="AW23" s="18">
        <v>2</v>
      </c>
      <c r="AX23" s="18">
        <v>11.461981</v>
      </c>
      <c r="BA23" s="18">
        <v>11</v>
      </c>
      <c r="BD23" s="24" t="s">
        <v>308</v>
      </c>
    </row>
    <row r="24" spans="1:84" x14ac:dyDescent="0.2">
      <c r="A24" s="54" t="s">
        <v>230</v>
      </c>
      <c r="B24" s="53">
        <f>(B22/B23)*100</f>
        <v>41.044444392488188</v>
      </c>
      <c r="C24" s="53">
        <f t="shared" ref="C24:G24" si="24">(C22/C23)*100</f>
        <v>19.123809540976865</v>
      </c>
      <c r="D24" s="53">
        <f t="shared" si="24"/>
        <v>50.183333409736377</v>
      </c>
      <c r="E24" s="53">
        <f t="shared" si="24"/>
        <v>23.831250054256721</v>
      </c>
      <c r="F24" s="53">
        <f t="shared" si="24"/>
        <v>23.954166665948012</v>
      </c>
      <c r="G24" s="53">
        <f t="shared" si="24"/>
        <v>36.562121217165917</v>
      </c>
      <c r="I24" s="53">
        <f t="shared" ref="I24:N24" si="25">(I22/I23)*100</f>
        <v>1.8240740726116371</v>
      </c>
      <c r="J24" s="53">
        <f t="shared" si="25"/>
        <v>2.8976190456683768</v>
      </c>
      <c r="K24" s="53">
        <f t="shared" si="25"/>
        <v>4.0055555632066442</v>
      </c>
      <c r="L24" s="53">
        <f t="shared" si="25"/>
        <v>1.2750000039058189</v>
      </c>
      <c r="M24" s="53">
        <f t="shared" si="25"/>
        <v>7.7749999564683758</v>
      </c>
      <c r="N24" s="53">
        <f t="shared" si="25"/>
        <v>2.7606060614737835</v>
      </c>
      <c r="AW24" s="18">
        <v>3</v>
      </c>
      <c r="AX24" s="18">
        <v>7.7011349999999998</v>
      </c>
      <c r="BA24" s="18">
        <v>10</v>
      </c>
      <c r="BD24" s="24" t="s">
        <v>309</v>
      </c>
      <c r="BL24" s="18">
        <f>TTEST(BE3:BE19,BL3:BL19,2,1)</f>
        <v>9.3883993938963847E-4</v>
      </c>
    </row>
    <row r="25" spans="1:84" x14ac:dyDescent="0.2">
      <c r="A25" s="42">
        <v>1</v>
      </c>
      <c r="B25" s="42">
        <f>B2/B$23*100</f>
        <v>12.259259274991333</v>
      </c>
      <c r="C25" s="42">
        <f t="shared" ref="C25:G25" si="26">C2/C$23*100</f>
        <v>0.71428574266666667</v>
      </c>
      <c r="D25" s="42">
        <f t="shared" si="26"/>
        <v>38.333333614801106</v>
      </c>
      <c r="E25" s="42">
        <f t="shared" si="26"/>
        <v>4.1250000591405005</v>
      </c>
      <c r="F25" s="42">
        <f t="shared" si="26"/>
        <v>5.1666665977481667</v>
      </c>
      <c r="G25" s="42">
        <f t="shared" si="26"/>
        <v>15.696969789199787</v>
      </c>
      <c r="H25" s="42"/>
      <c r="I25" s="42">
        <f t="shared" ref="I25:N25" si="27">I2/I$23*100</f>
        <v>0.51851850692859269</v>
      </c>
      <c r="J25" s="42">
        <f t="shared" si="27"/>
        <v>0.57142855865600017</v>
      </c>
      <c r="K25" s="42">
        <f t="shared" si="27"/>
        <v>0.55555554313777789</v>
      </c>
      <c r="L25" s="42">
        <f t="shared" si="27"/>
        <v>0.87499998044212535</v>
      </c>
      <c r="M25" s="42">
        <f t="shared" si="27"/>
        <v>3.5833333308481672</v>
      </c>
      <c r="N25" s="42">
        <f t="shared" si="27"/>
        <v>0.54545453326254556</v>
      </c>
      <c r="AW25" s="18">
        <v>4</v>
      </c>
      <c r="AX25" s="18">
        <v>13.571897999999999</v>
      </c>
      <c r="BA25" s="18">
        <v>14</v>
      </c>
      <c r="BR25" s="18" t="s">
        <v>217</v>
      </c>
    </row>
    <row r="26" spans="1:84" x14ac:dyDescent="0.2">
      <c r="A26" s="42">
        <v>2</v>
      </c>
      <c r="B26" s="42">
        <f>B3/B$23*100</f>
        <v>47</v>
      </c>
      <c r="C26" s="42">
        <f t="shared" ref="C26:G26" si="28">C3/C$23*100</f>
        <v>14.095238095238095</v>
      </c>
      <c r="D26" s="42">
        <f t="shared" si="28"/>
        <v>52.833333333333329</v>
      </c>
      <c r="E26" s="42">
        <f t="shared" si="28"/>
        <v>20.3125</v>
      </c>
      <c r="F26" s="42">
        <f t="shared" si="28"/>
        <v>18.333333333333332</v>
      </c>
      <c r="G26" s="42">
        <f t="shared" si="28"/>
        <v>38.121212121212125</v>
      </c>
      <c r="H26" s="42"/>
      <c r="I26" s="42">
        <f t="shared" ref="I26:N26" si="29">I3/I$23*100</f>
        <v>0</v>
      </c>
      <c r="J26" s="42">
        <f t="shared" si="29"/>
        <v>0</v>
      </c>
      <c r="K26" s="42">
        <f t="shared" si="29"/>
        <v>0</v>
      </c>
      <c r="L26" s="42">
        <f t="shared" si="29"/>
        <v>0</v>
      </c>
      <c r="M26" s="42">
        <f t="shared" si="29"/>
        <v>0</v>
      </c>
      <c r="N26" s="42">
        <f t="shared" si="29"/>
        <v>0</v>
      </c>
      <c r="AW26" s="18">
        <v>5</v>
      </c>
      <c r="AX26" s="18">
        <v>25.272096999999999</v>
      </c>
      <c r="BA26" s="18">
        <v>13</v>
      </c>
      <c r="BF26" s="18" t="s">
        <v>217</v>
      </c>
      <c r="BW26" s="18" t="s">
        <v>217</v>
      </c>
    </row>
    <row r="27" spans="1:84" x14ac:dyDescent="0.2">
      <c r="A27" s="42">
        <v>3</v>
      </c>
      <c r="B27" s="42">
        <f>B4/B$23*100</f>
        <v>10.333333333333334</v>
      </c>
      <c r="C27" s="42">
        <f t="shared" ref="C27:G27" si="30">C4/C$23*100</f>
        <v>11.476190476190476</v>
      </c>
      <c r="D27" s="42">
        <f t="shared" si="30"/>
        <v>18.444444444444443</v>
      </c>
      <c r="E27" s="42">
        <f t="shared" si="30"/>
        <v>0.1875</v>
      </c>
      <c r="F27" s="42">
        <f t="shared" si="30"/>
        <v>23.166666666666664</v>
      </c>
      <c r="G27" s="42">
        <f t="shared" si="30"/>
        <v>12.909090909090908</v>
      </c>
      <c r="H27" s="42"/>
      <c r="I27" s="42">
        <f t="shared" ref="I27:N27" si="31">I4/I$23*100</f>
        <v>0</v>
      </c>
      <c r="J27" s="42">
        <f t="shared" si="31"/>
        <v>0</v>
      </c>
      <c r="K27" s="42">
        <f t="shared" si="31"/>
        <v>0</v>
      </c>
      <c r="L27" s="42">
        <f t="shared" si="31"/>
        <v>0</v>
      </c>
      <c r="M27" s="42">
        <f t="shared" si="31"/>
        <v>0</v>
      </c>
      <c r="N27" s="42">
        <f t="shared" si="31"/>
        <v>0</v>
      </c>
      <c r="AW27" s="18">
        <v>6</v>
      </c>
      <c r="AX27" s="18">
        <v>11.441482000000001</v>
      </c>
      <c r="BA27" s="18">
        <v>11</v>
      </c>
      <c r="BG27" s="18" t="s">
        <v>217</v>
      </c>
      <c r="BH27" s="18" t="s">
        <v>217</v>
      </c>
      <c r="BI27" s="18" t="s">
        <v>217</v>
      </c>
    </row>
    <row r="28" spans="1:84" x14ac:dyDescent="0.2">
      <c r="A28" s="42">
        <v>4</v>
      </c>
      <c r="B28" s="42">
        <f>B5/B$23*100</f>
        <v>71.888888875637036</v>
      </c>
      <c r="C28" s="42">
        <f t="shared" ref="C28:G28" si="32">C5/C$23*100</f>
        <v>47.190476075873718</v>
      </c>
      <c r="D28" s="42">
        <f t="shared" si="32"/>
        <v>77.888888503530453</v>
      </c>
      <c r="E28" s="42">
        <f t="shared" si="32"/>
        <v>52.624999871480625</v>
      </c>
      <c r="F28" s="42">
        <f t="shared" si="32"/>
        <v>48.000000091260667</v>
      </c>
      <c r="G28" s="42">
        <f t="shared" si="32"/>
        <v>65.666666519683275</v>
      </c>
      <c r="H28" s="42"/>
      <c r="I28" s="42">
        <f t="shared" ref="I28:N28" si="33">I5/I$23*100</f>
        <v>0.1481481448368889</v>
      </c>
      <c r="J28" s="42">
        <f t="shared" si="33"/>
        <v>4.7619046554666665E-2</v>
      </c>
      <c r="K28" s="42">
        <f t="shared" si="33"/>
        <v>0</v>
      </c>
      <c r="L28" s="42">
        <f t="shared" si="33"/>
        <v>0</v>
      </c>
      <c r="M28" s="42">
        <f t="shared" si="33"/>
        <v>0.49999998882383323</v>
      </c>
      <c r="N28" s="42">
        <f t="shared" si="33"/>
        <v>7.5757574064303029E-2</v>
      </c>
      <c r="AW28" s="18">
        <v>7</v>
      </c>
      <c r="AX28" s="18">
        <v>20.675716999999999</v>
      </c>
      <c r="BA28" s="18">
        <v>12</v>
      </c>
    </row>
    <row r="29" spans="1:84" x14ac:dyDescent="0.2">
      <c r="A29" s="42">
        <v>5</v>
      </c>
      <c r="B29" s="42">
        <f t="shared" ref="B29:G44" si="34">B6/B$23*100</f>
        <v>53.222222205386295</v>
      </c>
      <c r="C29" s="42">
        <f t="shared" si="34"/>
        <v>53.285714487228574</v>
      </c>
      <c r="D29" s="42">
        <f t="shared" si="34"/>
        <v>71.944444626572221</v>
      </c>
      <c r="E29" s="42">
        <f t="shared" si="34"/>
        <v>65.375000331562489</v>
      </c>
      <c r="F29" s="42">
        <f t="shared" si="34"/>
        <v>48.249999806274992</v>
      </c>
      <c r="G29" s="42">
        <f t="shared" si="34"/>
        <v>58.348484955386823</v>
      </c>
      <c r="H29" s="42"/>
      <c r="I29" s="42">
        <f t="shared" ref="I29:N29" si="35">I6/I$23*100</f>
        <v>1.7037037070168151</v>
      </c>
      <c r="J29" s="42">
        <f t="shared" si="35"/>
        <v>4.7142856532611424</v>
      </c>
      <c r="K29" s="42">
        <f t="shared" si="35"/>
        <v>10.38888894641911</v>
      </c>
      <c r="L29" s="42">
        <f t="shared" si="35"/>
        <v>1.9375000265454998</v>
      </c>
      <c r="M29" s="42">
        <f t="shared" si="35"/>
        <v>21.33333315142767</v>
      </c>
      <c r="N29" s="42">
        <f t="shared" si="35"/>
        <v>5.030303027931545</v>
      </c>
      <c r="AW29" s="18">
        <v>8</v>
      </c>
    </row>
    <row r="30" spans="1:84" x14ac:dyDescent="0.2">
      <c r="A30" s="42">
        <v>6</v>
      </c>
      <c r="B30" s="42">
        <f t="shared" si="34"/>
        <v>3.9259259259259256</v>
      </c>
      <c r="C30" s="42">
        <f t="shared" si="34"/>
        <v>3.1428571428571432</v>
      </c>
      <c r="D30" s="42">
        <f t="shared" si="34"/>
        <v>2.7222222222222219</v>
      </c>
      <c r="E30" s="42">
        <f t="shared" si="34"/>
        <v>2.25</v>
      </c>
      <c r="F30" s="42">
        <f t="shared" si="34"/>
        <v>2.666666666666667</v>
      </c>
      <c r="G30" s="42">
        <f t="shared" si="34"/>
        <v>3.3484848484848486</v>
      </c>
      <c r="H30" s="42"/>
      <c r="I30" s="42">
        <f t="shared" ref="I30:N30" si="36">I7/I$23*100</f>
        <v>1.074074074074074</v>
      </c>
      <c r="J30" s="42">
        <f t="shared" si="36"/>
        <v>4.4285714285714279</v>
      </c>
      <c r="K30" s="42">
        <f t="shared" si="36"/>
        <v>0.55555555555555558</v>
      </c>
      <c r="L30" s="42">
        <f t="shared" si="36"/>
        <v>0.6875</v>
      </c>
      <c r="M30" s="42">
        <f t="shared" si="36"/>
        <v>23.666666666666668</v>
      </c>
      <c r="N30" s="42">
        <f t="shared" si="36"/>
        <v>2</v>
      </c>
      <c r="AW30" s="18">
        <v>9</v>
      </c>
      <c r="AX30" s="18">
        <v>13.211850999999999</v>
      </c>
      <c r="BA30" s="18">
        <v>14</v>
      </c>
    </row>
    <row r="31" spans="1:84" x14ac:dyDescent="0.2">
      <c r="A31" s="42">
        <v>7</v>
      </c>
      <c r="B31" s="42">
        <f t="shared" si="34"/>
        <v>74.444444444444443</v>
      </c>
      <c r="C31" s="42">
        <f t="shared" si="34"/>
        <v>4.6190476190476195</v>
      </c>
      <c r="D31" s="42">
        <f t="shared" si="34"/>
        <v>65.5</v>
      </c>
      <c r="E31" s="42">
        <f t="shared" si="34"/>
        <v>5.9375</v>
      </c>
      <c r="F31" s="42">
        <f t="shared" si="34"/>
        <v>27.166666666666668</v>
      </c>
      <c r="G31" s="42">
        <f t="shared" si="34"/>
        <v>49.787878787878789</v>
      </c>
      <c r="H31" s="42"/>
      <c r="I31" s="42">
        <f t="shared" ref="I31:N31" si="37">I8/I$23*100</f>
        <v>3.7037037037037035E-2</v>
      </c>
      <c r="J31" s="42">
        <f t="shared" si="37"/>
        <v>0</v>
      </c>
      <c r="K31" s="42">
        <f t="shared" si="37"/>
        <v>0</v>
      </c>
      <c r="L31" s="42">
        <f t="shared" si="37"/>
        <v>0</v>
      </c>
      <c r="M31" s="42">
        <f t="shared" si="37"/>
        <v>8.3333333333333343E-2</v>
      </c>
      <c r="N31" s="42">
        <f t="shared" si="37"/>
        <v>1.5151515151515152E-2</v>
      </c>
      <c r="AW31" s="18">
        <v>10</v>
      </c>
      <c r="AX31" s="18">
        <v>9.9133969999999998</v>
      </c>
      <c r="BA31" s="18">
        <v>11</v>
      </c>
    </row>
    <row r="32" spans="1:84" x14ac:dyDescent="0.2">
      <c r="A32" s="42">
        <v>8</v>
      </c>
      <c r="B32" s="42">
        <f t="shared" si="34"/>
        <v>65.407407407407405</v>
      </c>
      <c r="C32" s="42">
        <f t="shared" si="34"/>
        <v>50.142857142857146</v>
      </c>
      <c r="D32" s="42">
        <f t="shared" si="34"/>
        <v>76.777777777777771</v>
      </c>
      <c r="E32" s="42">
        <f t="shared" si="34"/>
        <v>27.875</v>
      </c>
      <c r="F32" s="42">
        <f t="shared" si="34"/>
        <v>11.916666666666668</v>
      </c>
      <c r="G32" s="42">
        <f t="shared" si="34"/>
        <v>63.651515151515149</v>
      </c>
      <c r="H32" s="42"/>
      <c r="I32" s="42">
        <f t="shared" ref="I32:N32" si="38">I9/I$23*100</f>
        <v>7.4444444703703718</v>
      </c>
      <c r="J32" s="42">
        <f t="shared" si="38"/>
        <v>11.238095371428571</v>
      </c>
      <c r="K32" s="42">
        <f t="shared" si="38"/>
        <v>17.888889033333335</v>
      </c>
      <c r="L32" s="42">
        <f t="shared" si="38"/>
        <v>4.3125000499999997</v>
      </c>
      <c r="M32" s="42">
        <f t="shared" si="38"/>
        <v>12.416666608333331</v>
      </c>
      <c r="N32" s="42">
        <f t="shared" si="38"/>
        <v>11.500000092424244</v>
      </c>
      <c r="AW32" s="18">
        <v>11</v>
      </c>
      <c r="AX32" s="18">
        <v>8.276491</v>
      </c>
      <c r="BA32" s="18">
        <v>8</v>
      </c>
    </row>
    <row r="33" spans="1:53" x14ac:dyDescent="0.2">
      <c r="A33" s="42">
        <v>9</v>
      </c>
      <c r="B33" s="42">
        <f t="shared" si="34"/>
        <v>50.962962748148129</v>
      </c>
      <c r="C33" s="42">
        <f t="shared" si="34"/>
        <v>2.9523809047619047</v>
      </c>
      <c r="D33" s="42">
        <f t="shared" si="34"/>
        <v>55.722222311111103</v>
      </c>
      <c r="E33" s="42">
        <f t="shared" si="34"/>
        <v>13.249999837500001</v>
      </c>
      <c r="F33" s="42">
        <f t="shared" si="34"/>
        <v>12.583333408333331</v>
      </c>
      <c r="G33" s="42">
        <f t="shared" si="34"/>
        <v>36.9848484060606</v>
      </c>
      <c r="H33" s="42"/>
      <c r="I33" s="42">
        <f t="shared" ref="I33:N33" si="39">I10/I$23*100</f>
        <v>0.44444443333333339</v>
      </c>
      <c r="J33" s="42">
        <f t="shared" si="39"/>
        <v>7.9523810333333316</v>
      </c>
      <c r="K33" s="42">
        <f t="shared" si="39"/>
        <v>0</v>
      </c>
      <c r="L33" s="42">
        <f t="shared" si="39"/>
        <v>0</v>
      </c>
      <c r="M33" s="42">
        <f t="shared" si="39"/>
        <v>29.249999425000002</v>
      </c>
      <c r="N33" s="42">
        <f t="shared" si="39"/>
        <v>2.7121212333333329</v>
      </c>
      <c r="AW33" s="18">
        <v>12</v>
      </c>
      <c r="AX33" s="18">
        <v>14.427341</v>
      </c>
      <c r="BA33" s="18">
        <v>4</v>
      </c>
    </row>
    <row r="34" spans="1:53" x14ac:dyDescent="0.2">
      <c r="A34" s="42">
        <v>10</v>
      </c>
      <c r="B34" s="42">
        <f t="shared" si="34"/>
        <v>25.25925925925926</v>
      </c>
      <c r="C34" s="42">
        <f t="shared" si="34"/>
        <v>38.142857142857146</v>
      </c>
      <c r="D34" s="42">
        <f t="shared" si="34"/>
        <v>28.833333333333332</v>
      </c>
      <c r="E34" s="42">
        <f t="shared" si="34"/>
        <v>11.625</v>
      </c>
      <c r="F34" s="42">
        <f t="shared" si="34"/>
        <v>34.25</v>
      </c>
      <c r="G34" s="42">
        <f t="shared" si="34"/>
        <v>30.333333333333336</v>
      </c>
      <c r="H34" s="42"/>
      <c r="I34" s="42">
        <f t="shared" ref="I34:N34" si="40">I11/I$23*100</f>
        <v>0</v>
      </c>
      <c r="J34" s="42">
        <f t="shared" si="40"/>
        <v>0</v>
      </c>
      <c r="K34" s="42">
        <f t="shared" si="40"/>
        <v>0</v>
      </c>
      <c r="L34" s="42">
        <f t="shared" si="40"/>
        <v>0</v>
      </c>
      <c r="M34" s="42">
        <f t="shared" si="40"/>
        <v>0</v>
      </c>
      <c r="N34" s="42">
        <f t="shared" si="40"/>
        <v>0</v>
      </c>
      <c r="AW34" s="18">
        <v>13</v>
      </c>
      <c r="AX34" s="18">
        <v>12.534323000000001</v>
      </c>
      <c r="BA34" s="18">
        <v>12</v>
      </c>
    </row>
    <row r="35" spans="1:53" x14ac:dyDescent="0.2">
      <c r="A35" s="42">
        <v>11</v>
      </c>
      <c r="B35" s="42">
        <f t="shared" si="34"/>
        <v>14.111110988888893</v>
      </c>
      <c r="C35" s="42">
        <f t="shared" si="34"/>
        <v>5.5714286000000008</v>
      </c>
      <c r="D35" s="42">
        <f t="shared" si="34"/>
        <v>18.111111238888881</v>
      </c>
      <c r="E35" s="42">
        <f t="shared" si="34"/>
        <v>7.7500000250000003</v>
      </c>
      <c r="F35" s="42">
        <f t="shared" si="34"/>
        <v>14.583333533333334</v>
      </c>
      <c r="G35" s="42">
        <f t="shared" si="34"/>
        <v>12.484848478787878</v>
      </c>
      <c r="H35" s="42"/>
      <c r="I35" s="42">
        <f t="shared" ref="I35:N35" si="41">I12/I$23*100</f>
        <v>0.1111111111111111</v>
      </c>
      <c r="J35" s="42">
        <f t="shared" si="41"/>
        <v>9.5238095238095233E-2</v>
      </c>
      <c r="K35" s="42">
        <f t="shared" si="41"/>
        <v>5.5555555555555552E-2</v>
      </c>
      <c r="L35" s="42">
        <f t="shared" si="41"/>
        <v>4.3125000812500005</v>
      </c>
      <c r="M35" s="42">
        <f t="shared" si="41"/>
        <v>9.3333334333333351</v>
      </c>
      <c r="N35" s="42">
        <f t="shared" si="41"/>
        <v>9.0909090909090912E-2</v>
      </c>
      <c r="AW35" s="18">
        <v>14</v>
      </c>
      <c r="AX35" s="18">
        <v>16.894261</v>
      </c>
      <c r="BA35" s="18">
        <v>13</v>
      </c>
    </row>
    <row r="36" spans="1:53" x14ac:dyDescent="0.2">
      <c r="A36" s="42">
        <v>12</v>
      </c>
      <c r="B36" s="42">
        <f t="shared" si="34"/>
        <v>5.4814814814814818</v>
      </c>
      <c r="C36" s="42">
        <f t="shared" si="34"/>
        <v>5.4285714285714288</v>
      </c>
      <c r="D36" s="42">
        <f t="shared" si="34"/>
        <v>45.888888888888893</v>
      </c>
      <c r="E36" s="42">
        <f t="shared" si="34"/>
        <v>2.6875</v>
      </c>
      <c r="F36" s="42">
        <f t="shared" si="34"/>
        <v>2.5833333333333335</v>
      </c>
      <c r="G36" s="42">
        <f t="shared" si="34"/>
        <v>16.484848484848484</v>
      </c>
      <c r="H36" s="42"/>
      <c r="I36" s="42">
        <f t="shared" ref="I36:N36" si="42">I13/I$23*100</f>
        <v>0.48148148148148151</v>
      </c>
      <c r="J36" s="42">
        <f t="shared" si="42"/>
        <v>0.19047619047619047</v>
      </c>
      <c r="K36" s="42">
        <f t="shared" si="42"/>
        <v>4.1111111111111116</v>
      </c>
      <c r="L36" s="42">
        <f t="shared" si="42"/>
        <v>0</v>
      </c>
      <c r="M36" s="42">
        <f t="shared" si="42"/>
        <v>14.583333333333334</v>
      </c>
      <c r="N36" s="42">
        <f t="shared" si="42"/>
        <v>1.3787878787878789</v>
      </c>
      <c r="AW36" s="18">
        <v>15</v>
      </c>
      <c r="AX36" s="18">
        <v>16.299482000000001</v>
      </c>
      <c r="BA36" s="18">
        <v>10</v>
      </c>
    </row>
    <row r="37" spans="1:53" x14ac:dyDescent="0.2">
      <c r="A37" s="42">
        <v>13</v>
      </c>
      <c r="B37" s="42">
        <f t="shared" si="34"/>
        <v>24.222221756706595</v>
      </c>
      <c r="C37" s="42">
        <f t="shared" si="34"/>
        <v>28.71428579092515</v>
      </c>
      <c r="D37" s="42">
        <f t="shared" si="34"/>
        <v>61.444444230028338</v>
      </c>
      <c r="E37" s="42">
        <f t="shared" si="34"/>
        <v>40.687500196516247</v>
      </c>
      <c r="F37" s="42">
        <f t="shared" si="34"/>
        <v>14.2499999764</v>
      </c>
      <c r="G37" s="42">
        <f t="shared" si="34"/>
        <v>35.80303007850025</v>
      </c>
      <c r="H37" s="42"/>
      <c r="I37" s="42">
        <f t="shared" ref="I37:N37" si="43">I14/I$23*100</f>
        <v>0.88888887591918531</v>
      </c>
      <c r="J37" s="42">
        <f t="shared" si="43"/>
        <v>10.571428432710668</v>
      </c>
      <c r="K37" s="42">
        <f t="shared" si="43"/>
        <v>0.88888886902044451</v>
      </c>
      <c r="L37" s="42">
        <f t="shared" si="43"/>
        <v>1.12499997485375</v>
      </c>
      <c r="M37" s="42">
        <f t="shared" si="43"/>
        <v>9.8333333774186666</v>
      </c>
      <c r="N37" s="42">
        <f t="shared" si="43"/>
        <v>3.9696969148350005</v>
      </c>
      <c r="AW37" s="18">
        <v>16</v>
      </c>
      <c r="AX37" s="18">
        <v>19.19933</v>
      </c>
      <c r="BA37" s="18">
        <v>10</v>
      </c>
    </row>
    <row r="38" spans="1:53" x14ac:dyDescent="0.2">
      <c r="A38" s="42">
        <v>14</v>
      </c>
      <c r="B38" s="42">
        <f t="shared" si="34"/>
        <v>76.629629172386956</v>
      </c>
      <c r="C38" s="42">
        <f t="shared" si="34"/>
        <v>10.285714313035237</v>
      </c>
      <c r="D38" s="42">
        <f t="shared" si="34"/>
        <v>64.777778534007211</v>
      </c>
      <c r="E38" s="42">
        <f t="shared" si="34"/>
        <v>16.812499810471</v>
      </c>
      <c r="F38" s="42">
        <f t="shared" si="34"/>
        <v>1.6666666449356666</v>
      </c>
      <c r="G38" s="42">
        <f t="shared" si="34"/>
        <v>52.28787881576239</v>
      </c>
      <c r="H38" s="42"/>
      <c r="I38" s="42">
        <f t="shared" ref="I38:N38" si="44">I15/I$23*100</f>
        <v>0.11111110862755556</v>
      </c>
      <c r="J38" s="42">
        <f t="shared" si="44"/>
        <v>9.523809310933333E-2</v>
      </c>
      <c r="K38" s="42">
        <f t="shared" si="44"/>
        <v>0</v>
      </c>
      <c r="L38" s="42">
        <f t="shared" si="44"/>
        <v>0</v>
      </c>
      <c r="M38" s="42">
        <f t="shared" si="44"/>
        <v>0</v>
      </c>
      <c r="N38" s="42">
        <f t="shared" si="44"/>
        <v>7.5757574064242439E-2</v>
      </c>
      <c r="AW38" s="18">
        <v>17</v>
      </c>
      <c r="AX38" s="18">
        <v>20.383579999999998</v>
      </c>
      <c r="BA38" s="18">
        <v>18</v>
      </c>
    </row>
    <row r="39" spans="1:53" x14ac:dyDescent="0.2">
      <c r="A39" s="42">
        <v>15</v>
      </c>
      <c r="B39" s="42">
        <f t="shared" si="34"/>
        <v>27.814814885185179</v>
      </c>
      <c r="C39" s="42">
        <f t="shared" si="34"/>
        <v>25.619047561904761</v>
      </c>
      <c r="D39" s="42">
        <f t="shared" si="34"/>
        <v>42.611111450000003</v>
      </c>
      <c r="E39" s="42">
        <f t="shared" si="34"/>
        <v>21.250000224999997</v>
      </c>
      <c r="F39" s="42">
        <f t="shared" si="34"/>
        <v>47.916666575000008</v>
      </c>
      <c r="G39" s="42">
        <f t="shared" si="34"/>
        <v>31.151515254545455</v>
      </c>
      <c r="H39" s="42"/>
      <c r="I39" s="42">
        <f t="shared" ref="I39:N39" si="45">I16/I$23*100</f>
        <v>3.7037037037037035E-2</v>
      </c>
      <c r="J39" s="42">
        <f t="shared" si="45"/>
        <v>3.9523809761904762</v>
      </c>
      <c r="K39" s="42">
        <f t="shared" si="45"/>
        <v>3.000000038888889</v>
      </c>
      <c r="L39" s="42">
        <f t="shared" si="45"/>
        <v>0.81249996875000008</v>
      </c>
      <c r="M39" s="42">
        <f t="shared" si="45"/>
        <v>15.083333325000003</v>
      </c>
      <c r="N39" s="42">
        <f t="shared" si="45"/>
        <v>2.0909091090909091</v>
      </c>
      <c r="AW39" s="18">
        <v>18</v>
      </c>
      <c r="AX39" s="18">
        <v>8.7956280000000007</v>
      </c>
      <c r="BA39" s="18">
        <v>15</v>
      </c>
    </row>
    <row r="40" spans="1:53" x14ac:dyDescent="0.2">
      <c r="A40" s="42">
        <v>16</v>
      </c>
      <c r="B40" s="42">
        <f t="shared" si="34"/>
        <v>45.888889114814809</v>
      </c>
      <c r="C40" s="42">
        <f t="shared" si="34"/>
        <v>18.809524014285714</v>
      </c>
      <c r="D40" s="42">
        <f t="shared" si="34"/>
        <v>50.055555616666666</v>
      </c>
      <c r="E40" s="42">
        <f t="shared" si="34"/>
        <v>8.9375001437500003</v>
      </c>
      <c r="F40" s="42">
        <f t="shared" si="34"/>
        <v>42.666667016666672</v>
      </c>
      <c r="G40" s="42">
        <f t="shared" si="34"/>
        <v>38.40909108333333</v>
      </c>
      <c r="H40" s="42"/>
      <c r="I40" s="42">
        <f t="shared" ref="I40:N40" si="46">I17/I$23*100</f>
        <v>3.7037037037037035E-2</v>
      </c>
      <c r="J40" s="42">
        <f t="shared" si="46"/>
        <v>0</v>
      </c>
      <c r="K40" s="42">
        <f t="shared" si="46"/>
        <v>0</v>
      </c>
      <c r="L40" s="42">
        <f t="shared" si="46"/>
        <v>0.125</v>
      </c>
      <c r="M40" s="42">
        <f t="shared" si="46"/>
        <v>5.0833331583333328</v>
      </c>
      <c r="N40" s="42">
        <f t="shared" si="46"/>
        <v>1.5151515151515152E-2</v>
      </c>
      <c r="AW40" s="18">
        <v>19</v>
      </c>
      <c r="AX40" s="18">
        <v>17.047443999999999</v>
      </c>
      <c r="BA40" s="18">
        <v>18</v>
      </c>
    </row>
    <row r="41" spans="1:53" x14ac:dyDescent="0.2">
      <c r="A41" s="42">
        <v>17</v>
      </c>
      <c r="B41" s="42">
        <f t="shared" si="34"/>
        <v>71.259258981481466</v>
      </c>
      <c r="C41" s="42">
        <f t="shared" si="34"/>
        <v>10.095238042857144</v>
      </c>
      <c r="D41" s="42">
        <f t="shared" si="34"/>
        <v>64.222222072222209</v>
      </c>
      <c r="E41" s="42">
        <f t="shared" si="34"/>
        <v>33.624999950000003</v>
      </c>
      <c r="F41" s="42">
        <f t="shared" si="34"/>
        <v>21.500000358333331</v>
      </c>
      <c r="G41" s="42">
        <f t="shared" si="34"/>
        <v>49.878787707575754</v>
      </c>
      <c r="H41" s="42"/>
      <c r="I41" s="42">
        <f t="shared" ref="I41:N41" si="47">I18/I$23*100</f>
        <v>21.62962962962963</v>
      </c>
      <c r="J41" s="42">
        <f t="shared" si="47"/>
        <v>11.238095238095239</v>
      </c>
      <c r="K41" s="42">
        <f t="shared" si="47"/>
        <v>39.277777777777779</v>
      </c>
      <c r="L41" s="42">
        <f t="shared" si="47"/>
        <v>7.5625</v>
      </c>
      <c r="M41" s="42">
        <f t="shared" si="47"/>
        <v>4.083333333333333</v>
      </c>
      <c r="N41" s="42">
        <f t="shared" si="47"/>
        <v>23.136363636363637</v>
      </c>
      <c r="AW41" s="18">
        <v>20</v>
      </c>
      <c r="AX41" s="18">
        <v>22.679883</v>
      </c>
      <c r="BA41" s="18">
        <v>16</v>
      </c>
    </row>
    <row r="42" spans="1:53" x14ac:dyDescent="0.2">
      <c r="A42" s="42">
        <v>18</v>
      </c>
      <c r="B42" s="42">
        <f t="shared" si="34"/>
        <v>35.925926062962958</v>
      </c>
      <c r="C42" s="42">
        <f t="shared" si="34"/>
        <v>8.5714286619047613</v>
      </c>
      <c r="D42" s="42">
        <f t="shared" si="34"/>
        <v>34.666666472222218</v>
      </c>
      <c r="E42" s="42">
        <f t="shared" si="34"/>
        <v>40.500000356249998</v>
      </c>
      <c r="F42" s="42">
        <f t="shared" si="34"/>
        <v>16.833333250000003</v>
      </c>
      <c r="G42" s="42">
        <f t="shared" si="34"/>
        <v>26.878787910606057</v>
      </c>
      <c r="H42" s="42"/>
      <c r="I42" s="42">
        <f t="shared" ref="I42:N42" si="48">I19/I$23*100</f>
        <v>0.37037037037037041</v>
      </c>
      <c r="J42" s="42">
        <f t="shared" si="48"/>
        <v>0.80952380476190466</v>
      </c>
      <c r="K42" s="42">
        <f t="shared" si="48"/>
        <v>1.999999961111111</v>
      </c>
      <c r="L42" s="42">
        <f t="shared" si="48"/>
        <v>0.3125</v>
      </c>
      <c r="M42" s="42">
        <f t="shared" si="48"/>
        <v>1.6666667166666667</v>
      </c>
      <c r="N42" s="42">
        <f t="shared" si="48"/>
        <v>0.95454544242424244</v>
      </c>
    </row>
    <row r="43" spans="1:53" x14ac:dyDescent="0.2">
      <c r="A43" s="42">
        <v>19</v>
      </c>
      <c r="B43" s="42">
        <f t="shared" si="34"/>
        <v>53.777777777777779</v>
      </c>
      <c r="C43" s="42">
        <f t="shared" si="34"/>
        <v>22.666666666666664</v>
      </c>
      <c r="D43" s="42">
        <f t="shared" si="34"/>
        <v>78</v>
      </c>
      <c r="E43" s="42">
        <f t="shared" si="34"/>
        <v>61.187499999999993</v>
      </c>
      <c r="F43" s="42">
        <f t="shared" si="34"/>
        <v>34.166666666666664</v>
      </c>
      <c r="G43" s="42">
        <f t="shared" si="34"/>
        <v>50.484848484848484</v>
      </c>
      <c r="H43" s="42"/>
      <c r="I43" s="42">
        <f t="shared" ref="I43:N43" si="49">I20/I$23*100</f>
        <v>0.40740740520000002</v>
      </c>
      <c r="J43" s="42">
        <f t="shared" si="49"/>
        <v>0.1904761862185714</v>
      </c>
      <c r="K43" s="42">
        <f t="shared" si="49"/>
        <v>0</v>
      </c>
      <c r="L43" s="42">
        <f t="shared" si="49"/>
        <v>0.68749999627500002</v>
      </c>
      <c r="M43" s="42">
        <f t="shared" si="49"/>
        <v>1.4999999975158333</v>
      </c>
      <c r="N43" s="42">
        <f t="shared" si="49"/>
        <v>0.22727272501500001</v>
      </c>
    </row>
    <row r="44" spans="1:53" x14ac:dyDescent="0.2">
      <c r="A44" s="42">
        <v>20</v>
      </c>
      <c r="B44" s="42">
        <f t="shared" si="34"/>
        <v>51.074074153544444</v>
      </c>
      <c r="C44" s="42">
        <f t="shared" si="34"/>
        <v>20.952380909807999</v>
      </c>
      <c r="D44" s="42">
        <f t="shared" si="34"/>
        <v>54.888889524677232</v>
      </c>
      <c r="E44" s="42">
        <f t="shared" si="34"/>
        <v>39.625000278463503</v>
      </c>
      <c r="F44" s="42">
        <f t="shared" si="34"/>
        <v>51.416666060674174</v>
      </c>
      <c r="G44" s="42">
        <f t="shared" si="34"/>
        <v>42.530303222664514</v>
      </c>
      <c r="H44" s="42"/>
      <c r="I44" s="42">
        <f t="shared" ref="I44:N44" si="50">I21/I$23*100</f>
        <v>1.0370370222222223</v>
      </c>
      <c r="J44" s="42">
        <f t="shared" si="50"/>
        <v>1.8571428047619045</v>
      </c>
      <c r="K44" s="42">
        <f t="shared" si="50"/>
        <v>1.3888888722222219</v>
      </c>
      <c r="L44" s="42">
        <f t="shared" si="50"/>
        <v>2.75</v>
      </c>
      <c r="M44" s="42">
        <f t="shared" si="50"/>
        <v>3.4999999499999999</v>
      </c>
      <c r="N44" s="42">
        <f t="shared" si="50"/>
        <v>1.3939393666666666</v>
      </c>
    </row>
    <row r="45" spans="1:53" x14ac:dyDescent="0.2">
      <c r="A45" s="61" t="s">
        <v>238</v>
      </c>
      <c r="B45" s="61">
        <f>AVERAGE(B25:B44)</f>
        <v>41.044444392488188</v>
      </c>
      <c r="C45" s="61">
        <f t="shared" ref="C45:G45" si="51">AVERAGE(C25:C44)</f>
        <v>19.123809540976868</v>
      </c>
      <c r="D45" s="61">
        <f t="shared" si="51"/>
        <v>50.183333409736377</v>
      </c>
      <c r="E45" s="61">
        <f t="shared" si="51"/>
        <v>23.831250054256721</v>
      </c>
      <c r="F45" s="61">
        <f t="shared" si="51"/>
        <v>23.954166665948016</v>
      </c>
      <c r="G45" s="61">
        <f t="shared" si="51"/>
        <v>36.56212121716591</v>
      </c>
      <c r="H45" s="61" t="s">
        <v>238</v>
      </c>
      <c r="I45" s="61">
        <f>AVERAGE(I25:I44)</f>
        <v>1.8240740726116371</v>
      </c>
      <c r="J45" s="61">
        <f t="shared" ref="J45" si="52">AVERAGE(J25:J44)</f>
        <v>2.8976190456683755</v>
      </c>
      <c r="K45" s="61">
        <f t="shared" ref="K45" si="53">AVERAGE(K25:K44)</f>
        <v>4.0055555632066451</v>
      </c>
      <c r="L45" s="61">
        <f t="shared" ref="L45" si="54">AVERAGE(L25:L44)</f>
        <v>1.2750000039058189</v>
      </c>
      <c r="M45" s="61">
        <f t="shared" ref="M45" si="55">AVERAGE(M25:M44)</f>
        <v>7.7749999564683758</v>
      </c>
      <c r="N45" s="61">
        <f t="shared" ref="N45" si="56">AVERAGE(N25:N44)</f>
        <v>2.7606060614737831</v>
      </c>
    </row>
    <row r="46" spans="1:53" x14ac:dyDescent="0.2">
      <c r="A46" s="61" t="s">
        <v>239</v>
      </c>
      <c r="B46" s="61">
        <f>STDEV(B25:B44)</f>
        <v>24.366858347302443</v>
      </c>
      <c r="C46" s="61">
        <f t="shared" ref="C46:G46" si="57">STDEV(C25:C44)</f>
        <v>16.576810416766456</v>
      </c>
      <c r="D46" s="61">
        <f t="shared" si="57"/>
        <v>21.465849230136417</v>
      </c>
      <c r="E46" s="61">
        <f t="shared" si="57"/>
        <v>20.344656789458941</v>
      </c>
      <c r="F46" s="61">
        <f t="shared" si="57"/>
        <v>16.81533414825466</v>
      </c>
      <c r="G46" s="61">
        <f t="shared" si="57"/>
        <v>17.967492676319743</v>
      </c>
      <c r="H46" s="61" t="s">
        <v>239</v>
      </c>
      <c r="I46" s="61">
        <f>STDEV(I25:I44)</f>
        <v>4.9401131660383317</v>
      </c>
      <c r="J46" s="61">
        <f t="shared" ref="J46:N46" si="58">STDEV(J25:J44)</f>
        <v>4.1144352524977972</v>
      </c>
      <c r="K46" s="61">
        <f t="shared" si="58"/>
        <v>9.4117407777196469</v>
      </c>
      <c r="L46" s="61">
        <f t="shared" si="58"/>
        <v>2.0123385961950606</v>
      </c>
      <c r="M46" s="61">
        <f t="shared" si="58"/>
        <v>8.9231243186264741</v>
      </c>
      <c r="N46" s="61">
        <f t="shared" si="58"/>
        <v>5.5109317584306234</v>
      </c>
    </row>
    <row r="47" spans="1:53" x14ac:dyDescent="0.2">
      <c r="A47" s="61" t="s">
        <v>54</v>
      </c>
      <c r="B47" s="61">
        <f>B46/SQRT(20)</f>
        <v>5.4485951662676442</v>
      </c>
      <c r="C47" s="61">
        <f t="shared" ref="C47:G47" si="59">C46/SQRT(20)</f>
        <v>3.7066874942016415</v>
      </c>
      <c r="D47" s="61">
        <f t="shared" si="59"/>
        <v>4.7999098073346556</v>
      </c>
      <c r="E47" s="61">
        <f t="shared" si="59"/>
        <v>4.549203556013282</v>
      </c>
      <c r="F47" s="61">
        <f t="shared" si="59"/>
        <v>3.7600230219870947</v>
      </c>
      <c r="G47" s="61">
        <f t="shared" si="59"/>
        <v>4.0176535009480574</v>
      </c>
      <c r="H47" s="61" t="s">
        <v>54</v>
      </c>
      <c r="I47" s="61">
        <f>I46/SQRT(20)</f>
        <v>1.1046428855803414</v>
      </c>
      <c r="J47" s="61">
        <f t="shared" ref="J47" si="60">J46/SQRT(20)</f>
        <v>0.92001569136065853</v>
      </c>
      <c r="K47" s="61">
        <f t="shared" ref="K47" si="61">K46/SQRT(20)</f>
        <v>2.1045292165587868</v>
      </c>
      <c r="L47" s="61">
        <f t="shared" ref="L47" si="62">L46/SQRT(20)</f>
        <v>0.44997258948386548</v>
      </c>
      <c r="M47" s="61">
        <f t="shared" ref="M47" si="63">M46/SQRT(20)</f>
        <v>1.9952712548130289</v>
      </c>
      <c r="N47" s="61">
        <f t="shared" ref="N47" si="64">N46/SQRT(20)</f>
        <v>1.2322818031213323</v>
      </c>
    </row>
    <row r="48" spans="1:53" x14ac:dyDescent="0.2">
      <c r="A48" s="40"/>
      <c r="C48" s="50"/>
      <c r="D48" s="50"/>
      <c r="E48" s="50"/>
      <c r="F48" s="50"/>
      <c r="G48" s="51"/>
    </row>
    <row r="49" spans="1:7" x14ac:dyDescent="0.2">
      <c r="A49" s="40"/>
      <c r="C49" s="50"/>
      <c r="D49" s="50"/>
      <c r="E49" s="50"/>
      <c r="F49" s="50"/>
      <c r="G49" s="51"/>
    </row>
    <row r="50" spans="1:7" x14ac:dyDescent="0.2">
      <c r="A50" s="40"/>
      <c r="C50" s="50"/>
      <c r="D50" s="50"/>
      <c r="E50" s="50"/>
      <c r="F50" s="50"/>
      <c r="G50" s="51"/>
    </row>
    <row r="51" spans="1:7" x14ac:dyDescent="0.2">
      <c r="A51" s="40"/>
      <c r="B51" s="51"/>
      <c r="C51" s="50"/>
      <c r="D51" s="50"/>
      <c r="E51" s="50"/>
      <c r="F51" s="50"/>
      <c r="G51" s="51"/>
    </row>
    <row r="52" spans="1:7" x14ac:dyDescent="0.2">
      <c r="A52" s="40"/>
      <c r="B52" s="51"/>
      <c r="C52" s="50"/>
      <c r="D52" s="50"/>
      <c r="E52" s="50"/>
      <c r="F52" s="50"/>
      <c r="G52" s="51"/>
    </row>
    <row r="53" spans="1:7" x14ac:dyDescent="0.2">
      <c r="A53" s="40"/>
      <c r="B53" s="51"/>
      <c r="C53" s="50"/>
      <c r="D53" s="50"/>
      <c r="E53" s="50"/>
      <c r="F53" s="50"/>
      <c r="G53" s="51"/>
    </row>
    <row r="54" spans="1:7" x14ac:dyDescent="0.2">
      <c r="A54" s="40"/>
      <c r="B54" s="51"/>
      <c r="C54" s="50"/>
      <c r="D54" s="50"/>
      <c r="E54" s="50"/>
      <c r="F54" s="50"/>
      <c r="G54" s="51"/>
    </row>
    <row r="55" spans="1:7" x14ac:dyDescent="0.2">
      <c r="A55" s="40"/>
      <c r="B55" s="51"/>
      <c r="C55" s="50"/>
      <c r="D55" s="50"/>
      <c r="E55" s="50"/>
      <c r="F55" s="50"/>
      <c r="G55" s="51"/>
    </row>
    <row r="56" spans="1:7" x14ac:dyDescent="0.2">
      <c r="A56" s="40"/>
      <c r="B56" s="51"/>
      <c r="C56" s="50"/>
      <c r="D56" s="50"/>
      <c r="E56" s="50"/>
      <c r="F56" s="50"/>
      <c r="G56" s="51"/>
    </row>
    <row r="57" spans="1:7" x14ac:dyDescent="0.2">
      <c r="A57" s="40"/>
      <c r="B57" s="51"/>
      <c r="C57" s="50"/>
      <c r="D57" s="50"/>
      <c r="E57" s="50"/>
      <c r="F57" s="50"/>
      <c r="G57" s="51"/>
    </row>
    <row r="58" spans="1:7" x14ac:dyDescent="0.2">
      <c r="A58" s="40"/>
      <c r="B58" s="51"/>
      <c r="C58" s="50"/>
      <c r="D58" s="50"/>
      <c r="E58" s="50"/>
      <c r="F58" s="50"/>
      <c r="G58" s="51"/>
    </row>
    <row r="59" spans="1:7" x14ac:dyDescent="0.2">
      <c r="A59" s="40"/>
      <c r="B59" s="51"/>
      <c r="C59" s="50"/>
      <c r="D59" s="50"/>
      <c r="E59" s="50"/>
      <c r="F59" s="50"/>
      <c r="G59" s="51"/>
    </row>
    <row r="60" spans="1:7" x14ac:dyDescent="0.2">
      <c r="A60" s="40"/>
      <c r="B60" s="51"/>
      <c r="C60" s="50"/>
      <c r="D60" s="50"/>
      <c r="E60" s="50"/>
      <c r="F60" s="50"/>
      <c r="G60" s="51"/>
    </row>
    <row r="61" spans="1:7" x14ac:dyDescent="0.2">
      <c r="A61" s="40"/>
      <c r="B61" s="51"/>
      <c r="C61" s="50"/>
      <c r="D61" s="50"/>
      <c r="E61" s="50"/>
      <c r="F61" s="50"/>
      <c r="G61" s="51"/>
    </row>
    <row r="62" spans="1:7" x14ac:dyDescent="0.2">
      <c r="A62" s="40"/>
      <c r="B62" s="51"/>
      <c r="C62" s="50"/>
      <c r="D62" s="50"/>
      <c r="E62" s="50"/>
      <c r="F62" s="50"/>
      <c r="G62" s="51"/>
    </row>
    <row r="63" spans="1:7" x14ac:dyDescent="0.2">
      <c r="A63" s="40"/>
      <c r="B63" s="51"/>
      <c r="C63" s="50"/>
      <c r="D63" s="50"/>
      <c r="E63" s="50"/>
      <c r="F63" s="50"/>
      <c r="G63" s="51"/>
    </row>
    <row r="64" spans="1:7" x14ac:dyDescent="0.2">
      <c r="A64" s="40"/>
      <c r="B64" s="51"/>
      <c r="C64" s="50"/>
      <c r="D64" s="50"/>
      <c r="E64" s="50"/>
      <c r="F64" s="50"/>
      <c r="G64" s="51"/>
    </row>
    <row r="65" spans="1:7" x14ac:dyDescent="0.2">
      <c r="A65" s="40"/>
      <c r="B65" s="51"/>
      <c r="C65" s="50"/>
      <c r="D65" s="50"/>
      <c r="E65" s="50"/>
      <c r="F65" s="50"/>
      <c r="G65" s="51"/>
    </row>
    <row r="66" spans="1:7" x14ac:dyDescent="0.2">
      <c r="A66" s="40"/>
      <c r="B66" s="51"/>
      <c r="C66" s="50"/>
      <c r="D66" s="50"/>
      <c r="E66" s="50"/>
      <c r="F66" s="50"/>
      <c r="G66" s="51"/>
    </row>
    <row r="67" spans="1:7" x14ac:dyDescent="0.2">
      <c r="A67" s="40"/>
      <c r="B67" s="51"/>
      <c r="C67" s="50"/>
      <c r="D67" s="50"/>
      <c r="E67" s="50"/>
      <c r="F67" s="50"/>
      <c r="G67" s="51"/>
    </row>
    <row r="68" spans="1:7" x14ac:dyDescent="0.2">
      <c r="A68" s="40"/>
      <c r="B68" s="51"/>
      <c r="C68" s="50"/>
      <c r="D68" s="50"/>
      <c r="E68" s="50"/>
      <c r="F68" s="50"/>
      <c r="G68" s="51"/>
    </row>
    <row r="69" spans="1:7" x14ac:dyDescent="0.2">
      <c r="A69" s="40"/>
      <c r="B69" s="51"/>
      <c r="C69" s="50"/>
      <c r="D69" s="50"/>
      <c r="E69" s="50"/>
      <c r="F69" s="50"/>
      <c r="G69" s="51"/>
    </row>
    <row r="70" spans="1:7" x14ac:dyDescent="0.2">
      <c r="A70" s="40"/>
      <c r="B70" s="51"/>
      <c r="C70" s="50"/>
      <c r="D70" s="50"/>
      <c r="E70" s="50"/>
      <c r="F70" s="50"/>
      <c r="G70" s="51"/>
    </row>
    <row r="71" spans="1:7" x14ac:dyDescent="0.2">
      <c r="A71" s="40"/>
      <c r="B71" s="51"/>
      <c r="C71" s="50"/>
      <c r="D71" s="50"/>
      <c r="E71" s="50"/>
      <c r="F71" s="50"/>
      <c r="G71" s="51"/>
    </row>
    <row r="72" spans="1:7" x14ac:dyDescent="0.2">
      <c r="A72" s="40"/>
    </row>
    <row r="73" spans="1:7" x14ac:dyDescent="0.2">
      <c r="A73" s="40"/>
    </row>
    <row r="74" spans="1:7" x14ac:dyDescent="0.2">
      <c r="A74" s="40"/>
    </row>
  </sheetData>
  <pageMargins left="0.7" right="0.7" top="0.75" bottom="0.75" header="0.3" footer="0.3"/>
  <ignoredErrors>
    <ignoredError sqref="BQ20:BV21 CA20:CE21 CF20:CF21 BX20:BZ21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enableFormatConditionsCalculation="0"/>
  <dimension ref="A1:L26"/>
  <sheetViews>
    <sheetView zoomScale="75" zoomScaleNormal="75" zoomScalePageLayoutView="75" workbookViewId="0">
      <selection activeCell="N24" sqref="N24"/>
    </sheetView>
  </sheetViews>
  <sheetFormatPr baseColWidth="10" defaultColWidth="8.83203125" defaultRowHeight="15" x14ac:dyDescent="0.2"/>
  <cols>
    <col min="4" max="4" width="12.83203125" customWidth="1"/>
    <col min="5" max="5" width="13.1640625" customWidth="1"/>
    <col min="10" max="10" width="14.83203125" customWidth="1"/>
  </cols>
  <sheetData>
    <row r="1" spans="1:12" ht="16" thickBot="1" x14ac:dyDescent="0.25">
      <c r="A1" s="66"/>
      <c r="B1" s="202" t="s">
        <v>55</v>
      </c>
      <c r="C1" s="65"/>
      <c r="D1" s="191" t="s">
        <v>445</v>
      </c>
      <c r="E1" s="192" t="s">
        <v>446</v>
      </c>
      <c r="F1" s="6" t="s">
        <v>56</v>
      </c>
      <c r="G1" s="6"/>
      <c r="H1" s="190" t="s">
        <v>347</v>
      </c>
      <c r="I1" s="189"/>
      <c r="J1" t="s">
        <v>448</v>
      </c>
    </row>
    <row r="2" spans="1:12" ht="16" thickBot="1" x14ac:dyDescent="0.25">
      <c r="A2" s="4" t="s">
        <v>276</v>
      </c>
      <c r="B2" s="203" t="s">
        <v>444</v>
      </c>
      <c r="C2" s="163" t="s">
        <v>443</v>
      </c>
      <c r="D2" s="193"/>
      <c r="E2" s="206"/>
      <c r="F2" s="83" t="s">
        <v>444</v>
      </c>
      <c r="G2" s="83" t="s">
        <v>443</v>
      </c>
      <c r="H2" s="180" t="s">
        <v>444</v>
      </c>
      <c r="I2" s="186" t="s">
        <v>443</v>
      </c>
    </row>
    <row r="3" spans="1:12" x14ac:dyDescent="0.2">
      <c r="A3" s="188" t="s">
        <v>0</v>
      </c>
      <c r="B3" s="204">
        <v>5</v>
      </c>
      <c r="C3" s="161">
        <v>0</v>
      </c>
      <c r="D3" s="201" t="s">
        <v>440</v>
      </c>
      <c r="E3" s="196">
        <v>5.5</v>
      </c>
      <c r="F3">
        <v>6</v>
      </c>
      <c r="G3">
        <v>2</v>
      </c>
      <c r="H3" s="179">
        <f>B3-F3</f>
        <v>-1</v>
      </c>
      <c r="I3" s="185">
        <f>C3-G3</f>
        <v>-2</v>
      </c>
    </row>
    <row r="4" spans="1:12" x14ac:dyDescent="0.2">
      <c r="A4" s="188" t="s">
        <v>1</v>
      </c>
      <c r="B4" s="204">
        <v>5</v>
      </c>
      <c r="C4" s="161">
        <v>1</v>
      </c>
      <c r="D4" s="195">
        <v>6</v>
      </c>
      <c r="E4" s="196">
        <v>6</v>
      </c>
      <c r="F4">
        <v>4</v>
      </c>
      <c r="G4">
        <v>0</v>
      </c>
      <c r="H4" s="179">
        <f t="shared" ref="H4:H22" si="0">B4-F4</f>
        <v>1</v>
      </c>
      <c r="I4" s="185">
        <f t="shared" ref="I4:I22" si="1">C4-G4</f>
        <v>1</v>
      </c>
      <c r="J4" t="s">
        <v>450</v>
      </c>
    </row>
    <row r="5" spans="1:12" x14ac:dyDescent="0.2">
      <c r="A5" s="188" t="s">
        <v>2</v>
      </c>
      <c r="B5" s="204">
        <v>4</v>
      </c>
      <c r="C5" s="161">
        <v>2</v>
      </c>
      <c r="D5" s="195">
        <v>2</v>
      </c>
      <c r="E5" s="196">
        <v>5.5</v>
      </c>
      <c r="F5" s="24">
        <v>5</v>
      </c>
      <c r="G5" s="24">
        <v>1</v>
      </c>
      <c r="H5" s="179">
        <f t="shared" si="0"/>
        <v>-1</v>
      </c>
      <c r="I5" s="185">
        <f t="shared" si="1"/>
        <v>1</v>
      </c>
    </row>
    <row r="6" spans="1:12" x14ac:dyDescent="0.2">
      <c r="A6" s="188" t="s">
        <v>3</v>
      </c>
      <c r="B6" s="204">
        <v>5</v>
      </c>
      <c r="C6" s="161">
        <v>0</v>
      </c>
      <c r="D6" s="195">
        <v>3</v>
      </c>
      <c r="E6" s="196">
        <v>5</v>
      </c>
      <c r="F6">
        <v>6</v>
      </c>
      <c r="G6">
        <v>0</v>
      </c>
      <c r="H6" s="179">
        <f t="shared" si="0"/>
        <v>-1</v>
      </c>
      <c r="I6" s="185">
        <f t="shared" si="1"/>
        <v>0</v>
      </c>
      <c r="J6" t="s">
        <v>449</v>
      </c>
    </row>
    <row r="7" spans="1:12" x14ac:dyDescent="0.2">
      <c r="A7" s="188" t="s">
        <v>4</v>
      </c>
      <c r="B7" s="204">
        <v>7</v>
      </c>
      <c r="C7" s="161">
        <v>0</v>
      </c>
      <c r="D7" s="195">
        <v>3</v>
      </c>
      <c r="E7" s="196">
        <v>5.5</v>
      </c>
      <c r="F7" s="24">
        <v>8</v>
      </c>
      <c r="G7" s="24">
        <v>1</v>
      </c>
      <c r="H7" s="179">
        <f t="shared" si="0"/>
        <v>-1</v>
      </c>
      <c r="I7" s="185">
        <f t="shared" si="1"/>
        <v>-1</v>
      </c>
    </row>
    <row r="8" spans="1:12" x14ac:dyDescent="0.2">
      <c r="A8" s="188" t="s">
        <v>5</v>
      </c>
      <c r="B8" s="204">
        <v>11</v>
      </c>
      <c r="C8" s="161">
        <v>3</v>
      </c>
      <c r="D8" s="195">
        <v>3</v>
      </c>
      <c r="E8" s="196">
        <v>5.5</v>
      </c>
      <c r="F8">
        <v>10</v>
      </c>
      <c r="G8">
        <v>3</v>
      </c>
      <c r="H8" s="179">
        <f t="shared" si="0"/>
        <v>1</v>
      </c>
      <c r="I8" s="185">
        <f t="shared" si="1"/>
        <v>0</v>
      </c>
    </row>
    <row r="9" spans="1:12" x14ac:dyDescent="0.2">
      <c r="A9" s="188" t="s">
        <v>6</v>
      </c>
      <c r="B9" s="204">
        <v>8</v>
      </c>
      <c r="C9" s="161">
        <v>1</v>
      </c>
      <c r="D9" s="195">
        <v>2</v>
      </c>
      <c r="E9" s="196">
        <v>5.5</v>
      </c>
      <c r="F9" s="24">
        <v>8</v>
      </c>
      <c r="G9" s="24">
        <v>2</v>
      </c>
      <c r="H9" s="179">
        <f t="shared" si="0"/>
        <v>0</v>
      </c>
      <c r="I9" s="185">
        <f t="shared" si="1"/>
        <v>-1</v>
      </c>
    </row>
    <row r="10" spans="1:12" s="200" customFormat="1" x14ac:dyDescent="0.2">
      <c r="A10" s="199" t="s">
        <v>7</v>
      </c>
      <c r="B10" s="129"/>
      <c r="C10" s="130"/>
      <c r="D10" s="129"/>
      <c r="E10" s="131"/>
      <c r="H10" s="129"/>
      <c r="I10" s="131"/>
      <c r="L10" s="200" t="s">
        <v>217</v>
      </c>
    </row>
    <row r="11" spans="1:12" x14ac:dyDescent="0.2">
      <c r="A11" s="188" t="s">
        <v>8</v>
      </c>
      <c r="B11" s="204">
        <v>12</v>
      </c>
      <c r="C11" s="161">
        <v>0</v>
      </c>
      <c r="D11" s="195">
        <v>5</v>
      </c>
      <c r="E11" s="196">
        <v>5.5</v>
      </c>
      <c r="F11">
        <v>9</v>
      </c>
      <c r="G11">
        <v>1</v>
      </c>
      <c r="H11" s="179">
        <f t="shared" si="0"/>
        <v>3</v>
      </c>
      <c r="I11" s="185">
        <f t="shared" si="1"/>
        <v>-1</v>
      </c>
    </row>
    <row r="12" spans="1:12" x14ac:dyDescent="0.2">
      <c r="A12" s="188" t="s">
        <v>9</v>
      </c>
      <c r="B12" s="204">
        <v>8</v>
      </c>
      <c r="C12" s="161">
        <v>4</v>
      </c>
      <c r="D12" s="195">
        <v>4</v>
      </c>
      <c r="E12" s="196">
        <v>5</v>
      </c>
      <c r="F12">
        <v>6</v>
      </c>
      <c r="G12">
        <v>3</v>
      </c>
      <c r="H12" s="179">
        <f t="shared" si="0"/>
        <v>2</v>
      </c>
      <c r="I12" s="185">
        <f t="shared" si="1"/>
        <v>1</v>
      </c>
    </row>
    <row r="13" spans="1:12" x14ac:dyDescent="0.2">
      <c r="A13" s="188" t="s">
        <v>10</v>
      </c>
      <c r="B13" s="204">
        <v>7</v>
      </c>
      <c r="C13" s="161">
        <v>1</v>
      </c>
      <c r="D13" s="195">
        <v>5</v>
      </c>
      <c r="E13" s="196">
        <v>5</v>
      </c>
      <c r="F13">
        <v>10</v>
      </c>
      <c r="G13">
        <v>3</v>
      </c>
      <c r="H13" s="179">
        <f t="shared" si="0"/>
        <v>-3</v>
      </c>
      <c r="I13" s="185">
        <f t="shared" si="1"/>
        <v>-2</v>
      </c>
    </row>
    <row r="14" spans="1:12" x14ac:dyDescent="0.2">
      <c r="A14" s="188" t="s">
        <v>11</v>
      </c>
      <c r="B14" s="204">
        <v>5</v>
      </c>
      <c r="C14" s="161">
        <v>0</v>
      </c>
      <c r="D14" s="195">
        <v>2</v>
      </c>
      <c r="E14" s="196">
        <v>5</v>
      </c>
      <c r="F14" s="24">
        <v>5</v>
      </c>
      <c r="G14" s="24">
        <v>0</v>
      </c>
      <c r="H14" s="179">
        <f t="shared" si="0"/>
        <v>0</v>
      </c>
      <c r="I14" s="185">
        <f t="shared" si="1"/>
        <v>0</v>
      </c>
    </row>
    <row r="15" spans="1:12" s="200" customFormat="1" x14ac:dyDescent="0.2">
      <c r="A15" s="199" t="s">
        <v>12</v>
      </c>
      <c r="B15" s="129"/>
      <c r="C15" s="130"/>
      <c r="D15" s="129"/>
      <c r="E15" s="131"/>
      <c r="H15" s="129"/>
      <c r="I15" s="131"/>
    </row>
    <row r="16" spans="1:12" x14ac:dyDescent="0.2">
      <c r="A16" s="188" t="s">
        <v>13</v>
      </c>
      <c r="B16" s="204">
        <v>7</v>
      </c>
      <c r="C16" s="161">
        <v>7</v>
      </c>
      <c r="D16" s="195">
        <v>3</v>
      </c>
      <c r="E16" s="196">
        <v>6.5</v>
      </c>
      <c r="F16">
        <v>6</v>
      </c>
      <c r="G16">
        <v>3</v>
      </c>
      <c r="H16" s="179">
        <f t="shared" si="0"/>
        <v>1</v>
      </c>
      <c r="I16" s="185">
        <f t="shared" si="1"/>
        <v>4</v>
      </c>
    </row>
    <row r="17" spans="1:11" x14ac:dyDescent="0.2">
      <c r="A17" s="188" t="s">
        <v>14</v>
      </c>
      <c r="B17" s="204">
        <v>8</v>
      </c>
      <c r="C17" s="161">
        <v>1</v>
      </c>
      <c r="D17" s="195">
        <v>2.5</v>
      </c>
      <c r="E17" s="196">
        <v>6</v>
      </c>
      <c r="F17" s="24">
        <v>12</v>
      </c>
      <c r="G17" s="24">
        <v>3</v>
      </c>
      <c r="H17" s="179">
        <f t="shared" si="0"/>
        <v>-4</v>
      </c>
      <c r="I17" s="185">
        <f t="shared" si="1"/>
        <v>-2</v>
      </c>
    </row>
    <row r="18" spans="1:11" x14ac:dyDescent="0.2">
      <c r="A18" s="3" t="s">
        <v>15</v>
      </c>
      <c r="B18" s="204">
        <v>7</v>
      </c>
      <c r="C18" s="161">
        <v>4</v>
      </c>
      <c r="D18" s="195">
        <v>3</v>
      </c>
      <c r="E18" s="196">
        <v>5</v>
      </c>
      <c r="F18" s="24">
        <v>3</v>
      </c>
      <c r="G18" s="24">
        <v>2</v>
      </c>
      <c r="H18" s="179">
        <f t="shared" si="0"/>
        <v>4</v>
      </c>
      <c r="I18" s="185">
        <f t="shared" si="1"/>
        <v>2</v>
      </c>
      <c r="J18" t="s">
        <v>452</v>
      </c>
    </row>
    <row r="19" spans="1:11" x14ac:dyDescent="0.2">
      <c r="A19" s="3" t="s">
        <v>16</v>
      </c>
      <c r="B19" s="204">
        <v>5</v>
      </c>
      <c r="C19" s="161">
        <v>1</v>
      </c>
      <c r="D19" s="195">
        <v>7</v>
      </c>
      <c r="E19" s="196">
        <v>6</v>
      </c>
      <c r="F19">
        <v>5</v>
      </c>
      <c r="G19">
        <v>1</v>
      </c>
      <c r="H19" s="179">
        <f t="shared" si="0"/>
        <v>0</v>
      </c>
      <c r="I19" s="185">
        <f t="shared" si="1"/>
        <v>0</v>
      </c>
      <c r="J19" t="s">
        <v>451</v>
      </c>
    </row>
    <row r="20" spans="1:11" x14ac:dyDescent="0.2">
      <c r="A20" s="3" t="s">
        <v>17</v>
      </c>
      <c r="B20" s="204">
        <v>3</v>
      </c>
      <c r="C20" s="161">
        <v>6</v>
      </c>
      <c r="D20" s="195">
        <v>2</v>
      </c>
      <c r="E20" s="196">
        <v>5.5</v>
      </c>
      <c r="F20">
        <v>2</v>
      </c>
      <c r="G20">
        <v>1</v>
      </c>
      <c r="H20" s="179">
        <f t="shared" si="0"/>
        <v>1</v>
      </c>
      <c r="I20" s="185">
        <f t="shared" si="1"/>
        <v>5</v>
      </c>
    </row>
    <row r="21" spans="1:11" x14ac:dyDescent="0.2">
      <c r="A21" s="3" t="s">
        <v>18</v>
      </c>
      <c r="B21" s="204">
        <v>7</v>
      </c>
      <c r="C21" s="161">
        <v>3</v>
      </c>
      <c r="D21" s="195">
        <v>5</v>
      </c>
      <c r="E21" s="196">
        <v>6</v>
      </c>
      <c r="F21" s="24">
        <v>9</v>
      </c>
      <c r="G21" s="24">
        <v>2</v>
      </c>
      <c r="H21" s="179">
        <f t="shared" si="0"/>
        <v>-2</v>
      </c>
      <c r="I21" s="185">
        <f t="shared" si="1"/>
        <v>1</v>
      </c>
    </row>
    <row r="22" spans="1:11" ht="16" thickBot="1" x14ac:dyDescent="0.25">
      <c r="A22" s="3" t="s">
        <v>19</v>
      </c>
      <c r="B22" s="204">
        <v>14</v>
      </c>
      <c r="C22" s="161">
        <v>0</v>
      </c>
      <c r="D22" s="195">
        <v>3</v>
      </c>
      <c r="E22" s="196">
        <v>5.5</v>
      </c>
      <c r="F22">
        <v>6</v>
      </c>
      <c r="G22">
        <v>0</v>
      </c>
      <c r="H22" s="179">
        <f t="shared" si="0"/>
        <v>8</v>
      </c>
      <c r="I22" s="185">
        <f t="shared" si="1"/>
        <v>0</v>
      </c>
    </row>
    <row r="23" spans="1:11" x14ac:dyDescent="0.2">
      <c r="A23" s="1" t="s">
        <v>238</v>
      </c>
      <c r="B23" s="205">
        <f>AVERAGE(B3:B22)</f>
        <v>7.1111111111111107</v>
      </c>
      <c r="C23" s="159">
        <f t="shared" ref="C23:I23" si="2">AVERAGE(C3:C22)</f>
        <v>1.8888888888888888</v>
      </c>
      <c r="D23" s="197">
        <f t="shared" si="2"/>
        <v>3.5588235294117645</v>
      </c>
      <c r="E23" s="198">
        <f t="shared" si="2"/>
        <v>5.5277777777777777</v>
      </c>
      <c r="F23" s="101">
        <f t="shared" si="2"/>
        <v>6.666666666666667</v>
      </c>
      <c r="G23" s="101">
        <f t="shared" si="2"/>
        <v>1.5555555555555556</v>
      </c>
      <c r="H23" s="182">
        <f t="shared" si="2"/>
        <v>0.44444444444444442</v>
      </c>
      <c r="I23" s="187">
        <f t="shared" si="2"/>
        <v>0.33333333333333331</v>
      </c>
      <c r="K23" t="s">
        <v>217</v>
      </c>
    </row>
    <row r="24" spans="1:11" x14ac:dyDescent="0.2">
      <c r="A24" s="3" t="s">
        <v>53</v>
      </c>
      <c r="B24" s="204">
        <f>STDEV(B3:B9,B11:B14,B16:B22)</f>
        <v>2.8468535549618101</v>
      </c>
      <c r="C24" s="161">
        <f t="shared" ref="C24:G24" si="3">STDEV(C3:C9,C11:C14,C16:C22)</f>
        <v>2.1662895599426082</v>
      </c>
      <c r="D24" s="195">
        <f t="shared" si="3"/>
        <v>1.5194813356575869</v>
      </c>
      <c r="E24" s="196">
        <f t="shared" si="3"/>
        <v>0.43630204804032607</v>
      </c>
      <c r="F24" s="5">
        <f t="shared" si="3"/>
        <v>2.6346112560657287</v>
      </c>
      <c r="G24" s="5">
        <f t="shared" si="3"/>
        <v>1.1490262999202832</v>
      </c>
      <c r="H24" s="179">
        <f t="shared" ref="H24" si="4">STDEV(H3:H9,H11:H14,H16:H22)</f>
        <v>2.7272529212986512</v>
      </c>
      <c r="I24" s="185">
        <f t="shared" ref="I24" si="5">STDEV(I3:I9,I11:I14,I16:I22)</f>
        <v>1.9097274212644619</v>
      </c>
      <c r="J24" t="s">
        <v>217</v>
      </c>
    </row>
    <row r="25" spans="1:11" ht="16" thickBot="1" x14ac:dyDescent="0.25">
      <c r="A25" s="32" t="s">
        <v>418</v>
      </c>
      <c r="B25" s="203">
        <f>B24/SQRT(18)</f>
        <v>0.67100981791950864</v>
      </c>
      <c r="C25" s="163">
        <f t="shared" ref="C25:I25" si="6">C24/SQRT(18)</f>
        <v>0.51059934594968015</v>
      </c>
      <c r="D25" s="193">
        <f t="shared" si="6"/>
        <v>0.35814518544329077</v>
      </c>
      <c r="E25" s="194">
        <f t="shared" si="6"/>
        <v>0.10283737893829781</v>
      </c>
      <c r="F25" s="83">
        <f t="shared" si="6"/>
        <v>0.62098382831816146</v>
      </c>
      <c r="G25" s="83">
        <f t="shared" si="6"/>
        <v>0.27082809614510667</v>
      </c>
      <c r="H25" s="180">
        <f t="shared" si="6"/>
        <v>0.64281967822036601</v>
      </c>
      <c r="I25" s="186">
        <f t="shared" si="6"/>
        <v>0.45012706993133322</v>
      </c>
      <c r="J25" t="s">
        <v>217</v>
      </c>
    </row>
    <row r="26" spans="1:11" ht="16" thickBot="1" x14ac:dyDescent="0.25">
      <c r="A26" s="32" t="s">
        <v>441</v>
      </c>
      <c r="B26" s="202">
        <f>TTEST(B3:B22,F3:F22,2,1)</f>
        <v>0.49864927347810528</v>
      </c>
      <c r="C26" s="169">
        <f>TTEST(C3:C22,G3:G22,2,1)</f>
        <v>0.46908291673546898</v>
      </c>
      <c r="D26" s="24"/>
      <c r="E26" s="24"/>
      <c r="F26" s="24"/>
      <c r="G26" s="24"/>
      <c r="H26" s="24"/>
      <c r="I26" s="24"/>
      <c r="J26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/>
  <dimension ref="A1:X26"/>
  <sheetViews>
    <sheetView zoomScale="80" zoomScaleNormal="80" zoomScalePageLayoutView="80" workbookViewId="0">
      <selection activeCell="V27" sqref="V27"/>
    </sheetView>
  </sheetViews>
  <sheetFormatPr baseColWidth="10" defaultColWidth="8.6640625" defaultRowHeight="15" x14ac:dyDescent="0.2"/>
  <cols>
    <col min="1" max="16384" width="8.6640625" style="18"/>
  </cols>
  <sheetData>
    <row r="1" spans="1:24" s="6" customFormat="1" ht="17" thickBot="1" x14ac:dyDescent="0.25">
      <c r="A1" s="4" t="s">
        <v>276</v>
      </c>
      <c r="B1" s="164" t="s">
        <v>427</v>
      </c>
      <c r="C1" s="164" t="s">
        <v>442</v>
      </c>
      <c r="D1" s="164" t="s">
        <v>429</v>
      </c>
      <c r="E1" s="164" t="s">
        <v>430</v>
      </c>
      <c r="F1" s="164" t="s">
        <v>431</v>
      </c>
      <c r="G1" s="164" t="s">
        <v>432</v>
      </c>
      <c r="H1" s="164" t="s">
        <v>433</v>
      </c>
      <c r="I1" s="164" t="s">
        <v>447</v>
      </c>
      <c r="K1" s="169" t="s">
        <v>276</v>
      </c>
      <c r="L1" s="65" t="s">
        <v>429</v>
      </c>
      <c r="M1" s="65" t="s">
        <v>430</v>
      </c>
      <c r="N1" s="65" t="s">
        <v>431</v>
      </c>
      <c r="O1" s="65" t="s">
        <v>432</v>
      </c>
      <c r="P1" s="65" t="s">
        <v>433</v>
      </c>
      <c r="Q1" s="65" t="s">
        <v>447</v>
      </c>
      <c r="S1" s="165" t="s">
        <v>276</v>
      </c>
      <c r="T1" s="136" t="s">
        <v>430</v>
      </c>
      <c r="U1" s="136" t="s">
        <v>431</v>
      </c>
      <c r="V1" s="136" t="s">
        <v>432</v>
      </c>
      <c r="W1" s="136" t="s">
        <v>433</v>
      </c>
      <c r="X1" s="136" t="s">
        <v>447</v>
      </c>
    </row>
    <row r="2" spans="1:24" x14ac:dyDescent="0.2">
      <c r="A2" s="3" t="s">
        <v>0</v>
      </c>
      <c r="B2" s="42" t="s">
        <v>437</v>
      </c>
      <c r="C2" s="61">
        <v>1</v>
      </c>
      <c r="D2" s="42" t="s">
        <v>438</v>
      </c>
      <c r="E2" s="173">
        <v>0</v>
      </c>
      <c r="F2" s="174">
        <v>16</v>
      </c>
      <c r="G2" s="174">
        <v>12</v>
      </c>
      <c r="H2" s="174">
        <v>0.30769230800000003</v>
      </c>
      <c r="I2" s="174">
        <v>0.75106761600000005</v>
      </c>
      <c r="K2" s="170" t="s">
        <v>0</v>
      </c>
      <c r="L2" s="21" t="s">
        <v>55</v>
      </c>
      <c r="M2" s="21">
        <v>2</v>
      </c>
      <c r="N2" s="21">
        <v>9</v>
      </c>
      <c r="O2" s="21">
        <v>8</v>
      </c>
      <c r="P2" s="21">
        <v>0.222222222</v>
      </c>
      <c r="Q2" s="21">
        <v>0.66666666699999999</v>
      </c>
      <c r="S2" s="166" t="s">
        <v>0</v>
      </c>
      <c r="T2" s="77">
        <f>M2-E2</f>
        <v>2</v>
      </c>
      <c r="U2" s="77">
        <f t="shared" ref="U2:X2" si="0">N2-F2</f>
        <v>-7</v>
      </c>
      <c r="V2" s="77">
        <f t="shared" si="0"/>
        <v>-4</v>
      </c>
      <c r="W2" s="77">
        <f t="shared" si="0"/>
        <v>-8.5470086000000028E-2</v>
      </c>
      <c r="X2" s="77">
        <f t="shared" si="0"/>
        <v>-8.4400949000000058E-2</v>
      </c>
    </row>
    <row r="3" spans="1:24" s="138" customFormat="1" x14ac:dyDescent="0.2">
      <c r="A3" s="172" t="s">
        <v>1</v>
      </c>
      <c r="B3" s="178"/>
      <c r="C3" s="178"/>
      <c r="D3" s="178"/>
      <c r="K3" s="172" t="s">
        <v>1</v>
      </c>
      <c r="S3" s="172" t="s">
        <v>1</v>
      </c>
    </row>
    <row r="4" spans="1:24" s="138" customFormat="1" x14ac:dyDescent="0.2">
      <c r="A4" s="172" t="s">
        <v>2</v>
      </c>
      <c r="K4" s="172" t="s">
        <v>2</v>
      </c>
      <c r="S4" s="172" t="s">
        <v>2</v>
      </c>
    </row>
    <row r="5" spans="1:24" ht="16" x14ac:dyDescent="0.2">
      <c r="A5" s="3" t="s">
        <v>3</v>
      </c>
      <c r="B5" s="42" t="s">
        <v>439</v>
      </c>
      <c r="C5" s="181">
        <v>2</v>
      </c>
      <c r="D5" s="42" t="s">
        <v>438</v>
      </c>
      <c r="E5" s="175">
        <v>1</v>
      </c>
      <c r="F5" s="176">
        <v>21</v>
      </c>
      <c r="G5" s="176">
        <v>16</v>
      </c>
      <c r="H5" s="176">
        <v>0.222222222</v>
      </c>
      <c r="I5" s="177">
        <v>0.66666666699999999</v>
      </c>
      <c r="K5" s="170" t="s">
        <v>3</v>
      </c>
      <c r="L5" s="21" t="s">
        <v>55</v>
      </c>
      <c r="M5" s="21">
        <v>0</v>
      </c>
      <c r="N5" s="21">
        <v>15</v>
      </c>
      <c r="O5" s="21">
        <v>13</v>
      </c>
      <c r="P5" s="21">
        <v>7.1428570999999996E-2</v>
      </c>
      <c r="Q5" s="21">
        <v>0.26726124200000001</v>
      </c>
      <c r="S5" s="166" t="s">
        <v>3</v>
      </c>
      <c r="T5" s="77">
        <f>M5-E5</f>
        <v>-1</v>
      </c>
      <c r="U5" s="77">
        <f t="shared" ref="U5:X7" si="1">N5-F5</f>
        <v>-6</v>
      </c>
      <c r="V5" s="77">
        <f t="shared" si="1"/>
        <v>-3</v>
      </c>
      <c r="W5" s="77">
        <f t="shared" si="1"/>
        <v>-0.150793651</v>
      </c>
      <c r="X5" s="77">
        <f t="shared" si="1"/>
        <v>-0.39940542499999998</v>
      </c>
    </row>
    <row r="6" spans="1:24" x14ac:dyDescent="0.2">
      <c r="A6" s="3" t="s">
        <v>4</v>
      </c>
      <c r="B6" s="42" t="s">
        <v>437</v>
      </c>
      <c r="C6" s="61">
        <v>1</v>
      </c>
      <c r="D6" s="42" t="s">
        <v>438</v>
      </c>
      <c r="E6" s="175">
        <v>0</v>
      </c>
      <c r="F6" s="175">
        <v>8</v>
      </c>
      <c r="G6" s="175">
        <v>6</v>
      </c>
      <c r="H6" s="175">
        <v>0.14285714285714285</v>
      </c>
      <c r="I6" s="175">
        <v>0.37796447300922725</v>
      </c>
      <c r="K6" s="170" t="s">
        <v>4</v>
      </c>
      <c r="L6" s="21" t="s">
        <v>55</v>
      </c>
      <c r="M6" s="21">
        <v>0</v>
      </c>
      <c r="N6" s="21">
        <v>5</v>
      </c>
      <c r="O6" s="21">
        <v>4</v>
      </c>
      <c r="P6" s="21">
        <v>0</v>
      </c>
      <c r="Q6" s="21">
        <v>0</v>
      </c>
      <c r="S6" s="166" t="s">
        <v>4</v>
      </c>
      <c r="T6" s="77">
        <f t="shared" ref="T6:T21" si="2">M6-E6</f>
        <v>0</v>
      </c>
      <c r="U6" s="77">
        <f t="shared" si="1"/>
        <v>-3</v>
      </c>
      <c r="V6" s="77">
        <f t="shared" si="1"/>
        <v>-2</v>
      </c>
      <c r="W6" s="77">
        <f t="shared" si="1"/>
        <v>-0.14285714285714285</v>
      </c>
      <c r="X6" s="77">
        <f t="shared" si="1"/>
        <v>-0.37796447300922725</v>
      </c>
    </row>
    <row r="7" spans="1:24" x14ac:dyDescent="0.2">
      <c r="A7" s="3" t="s">
        <v>5</v>
      </c>
      <c r="B7" s="42" t="s">
        <v>439</v>
      </c>
      <c r="C7" s="181">
        <v>2</v>
      </c>
      <c r="D7" s="42" t="s">
        <v>438</v>
      </c>
      <c r="E7" s="175">
        <v>1</v>
      </c>
      <c r="F7" s="176">
        <v>14</v>
      </c>
      <c r="G7" s="176">
        <v>9</v>
      </c>
      <c r="H7" s="176">
        <v>0.4</v>
      </c>
      <c r="I7" s="176">
        <v>0.96609178307929588</v>
      </c>
      <c r="K7" s="170" t="s">
        <v>5</v>
      </c>
      <c r="L7" s="21" t="s">
        <v>55</v>
      </c>
      <c r="M7" s="21">
        <v>0</v>
      </c>
      <c r="N7" s="21">
        <v>19</v>
      </c>
      <c r="O7" s="21">
        <v>13</v>
      </c>
      <c r="P7" s="21">
        <v>0.35714285714285715</v>
      </c>
      <c r="Q7" s="21">
        <v>0.74494634366849199</v>
      </c>
      <c r="S7" s="166" t="s">
        <v>5</v>
      </c>
      <c r="T7" s="77">
        <f t="shared" si="2"/>
        <v>-1</v>
      </c>
      <c r="U7" s="77">
        <f t="shared" si="1"/>
        <v>5</v>
      </c>
      <c r="V7" s="77">
        <f t="shared" si="1"/>
        <v>4</v>
      </c>
      <c r="W7" s="77">
        <f t="shared" si="1"/>
        <v>-4.2857142857142871E-2</v>
      </c>
      <c r="X7" s="77">
        <f t="shared" si="1"/>
        <v>-0.22114543941080389</v>
      </c>
    </row>
    <row r="8" spans="1:24" s="138" customFormat="1" x14ac:dyDescent="0.2">
      <c r="A8" s="172" t="s">
        <v>6</v>
      </c>
      <c r="K8" s="172" t="s">
        <v>6</v>
      </c>
      <c r="S8" s="172" t="s">
        <v>6</v>
      </c>
    </row>
    <row r="9" spans="1:24" s="138" customFormat="1" x14ac:dyDescent="0.2">
      <c r="A9" s="172" t="s">
        <v>7</v>
      </c>
      <c r="K9" s="172" t="s">
        <v>7</v>
      </c>
      <c r="S9" s="172" t="s">
        <v>7</v>
      </c>
    </row>
    <row r="10" spans="1:24" x14ac:dyDescent="0.2">
      <c r="A10" s="3" t="s">
        <v>8</v>
      </c>
      <c r="B10" s="42" t="s">
        <v>437</v>
      </c>
      <c r="C10" s="61">
        <v>1</v>
      </c>
      <c r="D10" s="42" t="s">
        <v>438</v>
      </c>
      <c r="E10" s="173">
        <v>0</v>
      </c>
      <c r="F10" s="174">
        <v>14</v>
      </c>
      <c r="G10" s="174">
        <v>13</v>
      </c>
      <c r="H10" s="174">
        <v>0</v>
      </c>
      <c r="I10" s="174">
        <v>0</v>
      </c>
      <c r="K10" s="170" t="s">
        <v>8</v>
      </c>
      <c r="L10" s="21" t="s">
        <v>55</v>
      </c>
      <c r="M10" s="21">
        <v>0</v>
      </c>
      <c r="N10" s="21">
        <v>13</v>
      </c>
      <c r="O10" s="21">
        <v>7</v>
      </c>
      <c r="P10" s="21">
        <v>0.875</v>
      </c>
      <c r="Q10" s="21">
        <v>1.726888201</v>
      </c>
      <c r="S10" s="166" t="s">
        <v>8</v>
      </c>
      <c r="T10" s="77">
        <f t="shared" si="2"/>
        <v>0</v>
      </c>
      <c r="U10" s="77">
        <f t="shared" ref="U10:U11" si="3">N10-F10</f>
        <v>-1</v>
      </c>
      <c r="V10" s="77">
        <f t="shared" ref="V10:V11" si="4">O10-G10</f>
        <v>-6</v>
      </c>
      <c r="W10" s="77">
        <f t="shared" ref="W10:W11" si="5">P10-H10</f>
        <v>0.875</v>
      </c>
      <c r="X10" s="77">
        <f t="shared" ref="X10:X11" si="6">Q10-I10</f>
        <v>1.726888201</v>
      </c>
    </row>
    <row r="11" spans="1:24" x14ac:dyDescent="0.2">
      <c r="A11" s="3" t="s">
        <v>9</v>
      </c>
      <c r="B11" s="42" t="s">
        <v>437</v>
      </c>
      <c r="C11" s="181">
        <v>2</v>
      </c>
      <c r="D11" s="42" t="s">
        <v>438</v>
      </c>
      <c r="E11" s="173">
        <v>0</v>
      </c>
      <c r="F11" s="174">
        <v>14</v>
      </c>
      <c r="G11" s="174">
        <v>12</v>
      </c>
      <c r="H11" s="174">
        <v>7.6923077000000006E-2</v>
      </c>
      <c r="I11" s="174">
        <v>0.27735009799999999</v>
      </c>
      <c r="K11" s="170" t="s">
        <v>9</v>
      </c>
      <c r="L11" s="21" t="s">
        <v>55</v>
      </c>
      <c r="M11" s="21">
        <v>0</v>
      </c>
      <c r="N11" s="21">
        <v>13</v>
      </c>
      <c r="O11" s="21">
        <v>11</v>
      </c>
      <c r="P11" s="21">
        <v>8.3333333333333329E-2</v>
      </c>
      <c r="Q11" s="21">
        <v>0.28867513459481287</v>
      </c>
      <c r="S11" s="166" t="s">
        <v>9</v>
      </c>
      <c r="T11" s="77">
        <f t="shared" si="2"/>
        <v>0</v>
      </c>
      <c r="U11" s="77">
        <f t="shared" si="3"/>
        <v>-1</v>
      </c>
      <c r="V11" s="77">
        <f t="shared" si="4"/>
        <v>-1</v>
      </c>
      <c r="W11" s="77">
        <f t="shared" si="5"/>
        <v>6.4102563333333223E-3</v>
      </c>
      <c r="X11" s="77">
        <f t="shared" si="6"/>
        <v>1.1325036594812876E-2</v>
      </c>
    </row>
    <row r="12" spans="1:24" s="138" customFormat="1" x14ac:dyDescent="0.2">
      <c r="A12" s="172" t="s">
        <v>10</v>
      </c>
      <c r="B12" s="178"/>
      <c r="C12" s="178"/>
      <c r="D12" s="178"/>
      <c r="K12" s="172" t="s">
        <v>10</v>
      </c>
      <c r="S12" s="172" t="s">
        <v>10</v>
      </c>
    </row>
    <row r="13" spans="1:24" x14ac:dyDescent="0.2">
      <c r="A13" s="3" t="s">
        <v>11</v>
      </c>
      <c r="B13" s="42" t="s">
        <v>439</v>
      </c>
      <c r="C13" s="181">
        <v>2</v>
      </c>
      <c r="D13" s="42" t="s">
        <v>438</v>
      </c>
      <c r="E13" s="175">
        <v>0</v>
      </c>
      <c r="F13" s="175">
        <v>9</v>
      </c>
      <c r="G13" s="175">
        <v>8</v>
      </c>
      <c r="H13" s="175">
        <v>0</v>
      </c>
      <c r="I13" s="175">
        <v>0</v>
      </c>
      <c r="K13" s="170" t="s">
        <v>11</v>
      </c>
      <c r="L13" s="21" t="s">
        <v>55</v>
      </c>
      <c r="M13" s="21">
        <v>0</v>
      </c>
      <c r="N13" s="21">
        <v>3</v>
      </c>
      <c r="O13" s="21">
        <v>2</v>
      </c>
      <c r="P13" s="21">
        <v>0</v>
      </c>
      <c r="Q13" s="21">
        <v>0</v>
      </c>
      <c r="S13" s="166" t="s">
        <v>11</v>
      </c>
      <c r="T13" s="77">
        <f t="shared" si="2"/>
        <v>0</v>
      </c>
      <c r="U13" s="77">
        <f t="shared" ref="U13" si="7">N13-F13</f>
        <v>-6</v>
      </c>
      <c r="V13" s="77">
        <f t="shared" ref="V13" si="8">O13-G13</f>
        <v>-6</v>
      </c>
      <c r="W13" s="77">
        <f t="shared" ref="W13" si="9">P13-H13</f>
        <v>0</v>
      </c>
      <c r="X13" s="77">
        <f t="shared" ref="X13" si="10">Q13-I13</f>
        <v>0</v>
      </c>
    </row>
    <row r="14" spans="1:24" s="138" customFormat="1" x14ac:dyDescent="0.2">
      <c r="A14" s="172" t="s">
        <v>12</v>
      </c>
      <c r="K14" s="172" t="s">
        <v>12</v>
      </c>
      <c r="S14" s="172" t="s">
        <v>12</v>
      </c>
    </row>
    <row r="15" spans="1:24" x14ac:dyDescent="0.2">
      <c r="A15" s="3" t="s">
        <v>13</v>
      </c>
      <c r="B15" s="42" t="s">
        <v>437</v>
      </c>
      <c r="C15" s="61">
        <v>1</v>
      </c>
      <c r="D15" s="42" t="s">
        <v>438</v>
      </c>
      <c r="E15" s="175">
        <v>0</v>
      </c>
      <c r="F15" s="175">
        <v>11</v>
      </c>
      <c r="G15" s="175">
        <v>10</v>
      </c>
      <c r="H15" s="175">
        <v>0</v>
      </c>
      <c r="I15" s="175">
        <v>0</v>
      </c>
      <c r="K15" s="170" t="s">
        <v>13</v>
      </c>
      <c r="L15" s="21" t="s">
        <v>55</v>
      </c>
      <c r="M15" s="21">
        <v>1</v>
      </c>
      <c r="N15" s="21">
        <v>14</v>
      </c>
      <c r="O15" s="21">
        <v>10</v>
      </c>
      <c r="P15" s="21">
        <v>0.27272727272727298</v>
      </c>
      <c r="Q15" s="21">
        <v>0.64666979068286301</v>
      </c>
      <c r="S15" s="166" t="s">
        <v>13</v>
      </c>
      <c r="T15" s="77">
        <f t="shared" si="2"/>
        <v>1</v>
      </c>
      <c r="U15" s="77">
        <f t="shared" ref="U15:U21" si="11">N15-F15</f>
        <v>3</v>
      </c>
      <c r="V15" s="77">
        <f t="shared" ref="V15:V21" si="12">O15-G15</f>
        <v>0</v>
      </c>
      <c r="W15" s="77">
        <f t="shared" ref="W15:W21" si="13">P15-H15</f>
        <v>0.27272727272727298</v>
      </c>
      <c r="X15" s="77">
        <f t="shared" ref="X15:X21" si="14">Q15-I15</f>
        <v>0.64666979068286301</v>
      </c>
    </row>
    <row r="16" spans="1:24" x14ac:dyDescent="0.2">
      <c r="A16" s="3" t="s">
        <v>14</v>
      </c>
      <c r="B16" s="42" t="s">
        <v>439</v>
      </c>
      <c r="C16" s="61">
        <v>1</v>
      </c>
      <c r="D16" s="42" t="s">
        <v>438</v>
      </c>
      <c r="E16" s="175">
        <v>0</v>
      </c>
      <c r="F16" s="176">
        <v>7</v>
      </c>
      <c r="G16" s="176">
        <v>6</v>
      </c>
      <c r="H16" s="176">
        <v>0</v>
      </c>
      <c r="I16" s="176">
        <v>0</v>
      </c>
      <c r="K16" s="170" t="s">
        <v>14</v>
      </c>
      <c r="L16" s="21" t="s">
        <v>55</v>
      </c>
      <c r="M16" s="21">
        <v>0</v>
      </c>
      <c r="N16" s="21">
        <v>5</v>
      </c>
      <c r="O16" s="21">
        <v>4</v>
      </c>
      <c r="P16" s="21">
        <v>0</v>
      </c>
      <c r="Q16" s="21">
        <v>0</v>
      </c>
      <c r="S16" s="166" t="s">
        <v>14</v>
      </c>
      <c r="T16" s="77">
        <f t="shared" si="2"/>
        <v>0</v>
      </c>
      <c r="U16" s="77">
        <f t="shared" si="11"/>
        <v>-2</v>
      </c>
      <c r="V16" s="77">
        <f t="shared" si="12"/>
        <v>-2</v>
      </c>
      <c r="W16" s="77">
        <f t="shared" si="13"/>
        <v>0</v>
      </c>
      <c r="X16" s="77">
        <f t="shared" si="14"/>
        <v>0</v>
      </c>
    </row>
    <row r="17" spans="1:24" x14ac:dyDescent="0.2">
      <c r="A17" s="3" t="s">
        <v>15</v>
      </c>
      <c r="B17" s="42" t="s">
        <v>437</v>
      </c>
      <c r="C17" s="61">
        <v>1</v>
      </c>
      <c r="D17" s="42" t="s">
        <v>438</v>
      </c>
      <c r="E17" s="175">
        <v>3</v>
      </c>
      <c r="F17" s="176">
        <v>12</v>
      </c>
      <c r="G17" s="176">
        <v>10</v>
      </c>
      <c r="H17" s="176">
        <v>0.36363636363636398</v>
      </c>
      <c r="I17" s="176">
        <v>0.67419986246324204</v>
      </c>
      <c r="K17" s="170" t="s">
        <v>15</v>
      </c>
      <c r="L17" s="21" t="s">
        <v>55</v>
      </c>
      <c r="M17" s="21">
        <v>0</v>
      </c>
      <c r="N17" s="21">
        <v>7</v>
      </c>
      <c r="O17" s="21">
        <v>4</v>
      </c>
      <c r="P17" s="21">
        <v>0.8</v>
      </c>
      <c r="Q17" s="21">
        <v>1.30384048104053</v>
      </c>
      <c r="S17" s="166" t="s">
        <v>15</v>
      </c>
      <c r="T17" s="77">
        <f t="shared" si="2"/>
        <v>-3</v>
      </c>
      <c r="U17" s="77">
        <f t="shared" si="11"/>
        <v>-5</v>
      </c>
      <c r="V17" s="77">
        <f t="shared" si="12"/>
        <v>-6</v>
      </c>
      <c r="W17" s="77">
        <f t="shared" si="13"/>
        <v>0.43636363636363606</v>
      </c>
      <c r="X17" s="77">
        <f t="shared" si="14"/>
        <v>0.62964061857728792</v>
      </c>
    </row>
    <row r="18" spans="1:24" x14ac:dyDescent="0.2">
      <c r="A18" s="3" t="s">
        <v>16</v>
      </c>
      <c r="B18" s="42" t="s">
        <v>437</v>
      </c>
      <c r="C18" s="61">
        <v>1</v>
      </c>
      <c r="D18" s="42" t="s">
        <v>438</v>
      </c>
      <c r="E18" s="175">
        <v>0</v>
      </c>
      <c r="F18" s="176">
        <v>16</v>
      </c>
      <c r="G18" s="175">
        <v>15</v>
      </c>
      <c r="H18" s="175">
        <v>0.125</v>
      </c>
      <c r="I18" s="175">
        <v>0.34156502553198698</v>
      </c>
      <c r="K18" s="170" t="s">
        <v>16</v>
      </c>
      <c r="L18" s="21" t="s">
        <v>55</v>
      </c>
      <c r="M18" s="21">
        <v>0</v>
      </c>
      <c r="N18" s="21">
        <v>9</v>
      </c>
      <c r="O18" s="21">
        <v>5</v>
      </c>
      <c r="P18" s="21">
        <v>0.5</v>
      </c>
      <c r="Q18" s="21">
        <v>0.83666002653407601</v>
      </c>
      <c r="S18" s="166" t="s">
        <v>16</v>
      </c>
      <c r="T18" s="77">
        <f t="shared" si="2"/>
        <v>0</v>
      </c>
      <c r="U18" s="77">
        <f t="shared" si="11"/>
        <v>-7</v>
      </c>
      <c r="V18" s="77">
        <f t="shared" si="12"/>
        <v>-10</v>
      </c>
      <c r="W18" s="77">
        <f t="shared" si="13"/>
        <v>0.375</v>
      </c>
      <c r="X18" s="77">
        <f t="shared" si="14"/>
        <v>0.49509500100208903</v>
      </c>
    </row>
    <row r="19" spans="1:24" x14ac:dyDescent="0.2">
      <c r="A19" s="3" t="s">
        <v>17</v>
      </c>
      <c r="B19" s="42" t="s">
        <v>437</v>
      </c>
      <c r="C19" s="61">
        <v>1</v>
      </c>
      <c r="D19" s="42" t="s">
        <v>438</v>
      </c>
      <c r="E19" s="175">
        <v>0</v>
      </c>
      <c r="F19" s="176">
        <v>18</v>
      </c>
      <c r="G19" s="176">
        <v>10</v>
      </c>
      <c r="H19" s="176">
        <v>0.36363636363636398</v>
      </c>
      <c r="I19" s="176">
        <v>0.67419986246324204</v>
      </c>
      <c r="K19" s="170" t="s">
        <v>17</v>
      </c>
      <c r="L19" s="21" t="s">
        <v>55</v>
      </c>
      <c r="M19" s="21">
        <v>0</v>
      </c>
      <c r="N19" s="21">
        <v>10</v>
      </c>
      <c r="O19" s="21">
        <v>8</v>
      </c>
      <c r="P19" s="21">
        <v>0.11111111111111099</v>
      </c>
      <c r="Q19" s="21">
        <v>0.33333333333333298</v>
      </c>
      <c r="S19" s="166" t="s">
        <v>17</v>
      </c>
      <c r="T19" s="77">
        <f t="shared" si="2"/>
        <v>0</v>
      </c>
      <c r="U19" s="77">
        <f t="shared" si="11"/>
        <v>-8</v>
      </c>
      <c r="V19" s="77">
        <f t="shared" si="12"/>
        <v>-2</v>
      </c>
      <c r="W19" s="77">
        <f t="shared" si="13"/>
        <v>-0.25252525252525299</v>
      </c>
      <c r="X19" s="77">
        <f t="shared" si="14"/>
        <v>-0.34086652912990906</v>
      </c>
    </row>
    <row r="20" spans="1:24" x14ac:dyDescent="0.2">
      <c r="A20" s="3" t="s">
        <v>18</v>
      </c>
      <c r="B20" s="42" t="s">
        <v>437</v>
      </c>
      <c r="C20" s="61">
        <v>1</v>
      </c>
      <c r="D20" s="42" t="s">
        <v>438</v>
      </c>
      <c r="E20" s="175">
        <v>1</v>
      </c>
      <c r="F20" s="175">
        <v>25</v>
      </c>
      <c r="G20" s="175">
        <v>19</v>
      </c>
      <c r="H20" s="175">
        <v>0.3</v>
      </c>
      <c r="I20" s="175">
        <v>0.47016234598162698</v>
      </c>
      <c r="K20" s="170" t="s">
        <v>18</v>
      </c>
      <c r="L20" s="21" t="s">
        <v>55</v>
      </c>
      <c r="M20" s="21">
        <v>1</v>
      </c>
      <c r="N20" s="21">
        <v>14</v>
      </c>
      <c r="O20" s="21">
        <v>15</v>
      </c>
      <c r="P20" s="21">
        <v>0.125</v>
      </c>
      <c r="Q20" s="21">
        <v>0.34156502553198698</v>
      </c>
      <c r="S20" s="166" t="s">
        <v>18</v>
      </c>
      <c r="T20" s="77">
        <f t="shared" si="2"/>
        <v>0</v>
      </c>
      <c r="U20" s="77">
        <f t="shared" si="11"/>
        <v>-11</v>
      </c>
      <c r="V20" s="77">
        <f t="shared" si="12"/>
        <v>-4</v>
      </c>
      <c r="W20" s="77">
        <f t="shared" si="13"/>
        <v>-0.17499999999999999</v>
      </c>
      <c r="X20" s="77">
        <f t="shared" si="14"/>
        <v>-0.12859732044964001</v>
      </c>
    </row>
    <row r="21" spans="1:24" ht="16" thickBot="1" x14ac:dyDescent="0.25">
      <c r="A21" s="3" t="s">
        <v>19</v>
      </c>
      <c r="B21" s="42" t="s">
        <v>437</v>
      </c>
      <c r="C21" s="61">
        <v>1</v>
      </c>
      <c r="D21" s="42" t="s">
        <v>438</v>
      </c>
      <c r="E21" s="173">
        <v>0</v>
      </c>
      <c r="F21" s="174">
        <v>11</v>
      </c>
      <c r="G21" s="174">
        <v>7</v>
      </c>
      <c r="H21" s="174">
        <v>0.375</v>
      </c>
      <c r="I21" s="174">
        <v>0.74402380914284505</v>
      </c>
      <c r="K21" s="170" t="s">
        <v>19</v>
      </c>
      <c r="L21" s="21" t="s">
        <v>55</v>
      </c>
      <c r="M21" s="21">
        <v>0</v>
      </c>
      <c r="N21" s="21">
        <v>18</v>
      </c>
      <c r="O21" s="21">
        <v>15</v>
      </c>
      <c r="P21" s="21">
        <v>0.125</v>
      </c>
      <c r="Q21" s="21">
        <v>0.34156502599999999</v>
      </c>
      <c r="S21" s="166" t="s">
        <v>19</v>
      </c>
      <c r="T21" s="77">
        <f t="shared" si="2"/>
        <v>0</v>
      </c>
      <c r="U21" s="77">
        <f t="shared" si="11"/>
        <v>7</v>
      </c>
      <c r="V21" s="77">
        <f t="shared" si="12"/>
        <v>8</v>
      </c>
      <c r="W21" s="77">
        <f t="shared" si="13"/>
        <v>-0.25</v>
      </c>
      <c r="X21" s="77">
        <f t="shared" si="14"/>
        <v>-0.40245878314284506</v>
      </c>
    </row>
    <row r="22" spans="1:24" s="101" customFormat="1" x14ac:dyDescent="0.2">
      <c r="A22" s="1" t="s">
        <v>238</v>
      </c>
      <c r="E22" s="101">
        <f>AVERAGE(E2:E21)</f>
        <v>0.42857142857142855</v>
      </c>
      <c r="F22" s="101">
        <f>AVERAGE(F2:F21)</f>
        <v>14</v>
      </c>
      <c r="G22" s="101">
        <f>AVERAGE(G2:G21)</f>
        <v>10.928571428571429</v>
      </c>
      <c r="H22" s="101">
        <f>AVERAGE(H2:H21)</f>
        <v>0.19121196265213361</v>
      </c>
      <c r="I22" s="101">
        <f>AVERAGE(I2:I21)</f>
        <v>0.42452082447653322</v>
      </c>
      <c r="K22" s="23" t="s">
        <v>238</v>
      </c>
      <c r="L22" s="159"/>
      <c r="M22" s="159">
        <f>AVERAGE(M2:M21)</f>
        <v>0.2857142857142857</v>
      </c>
      <c r="N22" s="159">
        <f>AVERAGE(N2:N21)</f>
        <v>11</v>
      </c>
      <c r="O22" s="159">
        <f>AVERAGE(O2:O21)</f>
        <v>8.5</v>
      </c>
      <c r="P22" s="159">
        <f>AVERAGE(P2:P21)</f>
        <v>0.25306895480818387</v>
      </c>
      <c r="Q22" s="159">
        <f>AVERAGE(Q2:Q21)</f>
        <v>0.53557651938472095</v>
      </c>
      <c r="S22" s="167" t="s">
        <v>238</v>
      </c>
      <c r="T22" s="160">
        <f>AVERAGE(T2:T21)</f>
        <v>-0.14285714285714285</v>
      </c>
      <c r="U22" s="160">
        <f>AVERAGE(U2:U21)</f>
        <v>-3</v>
      </c>
      <c r="V22" s="160">
        <f t="shared" ref="V22:X22" si="15">AVERAGE(V2:V21)</f>
        <v>-2.4285714285714284</v>
      </c>
      <c r="W22" s="160">
        <f t="shared" si="15"/>
        <v>6.1856992156050263E-2</v>
      </c>
      <c r="X22" s="160">
        <f t="shared" si="15"/>
        <v>0.1110556949081877</v>
      </c>
    </row>
    <row r="23" spans="1:24" s="5" customFormat="1" x14ac:dyDescent="0.2">
      <c r="A23" s="3" t="s">
        <v>53</v>
      </c>
      <c r="E23" s="5">
        <f>STDEV(E2:E21)</f>
        <v>0.85163062725264016</v>
      </c>
      <c r="F23" s="5">
        <f>STDEV(F2:F21)</f>
        <v>5.0076863996183985</v>
      </c>
      <c r="G23" s="5">
        <f>STDEV(G2:G21)</f>
        <v>3.852357634054675</v>
      </c>
      <c r="H23" s="5">
        <f>STDEV(H2:H21)</f>
        <v>0.15913883635001058</v>
      </c>
      <c r="I23" s="5">
        <f>STDEV(I2:I21)</f>
        <v>0.33270351456520947</v>
      </c>
      <c r="K23" s="170" t="s">
        <v>53</v>
      </c>
      <c r="L23" s="161"/>
      <c r="M23" s="161">
        <f>STDEV(M2:M21)</f>
        <v>0.61124984550212669</v>
      </c>
      <c r="N23" s="161">
        <f>STDEV(N2:N21)</f>
        <v>4.9302831873729431</v>
      </c>
      <c r="O23" s="161">
        <f>STDEV(O2:O21)</f>
        <v>4.3984262919996562</v>
      </c>
      <c r="P23" s="161">
        <f>STDEV(P2:P21)</f>
        <v>0.28635192487459799</v>
      </c>
      <c r="Q23" s="161">
        <f>STDEV(Q2:Q21)</f>
        <v>0.5025419701350724</v>
      </c>
      <c r="S23" s="166" t="s">
        <v>53</v>
      </c>
      <c r="T23" s="154">
        <f>STDEV(T2:T21)</f>
        <v>1.0994504121565505</v>
      </c>
      <c r="U23" s="154">
        <f t="shared" ref="U23:X23" si="16">STDEV(U2:U21)</f>
        <v>5.2035490847039272</v>
      </c>
      <c r="V23" s="154">
        <f t="shared" si="16"/>
        <v>4.4672188166737428</v>
      </c>
      <c r="W23" s="154">
        <f t="shared" si="16"/>
        <v>0.31945858248708903</v>
      </c>
      <c r="X23" s="154">
        <f t="shared" si="16"/>
        <v>0.58981503973992877</v>
      </c>
    </row>
    <row r="24" spans="1:24" s="83" customFormat="1" ht="16" thickBot="1" x14ac:dyDescent="0.25">
      <c r="A24" s="32" t="s">
        <v>418</v>
      </c>
      <c r="E24" s="83">
        <f>E23/SQRT(16)</f>
        <v>0.21290765681316004</v>
      </c>
      <c r="F24" s="83">
        <f>F23/SQRT(16)</f>
        <v>1.2519215999045996</v>
      </c>
      <c r="G24" s="83">
        <f t="shared" ref="G24:I24" si="17">G23/SQRT(16)</f>
        <v>0.96308940851366875</v>
      </c>
      <c r="H24" s="83">
        <f t="shared" si="17"/>
        <v>3.9784709087502645E-2</v>
      </c>
      <c r="I24" s="83">
        <f t="shared" si="17"/>
        <v>8.3175878641302367E-2</v>
      </c>
      <c r="K24" s="171" t="s">
        <v>418</v>
      </c>
      <c r="L24" s="163"/>
      <c r="M24" s="163">
        <f>M23/SQRT(16)</f>
        <v>0.15281246137553167</v>
      </c>
      <c r="N24" s="163">
        <f>N23/SQRT(16)</f>
        <v>1.2325707968432358</v>
      </c>
      <c r="O24" s="163">
        <f t="shared" ref="O24:Q24" si="18">O23/SQRT(16)</f>
        <v>1.099606572999914</v>
      </c>
      <c r="P24" s="163">
        <f t="shared" si="18"/>
        <v>7.1587981218649496E-2</v>
      </c>
      <c r="Q24" s="163">
        <f t="shared" si="18"/>
        <v>0.1256354925337681</v>
      </c>
      <c r="S24" s="168" t="s">
        <v>418</v>
      </c>
      <c r="T24" s="154">
        <f>T23/SQRT(14)</f>
        <v>0.29384048257408651</v>
      </c>
      <c r="U24" s="154">
        <f t="shared" ref="U24:X24" si="19">U23/SQRT(14)</f>
        <v>1.3907069907302307</v>
      </c>
      <c r="V24" s="154">
        <f t="shared" si="19"/>
        <v>1.1939144488387754</v>
      </c>
      <c r="W24" s="154">
        <f t="shared" si="19"/>
        <v>8.5378897495082082E-2</v>
      </c>
      <c r="X24" s="154">
        <f t="shared" si="19"/>
        <v>0.15763470001951932</v>
      </c>
    </row>
    <row r="25" spans="1:24" s="83" customFormat="1" ht="16" thickBot="1" x14ac:dyDescent="0.25">
      <c r="A25" s="32"/>
      <c r="K25" s="32"/>
      <c r="S25" s="168" t="s">
        <v>441</v>
      </c>
      <c r="T25" s="83">
        <f>TTEST(E2:E21,M2:M21,2,1)</f>
        <v>0.63493755543716812</v>
      </c>
      <c r="U25" s="163">
        <f>TTEST(F2:F21,N2:N21,2,1)</f>
        <v>5.029264506108385E-2</v>
      </c>
      <c r="V25" s="163">
        <f t="shared" ref="V25:X25" si="20">TTEST(G2:G21,O2:O21,2,1)</f>
        <v>6.2868913710015115E-2</v>
      </c>
      <c r="W25" s="83">
        <f t="shared" si="20"/>
        <v>0.48159564369628549</v>
      </c>
      <c r="X25" s="83">
        <f t="shared" si="20"/>
        <v>0.49354199940317856</v>
      </c>
    </row>
    <row r="26" spans="1:24" x14ac:dyDescent="0.2">
      <c r="N26" s="18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/>
  <dimension ref="A1:AI25"/>
  <sheetViews>
    <sheetView topLeftCell="K1" zoomScale="75" zoomScaleNormal="75" zoomScalePageLayoutView="75" workbookViewId="0">
      <selection activeCell="AE27" sqref="AE27"/>
    </sheetView>
  </sheetViews>
  <sheetFormatPr baseColWidth="10" defaultColWidth="8.83203125" defaultRowHeight="15" x14ac:dyDescent="0.2"/>
  <sheetData>
    <row r="1" spans="1:35" s="6" customFormat="1" ht="17" thickBot="1" x14ac:dyDescent="0.25">
      <c r="A1" s="4" t="s">
        <v>276</v>
      </c>
      <c r="B1" s="164" t="s">
        <v>427</v>
      </c>
      <c r="C1" s="164" t="s">
        <v>428</v>
      </c>
      <c r="D1" s="164" t="s">
        <v>429</v>
      </c>
      <c r="E1" s="164" t="s">
        <v>430</v>
      </c>
      <c r="F1" s="164" t="s">
        <v>431</v>
      </c>
      <c r="G1" s="164" t="s">
        <v>432</v>
      </c>
      <c r="H1" s="164" t="s">
        <v>433</v>
      </c>
      <c r="I1" s="164" t="s">
        <v>53</v>
      </c>
      <c r="J1" s="164" t="s">
        <v>434</v>
      </c>
      <c r="K1" s="164" t="s">
        <v>435</v>
      </c>
      <c r="L1" s="164" t="s">
        <v>436</v>
      </c>
      <c r="N1" s="169" t="s">
        <v>276</v>
      </c>
      <c r="O1" s="65" t="s">
        <v>427</v>
      </c>
      <c r="P1" s="65" t="s">
        <v>428</v>
      </c>
      <c r="Q1" s="65" t="s">
        <v>429</v>
      </c>
      <c r="R1" s="65" t="s">
        <v>430</v>
      </c>
      <c r="S1" s="65" t="s">
        <v>431</v>
      </c>
      <c r="T1" s="65" t="s">
        <v>432</v>
      </c>
      <c r="U1" s="65" t="s">
        <v>433</v>
      </c>
      <c r="V1" s="65" t="s">
        <v>53</v>
      </c>
      <c r="W1" s="65" t="s">
        <v>434</v>
      </c>
      <c r="X1" s="65" t="s">
        <v>435</v>
      </c>
      <c r="Y1" s="65" t="s">
        <v>436</v>
      </c>
      <c r="AA1" s="165" t="s">
        <v>276</v>
      </c>
      <c r="AB1" s="136" t="s">
        <v>430</v>
      </c>
      <c r="AC1" s="136" t="s">
        <v>431</v>
      </c>
      <c r="AD1" s="136" t="s">
        <v>432</v>
      </c>
      <c r="AE1" s="136" t="s">
        <v>433</v>
      </c>
      <c r="AF1" s="136" t="s">
        <v>53</v>
      </c>
      <c r="AG1" s="136" t="s">
        <v>434</v>
      </c>
      <c r="AH1" s="136" t="s">
        <v>435</v>
      </c>
      <c r="AI1" s="136" t="s">
        <v>436</v>
      </c>
    </row>
    <row r="2" spans="1:35" x14ac:dyDescent="0.2">
      <c r="A2" s="3" t="s">
        <v>0</v>
      </c>
      <c r="B2" s="42" t="s">
        <v>437</v>
      </c>
      <c r="C2" s="42">
        <v>2</v>
      </c>
      <c r="D2" s="42" t="s">
        <v>438</v>
      </c>
      <c r="E2" s="42">
        <v>1</v>
      </c>
      <c r="F2" s="155">
        <v>22</v>
      </c>
      <c r="G2" s="155">
        <v>8</v>
      </c>
      <c r="H2" s="155">
        <v>1.666666</v>
      </c>
      <c r="I2" s="155">
        <v>1.5</v>
      </c>
      <c r="J2" s="18">
        <v>6</v>
      </c>
      <c r="K2" s="18">
        <v>3.6666666666666665</v>
      </c>
      <c r="L2" s="18">
        <v>1.5</v>
      </c>
      <c r="N2" s="170" t="s">
        <v>0</v>
      </c>
      <c r="O2" s="21" t="s">
        <v>437</v>
      </c>
      <c r="P2" s="21">
        <v>1</v>
      </c>
      <c r="Q2" s="21" t="s">
        <v>55</v>
      </c>
      <c r="R2" s="21">
        <v>0</v>
      </c>
      <c r="S2" s="21">
        <v>20</v>
      </c>
      <c r="T2" s="21">
        <v>4</v>
      </c>
      <c r="U2" s="21">
        <v>2.8</v>
      </c>
      <c r="V2" s="21">
        <v>3.7013511046643495</v>
      </c>
      <c r="W2" s="21">
        <v>5</v>
      </c>
      <c r="X2" s="21">
        <v>4</v>
      </c>
      <c r="Y2" s="21">
        <v>1</v>
      </c>
      <c r="AA2" s="166" t="s">
        <v>0</v>
      </c>
      <c r="AB2" s="77">
        <f>R2-E2</f>
        <v>-1</v>
      </c>
      <c r="AC2" s="77">
        <f t="shared" ref="AC2:AI3" si="0">S2-F2</f>
        <v>-2</v>
      </c>
      <c r="AD2" s="77">
        <f t="shared" si="0"/>
        <v>-4</v>
      </c>
      <c r="AE2" s="77">
        <f t="shared" si="0"/>
        <v>1.1333339999999998</v>
      </c>
      <c r="AF2" s="77">
        <f t="shared" si="0"/>
        <v>2.2013511046643495</v>
      </c>
      <c r="AG2" s="77">
        <f t="shared" si="0"/>
        <v>-1</v>
      </c>
      <c r="AH2" s="77">
        <f t="shared" si="0"/>
        <v>0.33333333333333348</v>
      </c>
      <c r="AI2" s="77">
        <f t="shared" si="0"/>
        <v>-0.5</v>
      </c>
    </row>
    <row r="3" spans="1:35" ht="16" x14ac:dyDescent="0.2">
      <c r="A3" s="3" t="s">
        <v>1</v>
      </c>
      <c r="B3" s="42" t="s">
        <v>437</v>
      </c>
      <c r="C3" s="42">
        <v>1</v>
      </c>
      <c r="D3" s="42" t="s">
        <v>438</v>
      </c>
      <c r="E3" s="42">
        <v>0</v>
      </c>
      <c r="F3" s="155">
        <v>19</v>
      </c>
      <c r="G3" s="155">
        <v>9</v>
      </c>
      <c r="H3" s="155">
        <v>0.9</v>
      </c>
      <c r="I3" s="158">
        <v>1.197219</v>
      </c>
      <c r="J3" s="18">
        <v>8</v>
      </c>
      <c r="K3" s="18">
        <v>2.375</v>
      </c>
      <c r="L3" s="18">
        <v>1.25</v>
      </c>
      <c r="N3" s="170" t="s">
        <v>1</v>
      </c>
      <c r="O3" s="21" t="s">
        <v>437</v>
      </c>
      <c r="P3" s="21">
        <v>2</v>
      </c>
      <c r="Q3" s="21" t="s">
        <v>55</v>
      </c>
      <c r="R3" s="21">
        <v>2</v>
      </c>
      <c r="S3" s="21">
        <v>13</v>
      </c>
      <c r="T3" s="21">
        <v>6</v>
      </c>
      <c r="U3" s="21">
        <v>1</v>
      </c>
      <c r="V3" s="21">
        <v>1</v>
      </c>
      <c r="W3" s="21">
        <v>4</v>
      </c>
      <c r="X3" s="21">
        <v>3.25</v>
      </c>
      <c r="Y3" s="21">
        <v>1.75</v>
      </c>
      <c r="AA3" s="166" t="s">
        <v>1</v>
      </c>
      <c r="AB3" s="77">
        <f t="shared" ref="AB3:AB21" si="1">R3-E3</f>
        <v>2</v>
      </c>
      <c r="AC3" s="77">
        <f t="shared" si="0"/>
        <v>-6</v>
      </c>
      <c r="AD3" s="77">
        <f t="shared" si="0"/>
        <v>-3</v>
      </c>
      <c r="AE3" s="77">
        <f t="shared" si="0"/>
        <v>9.9999999999999978E-2</v>
      </c>
      <c r="AF3" s="77">
        <f t="shared" si="0"/>
        <v>-0.19721900000000003</v>
      </c>
      <c r="AG3" s="77">
        <f t="shared" si="0"/>
        <v>-4</v>
      </c>
      <c r="AH3" s="77">
        <f t="shared" si="0"/>
        <v>0.875</v>
      </c>
      <c r="AI3" s="77">
        <f t="shared" si="0"/>
        <v>0.5</v>
      </c>
    </row>
    <row r="4" spans="1:35" s="138" customFormat="1" x14ac:dyDescent="0.2">
      <c r="A4" s="172" t="s">
        <v>2</v>
      </c>
      <c r="F4" s="138" t="s">
        <v>440</v>
      </c>
      <c r="N4" s="170" t="s">
        <v>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AA4" s="166" t="s">
        <v>2</v>
      </c>
      <c r="AB4" s="77"/>
      <c r="AC4" s="77"/>
      <c r="AD4" s="77"/>
      <c r="AE4" s="77"/>
      <c r="AF4" s="77"/>
      <c r="AG4" s="77"/>
      <c r="AH4" s="77"/>
      <c r="AI4" s="77"/>
    </row>
    <row r="5" spans="1:35" x14ac:dyDescent="0.2">
      <c r="A5" s="3" t="s">
        <v>3</v>
      </c>
      <c r="B5" s="42" t="s">
        <v>439</v>
      </c>
      <c r="C5" s="42">
        <v>1</v>
      </c>
      <c r="D5" s="42" t="s">
        <v>438</v>
      </c>
      <c r="E5" s="42">
        <v>2</v>
      </c>
      <c r="F5" s="155">
        <v>23</v>
      </c>
      <c r="G5" s="155">
        <v>12</v>
      </c>
      <c r="H5" s="155">
        <v>1.3076923076923099</v>
      </c>
      <c r="I5" s="155">
        <v>1.03155347127648</v>
      </c>
      <c r="J5" s="18">
        <v>6</v>
      </c>
      <c r="K5" s="18">
        <v>3.8333333333333335</v>
      </c>
      <c r="L5" s="18">
        <v>2.1666666666666665</v>
      </c>
      <c r="N5" s="170" t="s">
        <v>3</v>
      </c>
      <c r="O5" s="21" t="s">
        <v>439</v>
      </c>
      <c r="P5" s="21">
        <v>2</v>
      </c>
      <c r="Q5" s="21" t="s">
        <v>55</v>
      </c>
      <c r="R5" s="21">
        <v>0</v>
      </c>
      <c r="S5" s="21">
        <v>18</v>
      </c>
      <c r="T5" s="21">
        <v>6</v>
      </c>
      <c r="U5" s="21">
        <v>1.8571428571428572</v>
      </c>
      <c r="V5" s="21">
        <v>1.6761634196950517</v>
      </c>
      <c r="W5" s="21">
        <v>6</v>
      </c>
      <c r="X5" s="21">
        <v>3</v>
      </c>
      <c r="Y5" s="21">
        <v>1.1666666666666667</v>
      </c>
      <c r="AA5" s="166" t="s">
        <v>3</v>
      </c>
      <c r="AB5" s="77">
        <f t="shared" si="1"/>
        <v>-2</v>
      </c>
      <c r="AC5" s="77">
        <f t="shared" ref="AC5:AC7" si="2">S5-F5</f>
        <v>-5</v>
      </c>
      <c r="AD5" s="77">
        <f t="shared" ref="AD5:AD7" si="3">T5-G5</f>
        <v>-6</v>
      </c>
      <c r="AE5" s="77">
        <f t="shared" ref="AE5:AE7" si="4">U5-H5</f>
        <v>0.54945054945054728</v>
      </c>
      <c r="AF5" s="77">
        <f t="shared" ref="AF5:AF7" si="5">V5-I5</f>
        <v>0.64460994841857167</v>
      </c>
      <c r="AG5" s="77">
        <f t="shared" ref="AG5:AG7" si="6">W5-J5</f>
        <v>0</v>
      </c>
      <c r="AH5" s="77">
        <f t="shared" ref="AH5:AH7" si="7">X5-K5</f>
        <v>-0.83333333333333348</v>
      </c>
      <c r="AI5" s="77">
        <f t="shared" ref="AI5:AI7" si="8">Y5-L5</f>
        <v>-0.99999999999999978</v>
      </c>
    </row>
    <row r="6" spans="1:35" x14ac:dyDescent="0.2">
      <c r="A6" s="3" t="s">
        <v>4</v>
      </c>
      <c r="B6" s="42" t="s">
        <v>437</v>
      </c>
      <c r="C6" s="42">
        <v>2</v>
      </c>
      <c r="D6" s="42" t="s">
        <v>438</v>
      </c>
      <c r="E6" s="42">
        <v>0</v>
      </c>
      <c r="F6" s="155">
        <v>22</v>
      </c>
      <c r="G6" s="155">
        <v>6</v>
      </c>
      <c r="H6" s="155">
        <v>2.4285714285714284</v>
      </c>
      <c r="I6" s="155">
        <v>1.3972762620115438</v>
      </c>
      <c r="J6" s="18">
        <v>6</v>
      </c>
      <c r="K6" s="18">
        <v>3.6666666666666701</v>
      </c>
      <c r="L6" s="18">
        <v>1.1666666666666701</v>
      </c>
      <c r="N6" s="170" t="s">
        <v>4</v>
      </c>
      <c r="O6" s="21" t="s">
        <v>437</v>
      </c>
      <c r="P6" s="21">
        <v>1</v>
      </c>
      <c r="Q6" s="21" t="s">
        <v>55</v>
      </c>
      <c r="R6" s="21">
        <v>0</v>
      </c>
      <c r="S6" s="21">
        <v>20</v>
      </c>
      <c r="T6" s="21">
        <v>8</v>
      </c>
      <c r="U6" s="21">
        <v>1.6666666666666667</v>
      </c>
      <c r="V6" s="21">
        <v>1.7320508075688772</v>
      </c>
      <c r="W6" s="21">
        <v>8</v>
      </c>
      <c r="X6" s="21">
        <v>2.5</v>
      </c>
      <c r="Y6" s="21">
        <v>1.125</v>
      </c>
      <c r="AA6" s="166" t="s">
        <v>4</v>
      </c>
      <c r="AB6" s="77">
        <f t="shared" si="1"/>
        <v>0</v>
      </c>
      <c r="AC6" s="77">
        <f t="shared" si="2"/>
        <v>-2</v>
      </c>
      <c r="AD6" s="77">
        <f t="shared" si="3"/>
        <v>2</v>
      </c>
      <c r="AE6" s="77">
        <f t="shared" si="4"/>
        <v>-0.76190476190476164</v>
      </c>
      <c r="AF6" s="77">
        <f t="shared" si="5"/>
        <v>0.33477454555733344</v>
      </c>
      <c r="AG6" s="77">
        <f t="shared" si="6"/>
        <v>2</v>
      </c>
      <c r="AH6" s="77">
        <f t="shared" si="7"/>
        <v>-1.1666666666666701</v>
      </c>
      <c r="AI6" s="77">
        <f t="shared" si="8"/>
        <v>-4.1666666666670071E-2</v>
      </c>
    </row>
    <row r="7" spans="1:35" x14ac:dyDescent="0.2">
      <c r="A7" s="3" t="s">
        <v>5</v>
      </c>
      <c r="B7" s="42" t="s">
        <v>439</v>
      </c>
      <c r="C7" s="42">
        <v>1</v>
      </c>
      <c r="D7" s="42" t="s">
        <v>438</v>
      </c>
      <c r="E7" s="42">
        <v>0</v>
      </c>
      <c r="F7" s="155">
        <v>25</v>
      </c>
      <c r="G7" s="155">
        <v>10</v>
      </c>
      <c r="H7" s="155">
        <v>1.2727272727272727</v>
      </c>
      <c r="I7" s="155">
        <v>0.904534033733291</v>
      </c>
      <c r="J7" s="18">
        <v>9</v>
      </c>
      <c r="K7" s="18">
        <v>2.7777777777777777</v>
      </c>
      <c r="L7" s="18">
        <v>1.2222222222222223</v>
      </c>
      <c r="N7" s="170" t="s">
        <v>5</v>
      </c>
      <c r="O7" s="21" t="s">
        <v>439</v>
      </c>
      <c r="P7" s="21">
        <v>2</v>
      </c>
      <c r="Q7" s="21" t="s">
        <v>55</v>
      </c>
      <c r="R7" s="21">
        <v>2</v>
      </c>
      <c r="S7" s="21">
        <v>24</v>
      </c>
      <c r="T7" s="21">
        <v>10</v>
      </c>
      <c r="U7" s="21">
        <v>1.36363636363636</v>
      </c>
      <c r="V7" s="21">
        <v>2.4196167991120898</v>
      </c>
      <c r="W7" s="21">
        <v>6</v>
      </c>
      <c r="X7" s="21">
        <v>4</v>
      </c>
      <c r="Y7" s="21">
        <v>1.8333333333333333</v>
      </c>
      <c r="AA7" s="166" t="s">
        <v>5</v>
      </c>
      <c r="AB7" s="77">
        <f t="shared" si="1"/>
        <v>2</v>
      </c>
      <c r="AC7" s="77">
        <f t="shared" si="2"/>
        <v>-1</v>
      </c>
      <c r="AD7" s="77">
        <f t="shared" si="3"/>
        <v>0</v>
      </c>
      <c r="AE7" s="77">
        <f t="shared" si="4"/>
        <v>9.0909090909087276E-2</v>
      </c>
      <c r="AF7" s="77">
        <f t="shared" si="5"/>
        <v>1.5150827653787988</v>
      </c>
      <c r="AG7" s="77">
        <f t="shared" si="6"/>
        <v>-3</v>
      </c>
      <c r="AH7" s="77">
        <f t="shared" si="7"/>
        <v>1.2222222222222223</v>
      </c>
      <c r="AI7" s="77">
        <f t="shared" si="8"/>
        <v>0.61111111111111094</v>
      </c>
    </row>
    <row r="8" spans="1:35" s="138" customFormat="1" x14ac:dyDescent="0.2">
      <c r="A8" s="172" t="s">
        <v>6</v>
      </c>
      <c r="F8" s="138" t="s">
        <v>440</v>
      </c>
      <c r="N8" s="170" t="s">
        <v>6</v>
      </c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AA8" s="166" t="s">
        <v>6</v>
      </c>
      <c r="AB8" s="77"/>
      <c r="AC8" s="77"/>
      <c r="AD8" s="77"/>
      <c r="AE8" s="77"/>
      <c r="AF8" s="77"/>
      <c r="AG8" s="77"/>
      <c r="AH8" s="77"/>
      <c r="AI8" s="77"/>
    </row>
    <row r="9" spans="1:35" s="138" customFormat="1" x14ac:dyDescent="0.2">
      <c r="A9" s="172" t="s">
        <v>7</v>
      </c>
      <c r="F9" s="138" t="s">
        <v>440</v>
      </c>
      <c r="N9" s="170" t="s">
        <v>7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AA9" s="166" t="s">
        <v>7</v>
      </c>
      <c r="AB9" s="77"/>
      <c r="AC9" s="77"/>
      <c r="AD9" s="77"/>
      <c r="AE9" s="77"/>
      <c r="AF9" s="77"/>
      <c r="AG9" s="77"/>
      <c r="AH9" s="77"/>
      <c r="AI9" s="77"/>
    </row>
    <row r="10" spans="1:35" x14ac:dyDescent="0.2">
      <c r="A10" s="3" t="s">
        <v>8</v>
      </c>
      <c r="B10" s="42" t="s">
        <v>437</v>
      </c>
      <c r="C10" s="42">
        <v>2</v>
      </c>
      <c r="D10" s="42" t="s">
        <v>438</v>
      </c>
      <c r="E10" s="42">
        <v>0</v>
      </c>
      <c r="F10" s="155">
        <v>27</v>
      </c>
      <c r="G10" s="155">
        <v>6</v>
      </c>
      <c r="H10" s="155">
        <v>3</v>
      </c>
      <c r="I10" s="155">
        <v>1.8260000000000001</v>
      </c>
      <c r="J10" s="18">
        <v>6</v>
      </c>
      <c r="K10" s="18">
        <v>4.5</v>
      </c>
      <c r="L10" s="18">
        <v>1.1666666666666667</v>
      </c>
      <c r="N10" s="170" t="s">
        <v>8</v>
      </c>
      <c r="O10" s="21" t="s">
        <v>437</v>
      </c>
      <c r="P10" s="21">
        <v>1</v>
      </c>
      <c r="Q10" s="21" t="s">
        <v>55</v>
      </c>
      <c r="R10" s="21">
        <v>0</v>
      </c>
      <c r="S10" s="21">
        <v>20</v>
      </c>
      <c r="T10" s="21">
        <v>6</v>
      </c>
      <c r="U10" s="21">
        <v>3</v>
      </c>
      <c r="V10" s="21">
        <v>2.3094010767585029</v>
      </c>
      <c r="W10" s="21">
        <v>7</v>
      </c>
      <c r="X10" s="21">
        <v>2.8571428571428572</v>
      </c>
      <c r="Y10" s="21">
        <v>1</v>
      </c>
      <c r="AA10" s="166" t="s">
        <v>8</v>
      </c>
      <c r="AB10" s="77">
        <f t="shared" si="1"/>
        <v>0</v>
      </c>
      <c r="AC10" s="77">
        <f t="shared" ref="AC10:AC13" si="9">S10-F10</f>
        <v>-7</v>
      </c>
      <c r="AD10" s="77">
        <f t="shared" ref="AD10:AD13" si="10">T10-G10</f>
        <v>0</v>
      </c>
      <c r="AE10" s="77">
        <f t="shared" ref="AE10:AE13" si="11">U10-H10</f>
        <v>0</v>
      </c>
      <c r="AF10" s="77">
        <f t="shared" ref="AF10:AF13" si="12">V10-I10</f>
        <v>0.48340107675850286</v>
      </c>
      <c r="AG10" s="77">
        <f t="shared" ref="AG10:AG13" si="13">W10-J10</f>
        <v>1</v>
      </c>
      <c r="AH10" s="77">
        <f t="shared" ref="AH10:AH13" si="14">X10-K10</f>
        <v>-1.6428571428571428</v>
      </c>
      <c r="AI10" s="77">
        <f t="shared" ref="AI10:AI13" si="15">Y10-L10</f>
        <v>-0.16666666666666674</v>
      </c>
    </row>
    <row r="11" spans="1:35" x14ac:dyDescent="0.2">
      <c r="A11" s="3" t="s">
        <v>9</v>
      </c>
      <c r="B11" s="42" t="s">
        <v>437</v>
      </c>
      <c r="C11" s="42">
        <v>1</v>
      </c>
      <c r="D11" s="42" t="s">
        <v>438</v>
      </c>
      <c r="E11" s="42">
        <v>1</v>
      </c>
      <c r="F11" s="155">
        <v>22</v>
      </c>
      <c r="G11" s="155">
        <v>14</v>
      </c>
      <c r="H11" s="155">
        <v>0.53400000000000003</v>
      </c>
      <c r="I11" s="155">
        <v>0.83399999999999996</v>
      </c>
      <c r="J11" s="18">
        <v>8</v>
      </c>
      <c r="K11" s="18">
        <v>2.75</v>
      </c>
      <c r="L11" s="18">
        <v>1.25</v>
      </c>
      <c r="N11" s="170" t="s">
        <v>9</v>
      </c>
      <c r="O11" s="21" t="s">
        <v>437</v>
      </c>
      <c r="P11" s="21">
        <v>2</v>
      </c>
      <c r="Q11" s="21" t="s">
        <v>55</v>
      </c>
      <c r="R11" s="21">
        <v>1</v>
      </c>
      <c r="S11" s="21">
        <v>22</v>
      </c>
      <c r="T11" s="21">
        <v>9</v>
      </c>
      <c r="U11" s="21">
        <v>1.3</v>
      </c>
      <c r="V11" s="21">
        <v>1.5669999999999999</v>
      </c>
      <c r="W11" s="21">
        <v>7</v>
      </c>
      <c r="X11" s="21">
        <v>3.1428571428571428</v>
      </c>
      <c r="Y11" s="21">
        <v>2.1428571428571428</v>
      </c>
      <c r="AA11" s="166" t="s">
        <v>9</v>
      </c>
      <c r="AB11" s="77">
        <f t="shared" si="1"/>
        <v>0</v>
      </c>
      <c r="AC11" s="77">
        <f t="shared" si="9"/>
        <v>0</v>
      </c>
      <c r="AD11" s="77">
        <f t="shared" si="10"/>
        <v>-5</v>
      </c>
      <c r="AE11" s="77">
        <f t="shared" si="11"/>
        <v>0.76600000000000001</v>
      </c>
      <c r="AF11" s="77">
        <f t="shared" si="12"/>
        <v>0.73299999999999998</v>
      </c>
      <c r="AG11" s="77">
        <f t="shared" si="13"/>
        <v>-1</v>
      </c>
      <c r="AH11" s="77">
        <f t="shared" si="14"/>
        <v>0.39285714285714279</v>
      </c>
      <c r="AI11" s="77">
        <f t="shared" si="15"/>
        <v>0.89285714285714279</v>
      </c>
    </row>
    <row r="12" spans="1:35" x14ac:dyDescent="0.2">
      <c r="A12" s="3" t="s">
        <v>10</v>
      </c>
      <c r="B12" s="42" t="s">
        <v>437</v>
      </c>
      <c r="C12" s="42">
        <v>2</v>
      </c>
      <c r="D12" s="42" t="s">
        <v>438</v>
      </c>
      <c r="E12" s="42">
        <v>0</v>
      </c>
      <c r="F12" s="155">
        <v>15</v>
      </c>
      <c r="G12" s="18">
        <v>5</v>
      </c>
      <c r="H12" s="18">
        <v>1.6666666666666701</v>
      </c>
      <c r="I12" s="18">
        <v>1.75119007154183</v>
      </c>
      <c r="J12" s="18">
        <v>3</v>
      </c>
      <c r="K12" s="18">
        <v>5</v>
      </c>
      <c r="L12" s="18">
        <v>2</v>
      </c>
      <c r="N12" s="170" t="s">
        <v>10</v>
      </c>
      <c r="O12" s="21" t="s">
        <v>437</v>
      </c>
      <c r="P12" s="21">
        <v>1</v>
      </c>
      <c r="Q12" s="21" t="s">
        <v>55</v>
      </c>
      <c r="R12" s="21">
        <v>0</v>
      </c>
      <c r="S12" s="21">
        <v>18</v>
      </c>
      <c r="T12" s="21">
        <v>7</v>
      </c>
      <c r="U12" s="21">
        <v>1.25</v>
      </c>
      <c r="V12" s="21">
        <v>1.2817398889233114</v>
      </c>
      <c r="W12" s="21">
        <v>6</v>
      </c>
      <c r="X12" s="21">
        <v>3</v>
      </c>
      <c r="Y12" s="21">
        <v>1.3333333333333333</v>
      </c>
      <c r="AA12" s="166" t="s">
        <v>10</v>
      </c>
      <c r="AB12" s="77">
        <f t="shared" si="1"/>
        <v>0</v>
      </c>
      <c r="AC12" s="77">
        <f t="shared" si="9"/>
        <v>3</v>
      </c>
      <c r="AD12" s="77">
        <f t="shared" si="10"/>
        <v>2</v>
      </c>
      <c r="AE12" s="77">
        <f t="shared" si="11"/>
        <v>-0.41666666666667007</v>
      </c>
      <c r="AF12" s="77">
        <f t="shared" si="12"/>
        <v>-0.46945018261851867</v>
      </c>
      <c r="AG12" s="77">
        <f t="shared" si="13"/>
        <v>3</v>
      </c>
      <c r="AH12" s="77">
        <f t="shared" si="14"/>
        <v>-2</v>
      </c>
      <c r="AI12" s="77">
        <f t="shared" si="15"/>
        <v>-0.66666666666666674</v>
      </c>
    </row>
    <row r="13" spans="1:35" x14ac:dyDescent="0.2">
      <c r="A13" s="3" t="s">
        <v>11</v>
      </c>
      <c r="B13" s="42" t="s">
        <v>439</v>
      </c>
      <c r="C13" s="42">
        <v>1</v>
      </c>
      <c r="D13" s="42" t="s">
        <v>438</v>
      </c>
      <c r="E13" s="42">
        <v>5</v>
      </c>
      <c r="F13" s="155">
        <v>18</v>
      </c>
      <c r="G13" s="155">
        <v>9</v>
      </c>
      <c r="H13" s="155">
        <v>0.8</v>
      </c>
      <c r="I13" s="155">
        <v>1.4757295747452437</v>
      </c>
      <c r="J13" s="18">
        <v>7</v>
      </c>
      <c r="K13" s="18">
        <v>2.5714285714285716</v>
      </c>
      <c r="L13" s="157">
        <v>1.4285714285714286</v>
      </c>
      <c r="N13" s="170" t="s">
        <v>11</v>
      </c>
      <c r="O13" s="21" t="s">
        <v>439</v>
      </c>
      <c r="P13" s="21">
        <v>2</v>
      </c>
      <c r="Q13" s="21" t="s">
        <v>55</v>
      </c>
      <c r="R13" s="21">
        <v>1</v>
      </c>
      <c r="S13" s="21">
        <v>8</v>
      </c>
      <c r="T13" s="21">
        <v>3</v>
      </c>
      <c r="U13" s="21">
        <v>1</v>
      </c>
      <c r="V13" s="21">
        <v>0.81649658092772603</v>
      </c>
      <c r="W13" s="21">
        <v>4</v>
      </c>
      <c r="X13" s="21">
        <v>2</v>
      </c>
      <c r="Y13" s="21">
        <v>1</v>
      </c>
      <c r="AA13" s="166" t="s">
        <v>11</v>
      </c>
      <c r="AB13" s="77">
        <f t="shared" si="1"/>
        <v>-4</v>
      </c>
      <c r="AC13" s="77">
        <f t="shared" si="9"/>
        <v>-10</v>
      </c>
      <c r="AD13" s="77">
        <f t="shared" si="10"/>
        <v>-6</v>
      </c>
      <c r="AE13" s="77">
        <f t="shared" si="11"/>
        <v>0.19999999999999996</v>
      </c>
      <c r="AF13" s="77">
        <f t="shared" si="12"/>
        <v>-0.65923299381751765</v>
      </c>
      <c r="AG13" s="77">
        <f t="shared" si="13"/>
        <v>-3</v>
      </c>
      <c r="AH13" s="77">
        <f t="shared" si="14"/>
        <v>-0.57142857142857162</v>
      </c>
      <c r="AI13" s="77">
        <f t="shared" si="15"/>
        <v>-0.4285714285714286</v>
      </c>
    </row>
    <row r="14" spans="1:35" s="138" customFormat="1" x14ac:dyDescent="0.2">
      <c r="A14" s="172" t="s">
        <v>12</v>
      </c>
      <c r="F14" s="138" t="s">
        <v>440</v>
      </c>
      <c r="N14" s="170" t="s">
        <v>12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AA14" s="166" t="s">
        <v>12</v>
      </c>
      <c r="AB14" s="77"/>
      <c r="AC14" s="77"/>
      <c r="AD14" s="77"/>
      <c r="AE14" s="77"/>
      <c r="AF14" s="77"/>
      <c r="AG14" s="77"/>
      <c r="AH14" s="77"/>
      <c r="AI14" s="77"/>
    </row>
    <row r="15" spans="1:35" x14ac:dyDescent="0.2">
      <c r="A15" s="3" t="s">
        <v>13</v>
      </c>
      <c r="B15" s="42" t="s">
        <v>437</v>
      </c>
      <c r="C15" s="42">
        <v>2</v>
      </c>
      <c r="D15" s="42" t="s">
        <v>438</v>
      </c>
      <c r="E15" s="42">
        <v>1</v>
      </c>
      <c r="F15" s="155">
        <v>20</v>
      </c>
      <c r="G15" s="155">
        <v>12</v>
      </c>
      <c r="H15" s="155">
        <v>0.53846153846153799</v>
      </c>
      <c r="I15" s="155">
        <v>0.51887452166277104</v>
      </c>
      <c r="J15" s="18">
        <v>8</v>
      </c>
      <c r="K15" s="18">
        <v>2.5</v>
      </c>
      <c r="L15" s="18">
        <v>1.625</v>
      </c>
      <c r="N15" s="170" t="s">
        <v>13</v>
      </c>
      <c r="O15" s="21" t="s">
        <v>437</v>
      </c>
      <c r="P15" s="21">
        <v>1</v>
      </c>
      <c r="Q15" s="21" t="s">
        <v>55</v>
      </c>
      <c r="R15" s="21">
        <v>0</v>
      </c>
      <c r="S15" s="21">
        <v>19</v>
      </c>
      <c r="T15" s="21">
        <v>7</v>
      </c>
      <c r="U15" s="21">
        <v>1.375</v>
      </c>
      <c r="V15" s="21">
        <v>1.5059406173077154</v>
      </c>
      <c r="W15" s="21">
        <v>6</v>
      </c>
      <c r="X15" s="21">
        <v>3.1666666666666701</v>
      </c>
      <c r="Y15" s="21">
        <v>1.3333333333333299</v>
      </c>
      <c r="AA15" s="166" t="s">
        <v>13</v>
      </c>
      <c r="AB15" s="77">
        <f t="shared" si="1"/>
        <v>-1</v>
      </c>
      <c r="AC15" s="77">
        <f t="shared" ref="AC15:AC21" si="16">S15-F15</f>
        <v>-1</v>
      </c>
      <c r="AD15" s="77">
        <f t="shared" ref="AD15:AD21" si="17">T15-G15</f>
        <v>-5</v>
      </c>
      <c r="AE15" s="77">
        <f t="shared" ref="AE15:AE21" si="18">U15-H15</f>
        <v>0.83653846153846201</v>
      </c>
      <c r="AF15" s="77">
        <f t="shared" ref="AF15:AF21" si="19">V15-I15</f>
        <v>0.98706609564494441</v>
      </c>
      <c r="AG15" s="77">
        <f t="shared" ref="AG15:AG21" si="20">W15-J15</f>
        <v>-2</v>
      </c>
      <c r="AH15" s="77">
        <f t="shared" ref="AH15:AH21" si="21">X15-K15</f>
        <v>0.66666666666667007</v>
      </c>
      <c r="AI15" s="77">
        <f t="shared" ref="AI15:AI21" si="22">Y15-L15</f>
        <v>-0.29166666666667007</v>
      </c>
    </row>
    <row r="16" spans="1:35" ht="16" x14ac:dyDescent="0.2">
      <c r="A16" s="3" t="s">
        <v>14</v>
      </c>
      <c r="B16" s="42" t="s">
        <v>439</v>
      </c>
      <c r="C16" s="42">
        <v>2</v>
      </c>
      <c r="D16" s="42" t="s">
        <v>438</v>
      </c>
      <c r="E16" s="42">
        <v>0</v>
      </c>
      <c r="F16" s="155">
        <v>14</v>
      </c>
      <c r="G16" s="156">
        <v>3</v>
      </c>
      <c r="H16" s="156">
        <v>2.5</v>
      </c>
      <c r="I16" s="156">
        <v>1</v>
      </c>
      <c r="J16" s="18">
        <v>4</v>
      </c>
      <c r="K16" s="18">
        <v>3.5</v>
      </c>
      <c r="L16" s="18">
        <v>1</v>
      </c>
      <c r="N16" s="170" t="s">
        <v>14</v>
      </c>
      <c r="O16" s="21" t="s">
        <v>439</v>
      </c>
      <c r="P16" s="21">
        <v>1</v>
      </c>
      <c r="Q16" s="21" t="s">
        <v>55</v>
      </c>
      <c r="R16" s="21">
        <v>0</v>
      </c>
      <c r="S16" s="21">
        <v>13</v>
      </c>
      <c r="T16" s="21">
        <v>5</v>
      </c>
      <c r="U16" s="21">
        <v>1.3333333329999999</v>
      </c>
      <c r="V16" s="21">
        <v>1.5055453050000001</v>
      </c>
      <c r="W16" s="21">
        <v>4</v>
      </c>
      <c r="X16" s="21">
        <v>3.25</v>
      </c>
      <c r="Y16" s="21">
        <v>1.5</v>
      </c>
      <c r="AA16" s="166" t="s">
        <v>14</v>
      </c>
      <c r="AB16" s="77">
        <f t="shared" si="1"/>
        <v>0</v>
      </c>
      <c r="AC16" s="77">
        <f t="shared" si="16"/>
        <v>-1</v>
      </c>
      <c r="AD16" s="77">
        <f t="shared" si="17"/>
        <v>2</v>
      </c>
      <c r="AE16" s="77">
        <f t="shared" si="18"/>
        <v>-1.1666666670000001</v>
      </c>
      <c r="AF16" s="77">
        <f t="shared" si="19"/>
        <v>0.50554530500000006</v>
      </c>
      <c r="AG16" s="77">
        <f t="shared" si="20"/>
        <v>0</v>
      </c>
      <c r="AH16" s="77">
        <f t="shared" si="21"/>
        <v>-0.25</v>
      </c>
      <c r="AI16" s="77">
        <f t="shared" si="22"/>
        <v>0.5</v>
      </c>
    </row>
    <row r="17" spans="1:35" x14ac:dyDescent="0.2">
      <c r="A17" s="3" t="s">
        <v>15</v>
      </c>
      <c r="B17" s="42" t="s">
        <v>437</v>
      </c>
      <c r="C17" s="42">
        <v>2</v>
      </c>
      <c r="D17" s="42" t="s">
        <v>438</v>
      </c>
      <c r="E17" s="42">
        <v>1</v>
      </c>
      <c r="F17" s="155">
        <v>21</v>
      </c>
      <c r="G17" s="155">
        <v>8</v>
      </c>
      <c r="H17" s="155">
        <v>1.55555555555556</v>
      </c>
      <c r="I17" s="155">
        <v>2.0069324297987201</v>
      </c>
      <c r="J17" s="18">
        <v>6</v>
      </c>
      <c r="K17" s="18">
        <v>3.5</v>
      </c>
      <c r="L17" s="18">
        <v>1.5</v>
      </c>
      <c r="N17" s="170" t="s">
        <v>15</v>
      </c>
      <c r="O17" s="21" t="s">
        <v>437</v>
      </c>
      <c r="P17" s="21">
        <v>1</v>
      </c>
      <c r="Q17" s="21" t="s">
        <v>55</v>
      </c>
      <c r="R17" s="21">
        <v>4</v>
      </c>
      <c r="S17" s="21">
        <v>20</v>
      </c>
      <c r="T17" s="21">
        <v>15</v>
      </c>
      <c r="U17" s="21">
        <v>0.4375</v>
      </c>
      <c r="V17" s="21">
        <v>0.81394102980498528</v>
      </c>
      <c r="W17" s="21">
        <v>7</v>
      </c>
      <c r="X17" s="21">
        <v>2.8571428571428572</v>
      </c>
      <c r="Y17" s="21">
        <v>2.2857142857142856</v>
      </c>
      <c r="AA17" s="166" t="s">
        <v>15</v>
      </c>
      <c r="AB17" s="77">
        <f t="shared" si="1"/>
        <v>3</v>
      </c>
      <c r="AC17" s="77">
        <f t="shared" si="16"/>
        <v>-1</v>
      </c>
      <c r="AD17" s="77">
        <f t="shared" si="17"/>
        <v>7</v>
      </c>
      <c r="AE17" s="77">
        <f t="shared" si="18"/>
        <v>-1.11805555555556</v>
      </c>
      <c r="AF17" s="77">
        <f t="shared" si="19"/>
        <v>-1.1929913999937347</v>
      </c>
      <c r="AG17" s="77">
        <f t="shared" si="20"/>
        <v>1</v>
      </c>
      <c r="AH17" s="77">
        <f t="shared" si="21"/>
        <v>-0.64285714285714279</v>
      </c>
      <c r="AI17" s="77">
        <f t="shared" si="22"/>
        <v>0.78571428571428559</v>
      </c>
    </row>
    <row r="18" spans="1:35" x14ac:dyDescent="0.2">
      <c r="A18" s="3" t="s">
        <v>16</v>
      </c>
      <c r="B18" s="42" t="s">
        <v>437</v>
      </c>
      <c r="C18" s="42">
        <v>2</v>
      </c>
      <c r="D18" s="42" t="s">
        <v>438</v>
      </c>
      <c r="E18" s="42">
        <v>1</v>
      </c>
      <c r="F18" s="155">
        <v>13</v>
      </c>
      <c r="G18" s="155">
        <v>7</v>
      </c>
      <c r="H18" s="155">
        <v>0.875</v>
      </c>
      <c r="I18" s="155">
        <v>1.1259916264595999</v>
      </c>
      <c r="J18" s="18">
        <v>5</v>
      </c>
      <c r="K18" s="18">
        <v>2.6</v>
      </c>
      <c r="L18" s="18">
        <v>1.6</v>
      </c>
      <c r="N18" s="170" t="s">
        <v>16</v>
      </c>
      <c r="O18" s="21" t="s">
        <v>437</v>
      </c>
      <c r="P18" s="21">
        <v>1</v>
      </c>
      <c r="Q18" s="21" t="s">
        <v>55</v>
      </c>
      <c r="R18" s="21">
        <v>0</v>
      </c>
      <c r="S18" s="21">
        <v>16</v>
      </c>
      <c r="T18" s="21">
        <v>6</v>
      </c>
      <c r="U18" s="21">
        <v>1.28571428571429</v>
      </c>
      <c r="V18" s="21">
        <v>0.95118973121134198</v>
      </c>
      <c r="W18" s="21">
        <v>7</v>
      </c>
      <c r="X18" s="21">
        <v>2.2857142857142856</v>
      </c>
      <c r="Y18" s="21">
        <v>1</v>
      </c>
      <c r="AA18" s="166" t="s">
        <v>16</v>
      </c>
      <c r="AB18" s="77">
        <f t="shared" si="1"/>
        <v>-1</v>
      </c>
      <c r="AC18" s="77">
        <f t="shared" si="16"/>
        <v>3</v>
      </c>
      <c r="AD18" s="77">
        <f t="shared" si="17"/>
        <v>-1</v>
      </c>
      <c r="AE18" s="77">
        <f t="shared" si="18"/>
        <v>0.41071428571429003</v>
      </c>
      <c r="AF18" s="77">
        <f t="shared" si="19"/>
        <v>-0.17480189524825795</v>
      </c>
      <c r="AG18" s="77">
        <f t="shared" si="20"/>
        <v>2</v>
      </c>
      <c r="AH18" s="77">
        <f t="shared" si="21"/>
        <v>-0.3142857142857145</v>
      </c>
      <c r="AI18" s="77">
        <f t="shared" si="22"/>
        <v>-0.60000000000000009</v>
      </c>
    </row>
    <row r="19" spans="1:35" x14ac:dyDescent="0.2">
      <c r="A19" s="3" t="s">
        <v>17</v>
      </c>
      <c r="B19" s="42" t="s">
        <v>437</v>
      </c>
      <c r="C19" s="42">
        <v>2</v>
      </c>
      <c r="D19" s="42" t="s">
        <v>438</v>
      </c>
      <c r="E19" s="42">
        <v>2</v>
      </c>
      <c r="F19" s="155">
        <v>16</v>
      </c>
      <c r="G19" s="155">
        <v>7</v>
      </c>
      <c r="H19" s="155">
        <v>1</v>
      </c>
      <c r="I19" s="155">
        <v>0.92582009977255098</v>
      </c>
      <c r="J19" s="18">
        <v>6</v>
      </c>
      <c r="K19" s="18">
        <v>2.6666666666666665</v>
      </c>
      <c r="L19" s="18">
        <v>1.3333333333333333</v>
      </c>
      <c r="N19" s="170" t="s">
        <v>17</v>
      </c>
      <c r="O19" s="21" t="s">
        <v>437</v>
      </c>
      <c r="P19" s="21">
        <v>1</v>
      </c>
      <c r="Q19" s="21" t="s">
        <v>55</v>
      </c>
      <c r="R19" s="21">
        <v>0</v>
      </c>
      <c r="S19" s="21">
        <v>15</v>
      </c>
      <c r="T19" s="21">
        <v>5</v>
      </c>
      <c r="U19" s="21">
        <v>2</v>
      </c>
      <c r="V19" s="21">
        <v>1.5491933384829699</v>
      </c>
      <c r="W19" s="21">
        <v>6</v>
      </c>
      <c r="X19" s="21">
        <v>2.5</v>
      </c>
      <c r="Y19" s="21">
        <v>1</v>
      </c>
      <c r="AA19" s="166" t="s">
        <v>17</v>
      </c>
      <c r="AB19" s="77">
        <f t="shared" si="1"/>
        <v>-2</v>
      </c>
      <c r="AC19" s="77">
        <f t="shared" si="16"/>
        <v>-1</v>
      </c>
      <c r="AD19" s="77">
        <f t="shared" si="17"/>
        <v>-2</v>
      </c>
      <c r="AE19" s="77">
        <f t="shared" si="18"/>
        <v>1</v>
      </c>
      <c r="AF19" s="77">
        <f t="shared" si="19"/>
        <v>0.62337323871041894</v>
      </c>
      <c r="AG19" s="77">
        <f t="shared" si="20"/>
        <v>0</v>
      </c>
      <c r="AH19" s="77">
        <f t="shared" si="21"/>
        <v>-0.16666666666666652</v>
      </c>
      <c r="AI19" s="77">
        <f t="shared" si="22"/>
        <v>-0.33333333333333326</v>
      </c>
    </row>
    <row r="20" spans="1:35" x14ac:dyDescent="0.2">
      <c r="A20" s="3" t="s">
        <v>18</v>
      </c>
      <c r="B20" s="42" t="s">
        <v>437</v>
      </c>
      <c r="C20" s="42">
        <v>2</v>
      </c>
      <c r="D20" s="42" t="s">
        <v>438</v>
      </c>
      <c r="E20" s="42">
        <v>1</v>
      </c>
      <c r="F20" s="155">
        <v>20</v>
      </c>
      <c r="G20" s="155">
        <v>9</v>
      </c>
      <c r="H20" s="155">
        <v>1.1000000000000001</v>
      </c>
      <c r="I20" s="155">
        <v>1.1972189997378599</v>
      </c>
      <c r="J20" s="18">
        <v>8</v>
      </c>
      <c r="K20" s="18">
        <v>2.5</v>
      </c>
      <c r="L20" s="18">
        <v>1.25</v>
      </c>
      <c r="N20" s="170" t="s">
        <v>18</v>
      </c>
      <c r="O20" s="21" t="s">
        <v>437</v>
      </c>
      <c r="P20" s="21">
        <v>1</v>
      </c>
      <c r="Q20" s="21" t="s">
        <v>55</v>
      </c>
      <c r="R20" s="21">
        <v>4</v>
      </c>
      <c r="S20" s="21">
        <v>16</v>
      </c>
      <c r="T20" s="21">
        <v>7</v>
      </c>
      <c r="U20" s="21">
        <v>1.125</v>
      </c>
      <c r="V20" s="21">
        <v>1.24642345475822</v>
      </c>
      <c r="W20" s="21">
        <v>6</v>
      </c>
      <c r="X20" s="21">
        <v>2.6666666666666665</v>
      </c>
      <c r="Y20" s="21">
        <v>1.3333333333333333</v>
      </c>
      <c r="AA20" s="166" t="s">
        <v>18</v>
      </c>
      <c r="AB20" s="77">
        <f t="shared" si="1"/>
        <v>3</v>
      </c>
      <c r="AC20" s="77">
        <f t="shared" si="16"/>
        <v>-4</v>
      </c>
      <c r="AD20" s="77">
        <f t="shared" si="17"/>
        <v>-2</v>
      </c>
      <c r="AE20" s="77">
        <f t="shared" si="18"/>
        <v>2.4999999999999911E-2</v>
      </c>
      <c r="AF20" s="77">
        <f t="shared" si="19"/>
        <v>4.9204455020360083E-2</v>
      </c>
      <c r="AG20" s="77">
        <f t="shared" si="20"/>
        <v>-2</v>
      </c>
      <c r="AH20" s="77">
        <f t="shared" si="21"/>
        <v>0.16666666666666652</v>
      </c>
      <c r="AI20" s="77">
        <f t="shared" si="22"/>
        <v>8.3333333333333259E-2</v>
      </c>
    </row>
    <row r="21" spans="1:35" ht="16" thickBot="1" x14ac:dyDescent="0.25">
      <c r="A21" s="3" t="s">
        <v>19</v>
      </c>
      <c r="B21" s="42" t="s">
        <v>437</v>
      </c>
      <c r="C21" s="42">
        <v>2</v>
      </c>
      <c r="D21" s="42" t="s">
        <v>438</v>
      </c>
      <c r="E21" s="42">
        <v>0</v>
      </c>
      <c r="F21" s="155">
        <v>16</v>
      </c>
      <c r="G21" s="155">
        <v>9</v>
      </c>
      <c r="H21" s="155">
        <v>0.6</v>
      </c>
      <c r="I21" s="155">
        <v>0.69920589878010098</v>
      </c>
      <c r="J21" s="18">
        <v>7</v>
      </c>
      <c r="K21" s="18">
        <v>2.2857142857142856</v>
      </c>
      <c r="L21" s="18">
        <v>1.4285714285714286</v>
      </c>
      <c r="N21" s="170" t="s">
        <v>19</v>
      </c>
      <c r="O21" s="21" t="s">
        <v>437</v>
      </c>
      <c r="P21" s="21">
        <v>1</v>
      </c>
      <c r="Q21" s="21" t="s">
        <v>55</v>
      </c>
      <c r="R21" s="21">
        <v>1</v>
      </c>
      <c r="S21" s="21">
        <v>24</v>
      </c>
      <c r="T21" s="21">
        <v>10</v>
      </c>
      <c r="U21" s="21">
        <v>1.36363636363636</v>
      </c>
      <c r="V21" s="21">
        <v>1.2862913567872001</v>
      </c>
      <c r="W21" s="21">
        <v>6</v>
      </c>
      <c r="X21" s="21">
        <v>4</v>
      </c>
      <c r="Y21" s="21">
        <v>1.8333333333333299</v>
      </c>
      <c r="AA21" s="166" t="s">
        <v>19</v>
      </c>
      <c r="AB21" s="77">
        <f t="shared" si="1"/>
        <v>1</v>
      </c>
      <c r="AC21" s="77">
        <f t="shared" si="16"/>
        <v>8</v>
      </c>
      <c r="AD21" s="77">
        <f t="shared" si="17"/>
        <v>1</v>
      </c>
      <c r="AE21" s="77">
        <f t="shared" si="18"/>
        <v>0.76363636363636</v>
      </c>
      <c r="AF21" s="77">
        <f t="shared" si="19"/>
        <v>0.5870854580070991</v>
      </c>
      <c r="AG21" s="77">
        <f t="shared" si="20"/>
        <v>-1</v>
      </c>
      <c r="AH21" s="77">
        <f t="shared" si="21"/>
        <v>1.7142857142857144</v>
      </c>
      <c r="AI21" s="77">
        <f t="shared" si="22"/>
        <v>0.40476190476190133</v>
      </c>
    </row>
    <row r="22" spans="1:35" s="101" customFormat="1" x14ac:dyDescent="0.2">
      <c r="A22" s="1" t="s">
        <v>238</v>
      </c>
      <c r="F22" s="101">
        <f>AVERAGE(F2:F21)</f>
        <v>19.5625</v>
      </c>
      <c r="G22" s="101">
        <f t="shared" ref="G22:L22" si="23">AVERAGE(G2:G21)</f>
        <v>8.375</v>
      </c>
      <c r="H22" s="101">
        <f t="shared" si="23"/>
        <v>1.3590837981046742</v>
      </c>
      <c r="I22" s="101">
        <f t="shared" si="23"/>
        <v>1.2119716243449994</v>
      </c>
      <c r="J22" s="101">
        <f t="shared" si="23"/>
        <v>6.4375</v>
      </c>
      <c r="K22" s="101">
        <f t="shared" si="23"/>
        <v>3.1683283730158731</v>
      </c>
      <c r="L22" s="101">
        <f t="shared" si="23"/>
        <v>1.4304811507936508</v>
      </c>
      <c r="N22" s="23" t="s">
        <v>238</v>
      </c>
      <c r="O22" s="159"/>
      <c r="P22" s="159"/>
      <c r="Q22" s="159"/>
      <c r="R22" s="159"/>
      <c r="S22" s="159">
        <f>AVERAGE(S2:S21)</f>
        <v>17.875</v>
      </c>
      <c r="T22" s="159">
        <f t="shared" ref="T22:Y22" si="24">AVERAGE(T2:T21)</f>
        <v>7.125</v>
      </c>
      <c r="U22" s="159">
        <f t="shared" si="24"/>
        <v>1.5098518668622836</v>
      </c>
      <c r="V22" s="159">
        <f t="shared" si="24"/>
        <v>1.5851465319376461</v>
      </c>
      <c r="W22" s="159">
        <f t="shared" si="24"/>
        <v>5.9375</v>
      </c>
      <c r="X22" s="159">
        <f t="shared" si="24"/>
        <v>3.0297619047619047</v>
      </c>
      <c r="Y22" s="159">
        <f t="shared" si="24"/>
        <v>1.414806547619047</v>
      </c>
      <c r="AA22" s="167" t="s">
        <v>238</v>
      </c>
      <c r="AB22" s="160">
        <f>AVERAGE(AB2:AB21)</f>
        <v>0</v>
      </c>
      <c r="AC22" s="160">
        <f t="shared" ref="AC22:AI22" si="25">AVERAGE(AC2:AC21)</f>
        <v>-1.6875</v>
      </c>
      <c r="AD22" s="160">
        <f t="shared" si="25"/>
        <v>-1.25</v>
      </c>
      <c r="AE22" s="160">
        <f t="shared" si="25"/>
        <v>0.15076806875760965</v>
      </c>
      <c r="AF22" s="160">
        <f t="shared" si="25"/>
        <v>0.37317490759264682</v>
      </c>
      <c r="AG22" s="160">
        <f t="shared" si="25"/>
        <v>-0.5</v>
      </c>
      <c r="AH22" s="160">
        <f t="shared" si="25"/>
        <v>-0.13856646825396826</v>
      </c>
      <c r="AI22" s="160">
        <f t="shared" si="25"/>
        <v>-1.5674603174603841E-2</v>
      </c>
    </row>
    <row r="23" spans="1:35" s="5" customFormat="1" x14ac:dyDescent="0.2">
      <c r="A23" s="3" t="s">
        <v>53</v>
      </c>
      <c r="F23" s="5">
        <f>STDEV(F2:F21)</f>
        <v>3.9994791327538306</v>
      </c>
      <c r="G23" s="5">
        <f t="shared" ref="G23:L23" si="26">STDEV(G2:G21)</f>
        <v>2.8017851452243798</v>
      </c>
      <c r="H23" s="5">
        <f t="shared" si="26"/>
        <v>0.74207551232296209</v>
      </c>
      <c r="I23" s="5">
        <f t="shared" si="26"/>
        <v>0.41908649789928004</v>
      </c>
      <c r="J23" s="5">
        <f t="shared" si="26"/>
        <v>1.5903353943953669</v>
      </c>
      <c r="K23" s="5">
        <f t="shared" si="26"/>
        <v>0.81024599774469752</v>
      </c>
      <c r="L23" s="5">
        <f t="shared" si="26"/>
        <v>0.30742024370391974</v>
      </c>
      <c r="N23" s="170" t="s">
        <v>53</v>
      </c>
      <c r="O23" s="161"/>
      <c r="P23" s="161"/>
      <c r="Q23" s="161"/>
      <c r="R23" s="161"/>
      <c r="S23" s="161">
        <f>STDEV(S2:S21)</f>
        <v>4.2563677785955791</v>
      </c>
      <c r="T23" s="161">
        <f t="shared" ref="T23:Y23" si="27">STDEV(T2:T21)</f>
        <v>2.8722813232690143</v>
      </c>
      <c r="U23" s="161">
        <f t="shared" si="27"/>
        <v>0.65024704677405154</v>
      </c>
      <c r="V23" s="161">
        <f t="shared" si="27"/>
        <v>0.72889347916993164</v>
      </c>
      <c r="W23" s="161">
        <f t="shared" si="27"/>
        <v>1.181453906563152</v>
      </c>
      <c r="X23" s="161">
        <f t="shared" si="27"/>
        <v>0.59560306271411967</v>
      </c>
      <c r="Y23" s="161">
        <f t="shared" si="27"/>
        <v>0.43083462583743654</v>
      </c>
      <c r="AA23" s="166" t="s">
        <v>53</v>
      </c>
      <c r="AB23" s="154">
        <f>STDEV(AB2:AB21)</f>
        <v>1.8973665961010275</v>
      </c>
      <c r="AC23" s="154">
        <f t="shared" ref="AC23:AI23" si="28">STDEV(AC2:AC21)</f>
        <v>4.2851487722131658</v>
      </c>
      <c r="AD23" s="154">
        <f t="shared" si="28"/>
        <v>3.5870136139505613</v>
      </c>
      <c r="AE23" s="154">
        <f t="shared" si="28"/>
        <v>0.71578319754236297</v>
      </c>
      <c r="AF23" s="154">
        <f t="shared" si="28"/>
        <v>0.8296602975607289</v>
      </c>
      <c r="AG23" s="154">
        <f t="shared" si="28"/>
        <v>2</v>
      </c>
      <c r="AH23" s="154">
        <f t="shared" si="28"/>
        <v>1.0103488319874669</v>
      </c>
      <c r="AI23" s="154">
        <f t="shared" si="28"/>
        <v>0.57263458492379238</v>
      </c>
    </row>
    <row r="24" spans="1:35" s="83" customFormat="1" ht="16" thickBot="1" x14ac:dyDescent="0.25">
      <c r="A24" s="32" t="s">
        <v>418</v>
      </c>
      <c r="F24" s="83">
        <f>F23/SQRT(16)</f>
        <v>0.99986978318845765</v>
      </c>
      <c r="G24" s="83">
        <f t="shared" ref="G24:L24" si="29">G23/SQRT(16)</f>
        <v>0.70044628630609496</v>
      </c>
      <c r="H24" s="83">
        <f t="shared" si="29"/>
        <v>0.18551887808074052</v>
      </c>
      <c r="I24" s="83">
        <f t="shared" si="29"/>
        <v>0.10477162447482001</v>
      </c>
      <c r="J24" s="83">
        <f t="shared" si="29"/>
        <v>0.39758384859884172</v>
      </c>
      <c r="K24" s="83">
        <f t="shared" si="29"/>
        <v>0.20256149943617438</v>
      </c>
      <c r="L24" s="83">
        <f t="shared" si="29"/>
        <v>7.6855060925979934E-2</v>
      </c>
      <c r="N24" s="171" t="s">
        <v>418</v>
      </c>
      <c r="O24" s="163"/>
      <c r="P24" s="163"/>
      <c r="Q24" s="163"/>
      <c r="R24" s="163"/>
      <c r="S24" s="163">
        <f>S23/SQRT(16)</f>
        <v>1.0640919446488948</v>
      </c>
      <c r="T24" s="163">
        <f t="shared" ref="T24:Y24" si="30">T23/SQRT(16)</f>
        <v>0.71807033081725358</v>
      </c>
      <c r="U24" s="163">
        <f t="shared" si="30"/>
        <v>0.16256176169351289</v>
      </c>
      <c r="V24" s="163">
        <f t="shared" si="30"/>
        <v>0.18222336979248291</v>
      </c>
      <c r="W24" s="163">
        <f t="shared" si="30"/>
        <v>0.29536347664078799</v>
      </c>
      <c r="X24" s="163">
        <f t="shared" si="30"/>
        <v>0.14890076567852992</v>
      </c>
      <c r="Y24" s="163">
        <f t="shared" si="30"/>
        <v>0.10770865645935913</v>
      </c>
      <c r="AA24" s="168" t="s">
        <v>418</v>
      </c>
      <c r="AB24" s="162">
        <f>AB23/SQRT(16)</f>
        <v>0.47434164902525688</v>
      </c>
      <c r="AC24" s="162">
        <f t="shared" ref="AC24:AI24" si="31">AC23/SQRT(16)</f>
        <v>1.0712871930532915</v>
      </c>
      <c r="AD24" s="162">
        <f t="shared" si="31"/>
        <v>0.89675340348764032</v>
      </c>
      <c r="AE24" s="162">
        <f t="shared" si="31"/>
        <v>0.17894579938559074</v>
      </c>
      <c r="AF24" s="162">
        <f t="shared" si="31"/>
        <v>0.20741507439018222</v>
      </c>
      <c r="AG24" s="162">
        <f t="shared" si="31"/>
        <v>0.5</v>
      </c>
      <c r="AH24" s="162">
        <f t="shared" si="31"/>
        <v>0.25258720799686674</v>
      </c>
      <c r="AI24" s="162">
        <f t="shared" si="31"/>
        <v>0.14315864623094809</v>
      </c>
    </row>
    <row r="25" spans="1:35" s="83" customFormat="1" ht="16" thickBot="1" x14ac:dyDescent="0.25">
      <c r="A25" s="32"/>
      <c r="N25" s="32"/>
      <c r="AA25" s="168" t="s">
        <v>441</v>
      </c>
      <c r="AB25" s="83">
        <f>TTEST(E2:E21,R2:R21,2,1)</f>
        <v>1</v>
      </c>
      <c r="AC25" s="83">
        <f t="shared" ref="AC25:AI25" si="32">TTEST(F2:F21,S2:S21,2,1)</f>
        <v>0.13606064661325373</v>
      </c>
      <c r="AD25" s="83">
        <f>TTEST(G2:G21,T2:T21,2,1)</f>
        <v>0.1836503076233322</v>
      </c>
      <c r="AE25" s="83">
        <f t="shared" si="32"/>
        <v>0.41272166224231654</v>
      </c>
      <c r="AF25" s="163">
        <f t="shared" si="32"/>
        <v>9.2138508174758216E-2</v>
      </c>
      <c r="AG25" s="83">
        <f t="shared" si="32"/>
        <v>0.33317013591547762</v>
      </c>
      <c r="AH25" s="83">
        <f t="shared" si="32"/>
        <v>0.59136018047239591</v>
      </c>
      <c r="AI25" s="83">
        <f t="shared" si="32"/>
        <v>0.91426433055056777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/>
  <dimension ref="A1:AM33"/>
  <sheetViews>
    <sheetView zoomScale="50" zoomScaleNormal="50" zoomScalePageLayoutView="50" workbookViewId="0">
      <selection activeCell="V28" sqref="V28"/>
    </sheetView>
  </sheetViews>
  <sheetFormatPr baseColWidth="10" defaultColWidth="11.5" defaultRowHeight="15" x14ac:dyDescent="0.2"/>
  <sheetData>
    <row r="1" spans="1:39" x14ac:dyDescent="0.2">
      <c r="D1" s="207" t="s">
        <v>55</v>
      </c>
      <c r="E1" s="159"/>
      <c r="F1" s="159"/>
      <c r="G1" s="208"/>
      <c r="H1" s="100" t="s">
        <v>56</v>
      </c>
      <c r="I1" s="101"/>
      <c r="J1" s="101"/>
      <c r="K1" s="102"/>
      <c r="L1" s="182" t="s">
        <v>347</v>
      </c>
      <c r="M1" s="160"/>
      <c r="N1" s="160"/>
      <c r="O1" s="187"/>
      <c r="P1" s="205" t="s">
        <v>55</v>
      </c>
      <c r="Q1" s="101" t="s">
        <v>56</v>
      </c>
      <c r="R1" s="187" t="s">
        <v>347</v>
      </c>
      <c r="S1" s="205" t="s">
        <v>55</v>
      </c>
      <c r="T1" s="101" t="s">
        <v>56</v>
      </c>
      <c r="U1" s="187" t="s">
        <v>347</v>
      </c>
      <c r="Y1" s="18" t="s">
        <v>346</v>
      </c>
      <c r="Z1" s="18"/>
      <c r="AA1" s="18"/>
      <c r="AB1" s="100" t="s">
        <v>55</v>
      </c>
      <c r="AC1" s="101"/>
      <c r="AD1" s="101"/>
      <c r="AE1" s="102"/>
      <c r="AF1" s="100" t="s">
        <v>56</v>
      </c>
      <c r="AG1" s="101"/>
      <c r="AH1" s="101"/>
      <c r="AI1" s="102"/>
      <c r="AJ1" t="s">
        <v>347</v>
      </c>
    </row>
    <row r="2" spans="1:39" x14ac:dyDescent="0.2">
      <c r="D2" s="204" t="s">
        <v>341</v>
      </c>
      <c r="E2" s="161"/>
      <c r="F2" s="161"/>
      <c r="G2" s="209"/>
      <c r="H2" s="68" t="s">
        <v>341</v>
      </c>
      <c r="I2" s="5"/>
      <c r="J2" s="5"/>
      <c r="K2" s="80"/>
      <c r="L2" s="179"/>
      <c r="M2" s="154"/>
      <c r="N2" s="154"/>
      <c r="O2" s="185"/>
      <c r="P2" s="204"/>
      <c r="Q2" s="5"/>
      <c r="R2" s="185"/>
      <c r="S2" s="204"/>
      <c r="T2" s="5"/>
      <c r="U2" s="185"/>
      <c r="Y2" s="18"/>
      <c r="Z2" s="18"/>
      <c r="AA2" s="18"/>
      <c r="AB2" s="68" t="s">
        <v>341</v>
      </c>
      <c r="AC2" s="5"/>
      <c r="AD2" s="5"/>
      <c r="AE2" s="80"/>
      <c r="AF2" s="68" t="s">
        <v>341</v>
      </c>
      <c r="AG2" s="5"/>
      <c r="AH2" s="5"/>
      <c r="AI2" s="80"/>
      <c r="AJ2" s="68" t="s">
        <v>341</v>
      </c>
      <c r="AK2" s="5"/>
      <c r="AL2" s="5"/>
      <c r="AM2" s="80"/>
    </row>
    <row r="3" spans="1:39" ht="16" thickBot="1" x14ac:dyDescent="0.25">
      <c r="D3" s="203" t="s">
        <v>337</v>
      </c>
      <c r="E3" s="163" t="s">
        <v>338</v>
      </c>
      <c r="F3" s="163" t="s">
        <v>339</v>
      </c>
      <c r="G3" s="210" t="s">
        <v>52</v>
      </c>
      <c r="H3" s="86" t="s">
        <v>337</v>
      </c>
      <c r="I3" s="83" t="s">
        <v>338</v>
      </c>
      <c r="J3" s="83" t="s">
        <v>339</v>
      </c>
      <c r="K3" s="84" t="s">
        <v>52</v>
      </c>
      <c r="L3" s="179" t="s">
        <v>337</v>
      </c>
      <c r="M3" s="154" t="s">
        <v>338</v>
      </c>
      <c r="N3" s="154" t="s">
        <v>339</v>
      </c>
      <c r="O3" s="185" t="s">
        <v>52</v>
      </c>
      <c r="P3" s="203" t="s">
        <v>419</v>
      </c>
      <c r="Q3" s="83" t="s">
        <v>419</v>
      </c>
      <c r="R3" s="186" t="s">
        <v>419</v>
      </c>
      <c r="S3" s="203" t="s">
        <v>422</v>
      </c>
      <c r="T3" s="86" t="s">
        <v>422</v>
      </c>
      <c r="U3" s="180" t="s">
        <v>422</v>
      </c>
      <c r="Y3" s="18"/>
      <c r="Z3" s="18"/>
      <c r="AA3" s="18"/>
      <c r="AB3" s="86" t="s">
        <v>337</v>
      </c>
      <c r="AC3" s="83" t="s">
        <v>338</v>
      </c>
      <c r="AD3" s="83" t="s">
        <v>339</v>
      </c>
      <c r="AE3" s="84" t="s">
        <v>52</v>
      </c>
      <c r="AF3" s="86" t="s">
        <v>337</v>
      </c>
      <c r="AG3" s="83" t="s">
        <v>338</v>
      </c>
      <c r="AH3" s="83" t="s">
        <v>339</v>
      </c>
      <c r="AI3" s="84" t="s">
        <v>52</v>
      </c>
      <c r="AJ3" s="86" t="s">
        <v>337</v>
      </c>
      <c r="AK3" s="83" t="s">
        <v>338</v>
      </c>
      <c r="AL3" s="83" t="s">
        <v>339</v>
      </c>
      <c r="AM3" s="84" t="s">
        <v>52</v>
      </c>
    </row>
    <row r="4" spans="1:39" ht="16" thickBot="1" x14ac:dyDescent="0.25">
      <c r="A4" s="94" t="s">
        <v>276</v>
      </c>
      <c r="B4" s="4" t="s">
        <v>345</v>
      </c>
      <c r="C4" s="4" t="s">
        <v>342</v>
      </c>
      <c r="D4" s="67"/>
      <c r="E4" s="6"/>
      <c r="F4" s="6"/>
      <c r="G4" s="7"/>
      <c r="H4" s="67"/>
      <c r="I4" s="6"/>
      <c r="J4" s="6"/>
      <c r="K4" s="6"/>
      <c r="L4" s="66"/>
      <c r="M4" s="101"/>
      <c r="N4" s="101"/>
      <c r="O4" s="102"/>
      <c r="P4" s="66"/>
      <c r="Q4" s="101"/>
      <c r="R4" s="102"/>
      <c r="S4" s="68"/>
      <c r="T4" s="5"/>
      <c r="U4" s="80"/>
      <c r="Y4" s="94" t="s">
        <v>276</v>
      </c>
      <c r="Z4" s="4" t="s">
        <v>345</v>
      </c>
      <c r="AA4" s="4" t="s">
        <v>342</v>
      </c>
      <c r="AB4" s="67"/>
      <c r="AC4" s="6"/>
      <c r="AD4" s="6"/>
      <c r="AE4" s="7"/>
      <c r="AF4" s="67"/>
      <c r="AG4" s="6"/>
      <c r="AH4" s="6"/>
      <c r="AI4" s="7"/>
    </row>
    <row r="5" spans="1:39" x14ac:dyDescent="0.2">
      <c r="A5" s="3" t="s">
        <v>0</v>
      </c>
      <c r="B5" s="3" t="s">
        <v>270</v>
      </c>
      <c r="C5" s="3">
        <v>1</v>
      </c>
      <c r="D5" s="68">
        <v>87</v>
      </c>
      <c r="E5" s="5">
        <v>77</v>
      </c>
      <c r="F5" s="5">
        <v>108</v>
      </c>
      <c r="G5" s="80">
        <v>91</v>
      </c>
      <c r="H5" s="68">
        <v>101</v>
      </c>
      <c r="I5" s="24">
        <v>87</v>
      </c>
      <c r="J5" s="24">
        <v>115</v>
      </c>
      <c r="K5" s="5">
        <v>101</v>
      </c>
      <c r="L5" s="68">
        <f>H5-D5</f>
        <v>14</v>
      </c>
      <c r="M5" s="5">
        <f t="shared" ref="M5:N5" si="0">I5-E5</f>
        <v>10</v>
      </c>
      <c r="N5" s="5">
        <f t="shared" si="0"/>
        <v>7</v>
      </c>
      <c r="O5" s="80">
        <f>K5-G5</f>
        <v>10</v>
      </c>
      <c r="P5" s="151">
        <f>F5/D5</f>
        <v>1.2413793103448276</v>
      </c>
      <c r="Q5" s="24">
        <f>J5/H5</f>
        <v>1.1386138613861385</v>
      </c>
      <c r="R5" s="80">
        <f>P5-Q5</f>
        <v>0.10276544895868911</v>
      </c>
      <c r="S5" s="68">
        <f>E5/D5</f>
        <v>0.88505747126436785</v>
      </c>
      <c r="T5" s="5">
        <f>I5/H5</f>
        <v>0.86138613861386137</v>
      </c>
      <c r="U5" s="80">
        <f>S5-T5</f>
        <v>2.3671332650506471E-2</v>
      </c>
      <c r="Y5" s="3" t="s">
        <v>0</v>
      </c>
      <c r="Z5" s="3" t="s">
        <v>270</v>
      </c>
      <c r="AA5" s="3">
        <v>1</v>
      </c>
      <c r="AB5" s="68">
        <v>87</v>
      </c>
      <c r="AC5" s="5">
        <v>77</v>
      </c>
      <c r="AD5" s="5">
        <v>108</v>
      </c>
      <c r="AE5" s="80">
        <v>91</v>
      </c>
      <c r="AF5" s="68">
        <v>101</v>
      </c>
      <c r="AG5" s="24">
        <v>87</v>
      </c>
      <c r="AH5" s="24">
        <v>115</v>
      </c>
      <c r="AI5" s="80">
        <v>101</v>
      </c>
      <c r="AJ5">
        <f>AB5-AF5</f>
        <v>-14</v>
      </c>
      <c r="AK5" s="18">
        <f t="shared" ref="AK5:AM20" si="1">AC5-AG5</f>
        <v>-10</v>
      </c>
      <c r="AL5" s="18">
        <f t="shared" si="1"/>
        <v>-7</v>
      </c>
      <c r="AM5" s="18">
        <f>AE5-AI5</f>
        <v>-10</v>
      </c>
    </row>
    <row r="6" spans="1:39" x14ac:dyDescent="0.2">
      <c r="A6" s="99" t="s">
        <v>1</v>
      </c>
      <c r="B6" s="110" t="s">
        <v>340</v>
      </c>
      <c r="C6" s="110">
        <v>2</v>
      </c>
      <c r="D6" s="111"/>
      <c r="E6" s="29"/>
      <c r="F6" s="29"/>
      <c r="G6" s="112"/>
      <c r="H6" s="111"/>
      <c r="I6" s="29"/>
      <c r="J6" s="29"/>
      <c r="K6" s="29"/>
      <c r="L6" s="68"/>
      <c r="M6" s="5"/>
      <c r="N6" s="5"/>
      <c r="O6" s="80"/>
      <c r="P6" s="151"/>
      <c r="Q6" s="24"/>
      <c r="R6" s="80">
        <f t="shared" ref="R6:R24" si="2">P6-Q6</f>
        <v>0</v>
      </c>
      <c r="S6" s="68"/>
      <c r="T6" s="5"/>
      <c r="U6" s="80"/>
      <c r="Y6" s="99" t="s">
        <v>1</v>
      </c>
      <c r="Z6" s="110" t="s">
        <v>340</v>
      </c>
      <c r="AA6" s="110">
        <v>2</v>
      </c>
      <c r="AB6" s="111">
        <v>77</v>
      </c>
      <c r="AC6" s="29">
        <v>82</v>
      </c>
      <c r="AD6" s="29">
        <v>81</v>
      </c>
      <c r="AE6" s="112">
        <v>80</v>
      </c>
      <c r="AF6" s="111">
        <v>78</v>
      </c>
      <c r="AG6" s="29">
        <v>76</v>
      </c>
      <c r="AH6" s="29">
        <v>97</v>
      </c>
      <c r="AI6" s="112">
        <v>84</v>
      </c>
      <c r="AJ6" s="18">
        <f t="shared" ref="AJ6:AJ24" si="3">AB6-AF6</f>
        <v>-1</v>
      </c>
      <c r="AK6" s="18">
        <f t="shared" si="1"/>
        <v>6</v>
      </c>
      <c r="AL6" s="18">
        <f t="shared" si="1"/>
        <v>-16</v>
      </c>
      <c r="AM6" s="18">
        <f t="shared" si="1"/>
        <v>-4</v>
      </c>
    </row>
    <row r="7" spans="1:39" x14ac:dyDescent="0.2">
      <c r="A7" s="3" t="s">
        <v>2</v>
      </c>
      <c r="B7" s="3" t="s">
        <v>340</v>
      </c>
      <c r="C7" s="3">
        <v>1</v>
      </c>
      <c r="D7" s="68">
        <v>84</v>
      </c>
      <c r="E7" s="5">
        <v>84</v>
      </c>
      <c r="F7" s="5">
        <v>88</v>
      </c>
      <c r="G7" s="80">
        <v>85</v>
      </c>
      <c r="H7" s="68">
        <v>78</v>
      </c>
      <c r="I7" s="24">
        <v>82</v>
      </c>
      <c r="J7" s="24">
        <v>101</v>
      </c>
      <c r="K7" s="5">
        <v>87</v>
      </c>
      <c r="L7" s="68">
        <f t="shared" ref="L7:L24" si="4">H7-D7</f>
        <v>-6</v>
      </c>
      <c r="M7" s="5">
        <f t="shared" ref="M7:M24" si="5">I7-E7</f>
        <v>-2</v>
      </c>
      <c r="N7" s="5">
        <f t="shared" ref="N7:N24" si="6">J7-F7</f>
        <v>13</v>
      </c>
      <c r="O7" s="80">
        <f t="shared" ref="O7:O24" si="7">K7-G7</f>
        <v>2</v>
      </c>
      <c r="P7" s="151">
        <f t="shared" ref="P7:P24" si="8">F7/D7</f>
        <v>1.0476190476190477</v>
      </c>
      <c r="Q7" s="24">
        <f t="shared" ref="Q7:Q24" si="9">J7/H7</f>
        <v>1.2948717948717949</v>
      </c>
      <c r="R7" s="80">
        <f t="shared" si="2"/>
        <v>-0.24725274725274726</v>
      </c>
      <c r="S7" s="68">
        <f>E7/D7</f>
        <v>1</v>
      </c>
      <c r="T7" s="5">
        <f t="shared" ref="T7:T24" si="10">I7/H7</f>
        <v>1.0512820512820513</v>
      </c>
      <c r="U7" s="80">
        <f t="shared" ref="U7:U24" si="11">S7-T7</f>
        <v>-5.1282051282051322E-2</v>
      </c>
      <c r="Y7" s="3" t="s">
        <v>2</v>
      </c>
      <c r="Z7" s="3" t="s">
        <v>340</v>
      </c>
      <c r="AA7" s="3">
        <v>1</v>
      </c>
      <c r="AB7" s="68">
        <v>84</v>
      </c>
      <c r="AC7" s="5">
        <v>84</v>
      </c>
      <c r="AD7" s="5">
        <v>88</v>
      </c>
      <c r="AE7" s="80">
        <v>85</v>
      </c>
      <c r="AF7" s="68">
        <v>78</v>
      </c>
      <c r="AG7" s="24">
        <v>82</v>
      </c>
      <c r="AH7" s="24">
        <v>101</v>
      </c>
      <c r="AI7" s="80">
        <v>87</v>
      </c>
      <c r="AJ7" s="18">
        <f t="shared" si="3"/>
        <v>6</v>
      </c>
      <c r="AK7" s="18">
        <f t="shared" si="1"/>
        <v>2</v>
      </c>
      <c r="AL7" s="18">
        <f t="shared" si="1"/>
        <v>-13</v>
      </c>
      <c r="AM7" s="18">
        <f t="shared" si="1"/>
        <v>-2</v>
      </c>
    </row>
    <row r="8" spans="1:39" x14ac:dyDescent="0.2">
      <c r="A8" s="3" t="s">
        <v>3</v>
      </c>
      <c r="B8" s="3" t="s">
        <v>270</v>
      </c>
      <c r="C8" s="3">
        <v>2</v>
      </c>
      <c r="D8" s="68">
        <v>88</v>
      </c>
      <c r="E8" s="5">
        <v>80</v>
      </c>
      <c r="F8" s="5">
        <v>108</v>
      </c>
      <c r="G8" s="80">
        <v>92</v>
      </c>
      <c r="H8" s="68">
        <v>111</v>
      </c>
      <c r="I8" s="24">
        <v>98</v>
      </c>
      <c r="J8" s="24">
        <v>128</v>
      </c>
      <c r="K8" s="5">
        <v>112</v>
      </c>
      <c r="L8" s="68">
        <f t="shared" si="4"/>
        <v>23</v>
      </c>
      <c r="M8" s="5">
        <f t="shared" si="5"/>
        <v>18</v>
      </c>
      <c r="N8" s="5">
        <f t="shared" si="6"/>
        <v>20</v>
      </c>
      <c r="O8" s="80">
        <f t="shared" si="7"/>
        <v>20</v>
      </c>
      <c r="P8" s="151">
        <f t="shared" si="8"/>
        <v>1.2272727272727273</v>
      </c>
      <c r="Q8" s="24">
        <f t="shared" si="9"/>
        <v>1.1531531531531531</v>
      </c>
      <c r="R8" s="80">
        <f t="shared" si="2"/>
        <v>7.411957411957415E-2</v>
      </c>
      <c r="S8" s="68">
        <f t="shared" ref="S8:S24" si="12">E8/D8</f>
        <v>0.90909090909090906</v>
      </c>
      <c r="T8" s="5">
        <f t="shared" si="10"/>
        <v>0.88288288288288286</v>
      </c>
      <c r="U8" s="80">
        <f t="shared" si="11"/>
        <v>2.6208026208026203E-2</v>
      </c>
      <c r="Y8" s="3" t="s">
        <v>3</v>
      </c>
      <c r="Z8" s="3" t="s">
        <v>270</v>
      </c>
      <c r="AA8" s="3">
        <v>2</v>
      </c>
      <c r="AB8" s="68">
        <v>88</v>
      </c>
      <c r="AC8" s="5">
        <v>80</v>
      </c>
      <c r="AD8" s="5">
        <v>108</v>
      </c>
      <c r="AE8" s="80">
        <v>92</v>
      </c>
      <c r="AF8" s="68">
        <v>111</v>
      </c>
      <c r="AG8" s="24">
        <v>98</v>
      </c>
      <c r="AH8" s="24">
        <v>128</v>
      </c>
      <c r="AI8" s="80">
        <v>112</v>
      </c>
      <c r="AJ8" s="18">
        <f t="shared" si="3"/>
        <v>-23</v>
      </c>
      <c r="AK8" s="18">
        <f t="shared" si="1"/>
        <v>-18</v>
      </c>
      <c r="AL8" s="18">
        <f t="shared" si="1"/>
        <v>-20</v>
      </c>
      <c r="AM8" s="18">
        <f t="shared" si="1"/>
        <v>-20</v>
      </c>
    </row>
    <row r="9" spans="1:39" x14ac:dyDescent="0.2">
      <c r="A9" s="3" t="s">
        <v>4</v>
      </c>
      <c r="B9" s="3" t="s">
        <v>270</v>
      </c>
      <c r="C9" s="3">
        <v>1</v>
      </c>
      <c r="D9" s="68">
        <v>87</v>
      </c>
      <c r="E9" s="24">
        <v>77</v>
      </c>
      <c r="F9" s="24">
        <v>108</v>
      </c>
      <c r="G9" s="80">
        <v>91</v>
      </c>
      <c r="H9" s="68">
        <v>91</v>
      </c>
      <c r="I9" s="5">
        <v>85</v>
      </c>
      <c r="J9" s="24">
        <v>103</v>
      </c>
      <c r="K9" s="5">
        <v>93</v>
      </c>
      <c r="L9" s="68">
        <f t="shared" si="4"/>
        <v>4</v>
      </c>
      <c r="M9" s="5">
        <f t="shared" si="5"/>
        <v>8</v>
      </c>
      <c r="N9" s="5">
        <f t="shared" si="6"/>
        <v>-5</v>
      </c>
      <c r="O9" s="80">
        <f t="shared" si="7"/>
        <v>2</v>
      </c>
      <c r="P9" s="151">
        <f t="shared" si="8"/>
        <v>1.2413793103448276</v>
      </c>
      <c r="Q9" s="24">
        <f t="shared" si="9"/>
        <v>1.1318681318681318</v>
      </c>
      <c r="R9" s="80">
        <f t="shared" si="2"/>
        <v>0.10951117847669578</v>
      </c>
      <c r="S9" s="68">
        <f t="shared" si="12"/>
        <v>0.88505747126436785</v>
      </c>
      <c r="T9" s="5">
        <f t="shared" si="10"/>
        <v>0.93406593406593408</v>
      </c>
      <c r="U9" s="80">
        <f t="shared" si="11"/>
        <v>-4.9008462801566233E-2</v>
      </c>
      <c r="Y9" s="3" t="s">
        <v>4</v>
      </c>
      <c r="Z9" s="3" t="s">
        <v>270</v>
      </c>
      <c r="AA9" s="3">
        <v>1</v>
      </c>
      <c r="AB9" s="68">
        <v>87</v>
      </c>
      <c r="AC9" s="24">
        <v>77</v>
      </c>
      <c r="AD9" s="24">
        <v>108</v>
      </c>
      <c r="AE9" s="80">
        <v>91</v>
      </c>
      <c r="AF9" s="68">
        <v>91</v>
      </c>
      <c r="AG9" s="5">
        <v>85</v>
      </c>
      <c r="AH9" s="24">
        <v>103</v>
      </c>
      <c r="AI9" s="80">
        <v>93</v>
      </c>
      <c r="AJ9" s="18">
        <f t="shared" si="3"/>
        <v>-4</v>
      </c>
      <c r="AK9" s="18">
        <f t="shared" si="1"/>
        <v>-8</v>
      </c>
      <c r="AL9" s="18">
        <f t="shared" si="1"/>
        <v>5</v>
      </c>
      <c r="AM9" s="18">
        <f t="shared" si="1"/>
        <v>-2</v>
      </c>
    </row>
    <row r="10" spans="1:39" x14ac:dyDescent="0.2">
      <c r="A10" s="3" t="s">
        <v>5</v>
      </c>
      <c r="B10" s="3" t="s">
        <v>340</v>
      </c>
      <c r="C10" s="3">
        <v>2</v>
      </c>
      <c r="D10" s="68">
        <v>94</v>
      </c>
      <c r="E10" s="24">
        <v>88</v>
      </c>
      <c r="F10" s="24">
        <v>111</v>
      </c>
      <c r="G10" s="80">
        <v>98</v>
      </c>
      <c r="H10" s="68">
        <v>82</v>
      </c>
      <c r="I10" s="24">
        <v>80</v>
      </c>
      <c r="J10" s="24">
        <v>95</v>
      </c>
      <c r="K10" s="5">
        <v>86</v>
      </c>
      <c r="L10" s="68">
        <f t="shared" si="4"/>
        <v>-12</v>
      </c>
      <c r="M10" s="5">
        <f t="shared" si="5"/>
        <v>-8</v>
      </c>
      <c r="N10" s="5">
        <f t="shared" si="6"/>
        <v>-16</v>
      </c>
      <c r="O10" s="80">
        <f t="shared" si="7"/>
        <v>-12</v>
      </c>
      <c r="P10" s="151">
        <f t="shared" si="8"/>
        <v>1.1808510638297873</v>
      </c>
      <c r="Q10" s="24">
        <f t="shared" si="9"/>
        <v>1.1585365853658536</v>
      </c>
      <c r="R10" s="80">
        <f t="shared" si="2"/>
        <v>2.2314478463933751E-2</v>
      </c>
      <c r="S10" s="68">
        <f t="shared" si="12"/>
        <v>0.93617021276595747</v>
      </c>
      <c r="T10" s="5">
        <f t="shared" si="10"/>
        <v>0.97560975609756095</v>
      </c>
      <c r="U10" s="80">
        <f t="shared" si="11"/>
        <v>-3.9439543331603488E-2</v>
      </c>
      <c r="Y10" s="3" t="s">
        <v>5</v>
      </c>
      <c r="Z10" s="3" t="s">
        <v>340</v>
      </c>
      <c r="AA10" s="3">
        <v>2</v>
      </c>
      <c r="AB10" s="68">
        <v>94</v>
      </c>
      <c r="AC10" s="24">
        <v>88</v>
      </c>
      <c r="AD10" s="24">
        <v>111</v>
      </c>
      <c r="AE10" s="80">
        <v>98</v>
      </c>
      <c r="AF10" s="68">
        <v>82</v>
      </c>
      <c r="AG10" s="24">
        <v>80</v>
      </c>
      <c r="AH10" s="24">
        <v>95</v>
      </c>
      <c r="AI10" s="80">
        <v>86</v>
      </c>
      <c r="AJ10" s="18">
        <f t="shared" si="3"/>
        <v>12</v>
      </c>
      <c r="AK10" s="18">
        <f t="shared" si="1"/>
        <v>8</v>
      </c>
      <c r="AL10" s="18">
        <f t="shared" si="1"/>
        <v>16</v>
      </c>
      <c r="AM10" s="18">
        <f t="shared" si="1"/>
        <v>12</v>
      </c>
    </row>
    <row r="11" spans="1:39" x14ac:dyDescent="0.2">
      <c r="A11" s="3" t="s">
        <v>6</v>
      </c>
      <c r="B11" s="3" t="s">
        <v>340</v>
      </c>
      <c r="C11" s="3">
        <v>1</v>
      </c>
      <c r="D11" s="68">
        <v>86</v>
      </c>
      <c r="E11" s="24">
        <v>87</v>
      </c>
      <c r="F11" s="24">
        <v>93</v>
      </c>
      <c r="G11" s="80">
        <v>89</v>
      </c>
      <c r="H11" s="68">
        <v>77</v>
      </c>
      <c r="I11" s="24">
        <v>82</v>
      </c>
      <c r="J11" s="24">
        <v>91</v>
      </c>
      <c r="K11" s="5">
        <v>83</v>
      </c>
      <c r="L11" s="68">
        <f t="shared" si="4"/>
        <v>-9</v>
      </c>
      <c r="M11" s="5">
        <f t="shared" si="5"/>
        <v>-5</v>
      </c>
      <c r="N11" s="5">
        <f t="shared" si="6"/>
        <v>-2</v>
      </c>
      <c r="O11" s="80">
        <f t="shared" si="7"/>
        <v>-6</v>
      </c>
      <c r="P11" s="151">
        <f t="shared" si="8"/>
        <v>1.0813953488372092</v>
      </c>
      <c r="Q11" s="24">
        <f t="shared" si="9"/>
        <v>1.1818181818181819</v>
      </c>
      <c r="R11" s="80">
        <f t="shared" si="2"/>
        <v>-0.10042283298097265</v>
      </c>
      <c r="S11" s="68">
        <f t="shared" si="12"/>
        <v>1.0116279069767442</v>
      </c>
      <c r="T11" s="5">
        <f t="shared" si="10"/>
        <v>1.0649350649350648</v>
      </c>
      <c r="U11" s="80">
        <f t="shared" si="11"/>
        <v>-5.3307157958320639E-2</v>
      </c>
      <c r="Y11" s="3" t="s">
        <v>6</v>
      </c>
      <c r="Z11" s="3" t="s">
        <v>340</v>
      </c>
      <c r="AA11" s="3">
        <v>1</v>
      </c>
      <c r="AB11" s="68">
        <v>86</v>
      </c>
      <c r="AC11" s="24">
        <v>87</v>
      </c>
      <c r="AD11" s="24">
        <v>93</v>
      </c>
      <c r="AE11" s="80">
        <v>89</v>
      </c>
      <c r="AF11" s="68">
        <v>77</v>
      </c>
      <c r="AG11" s="24">
        <v>82</v>
      </c>
      <c r="AH11" s="24">
        <v>91</v>
      </c>
      <c r="AI11" s="80">
        <v>83</v>
      </c>
      <c r="AJ11" s="18">
        <f t="shared" si="3"/>
        <v>9</v>
      </c>
      <c r="AK11" s="18">
        <f t="shared" si="1"/>
        <v>5</v>
      </c>
      <c r="AL11" s="18">
        <f t="shared" si="1"/>
        <v>2</v>
      </c>
      <c r="AM11" s="18">
        <f t="shared" si="1"/>
        <v>6</v>
      </c>
    </row>
    <row r="12" spans="1:39" x14ac:dyDescent="0.2">
      <c r="A12" s="99" t="s">
        <v>7</v>
      </c>
      <c r="B12" s="99"/>
      <c r="C12" s="99">
        <v>2</v>
      </c>
      <c r="D12" s="107"/>
      <c r="E12" s="108"/>
      <c r="F12" s="108"/>
      <c r="G12" s="109"/>
      <c r="H12" s="107"/>
      <c r="I12" s="108"/>
      <c r="J12" s="108"/>
      <c r="K12" s="108"/>
      <c r="L12" s="68"/>
      <c r="M12" s="5"/>
      <c r="N12" s="5"/>
      <c r="O12" s="80"/>
      <c r="P12" s="151"/>
      <c r="Q12" s="24"/>
      <c r="R12" s="80">
        <f t="shared" si="2"/>
        <v>0</v>
      </c>
      <c r="S12" s="68"/>
      <c r="T12" s="5"/>
      <c r="U12" s="80"/>
      <c r="Y12" s="99" t="s">
        <v>7</v>
      </c>
      <c r="Z12" s="99"/>
      <c r="AA12" s="99">
        <v>2</v>
      </c>
      <c r="AB12" s="107"/>
      <c r="AC12" s="108"/>
      <c r="AD12" s="108"/>
      <c r="AE12" s="109"/>
      <c r="AF12" s="107"/>
      <c r="AG12" s="108"/>
      <c r="AH12" s="108"/>
      <c r="AI12" s="109"/>
      <c r="AJ12" s="18">
        <f t="shared" si="3"/>
        <v>0</v>
      </c>
      <c r="AK12" s="18">
        <f t="shared" si="1"/>
        <v>0</v>
      </c>
      <c r="AL12" s="18">
        <f t="shared" si="1"/>
        <v>0</v>
      </c>
      <c r="AM12" s="18">
        <f t="shared" si="1"/>
        <v>0</v>
      </c>
    </row>
    <row r="13" spans="1:39" x14ac:dyDescent="0.2">
      <c r="A13" s="3" t="s">
        <v>8</v>
      </c>
      <c r="B13" s="3" t="s">
        <v>270</v>
      </c>
      <c r="C13" s="3">
        <v>1</v>
      </c>
      <c r="D13" s="68">
        <v>84</v>
      </c>
      <c r="E13" s="24">
        <v>77</v>
      </c>
      <c r="F13" s="24">
        <v>108</v>
      </c>
      <c r="G13" s="80">
        <v>90</v>
      </c>
      <c r="H13" s="68">
        <v>88</v>
      </c>
      <c r="I13" s="24">
        <v>84</v>
      </c>
      <c r="J13" s="24">
        <v>100</v>
      </c>
      <c r="K13" s="5">
        <v>91</v>
      </c>
      <c r="L13" s="68">
        <f t="shared" si="4"/>
        <v>4</v>
      </c>
      <c r="M13" s="5">
        <f t="shared" si="5"/>
        <v>7</v>
      </c>
      <c r="N13" s="5">
        <f t="shared" si="6"/>
        <v>-8</v>
      </c>
      <c r="O13" s="80">
        <f t="shared" si="7"/>
        <v>1</v>
      </c>
      <c r="P13" s="151">
        <f t="shared" si="8"/>
        <v>1.2857142857142858</v>
      </c>
      <c r="Q13" s="24">
        <f t="shared" si="9"/>
        <v>1.1363636363636365</v>
      </c>
      <c r="R13" s="80">
        <f t="shared" si="2"/>
        <v>0.14935064935064934</v>
      </c>
      <c r="S13" s="68">
        <f t="shared" si="12"/>
        <v>0.91666666666666663</v>
      </c>
      <c r="T13" s="5">
        <f t="shared" si="10"/>
        <v>0.95454545454545459</v>
      </c>
      <c r="U13" s="80">
        <f t="shared" si="11"/>
        <v>-3.7878787878787956E-2</v>
      </c>
      <c r="Y13" s="3" t="s">
        <v>8</v>
      </c>
      <c r="Z13" s="3" t="s">
        <v>270</v>
      </c>
      <c r="AA13" s="3">
        <v>1</v>
      </c>
      <c r="AB13" s="68">
        <v>84</v>
      </c>
      <c r="AC13" s="24">
        <v>77</v>
      </c>
      <c r="AD13" s="24">
        <v>108</v>
      </c>
      <c r="AE13" s="80">
        <v>90</v>
      </c>
      <c r="AF13" s="68">
        <v>88</v>
      </c>
      <c r="AG13" s="24">
        <v>84</v>
      </c>
      <c r="AH13" s="24">
        <v>100</v>
      </c>
      <c r="AI13" s="80">
        <v>91</v>
      </c>
      <c r="AJ13" s="18">
        <f t="shared" si="3"/>
        <v>-4</v>
      </c>
      <c r="AK13" s="18">
        <f t="shared" si="1"/>
        <v>-7</v>
      </c>
      <c r="AL13" s="18">
        <f t="shared" si="1"/>
        <v>8</v>
      </c>
      <c r="AM13" s="18">
        <f t="shared" si="1"/>
        <v>-1</v>
      </c>
    </row>
    <row r="14" spans="1:39" x14ac:dyDescent="0.2">
      <c r="A14" s="3" t="s">
        <v>9</v>
      </c>
      <c r="B14" s="3" t="s">
        <v>340</v>
      </c>
      <c r="C14" s="3">
        <v>2</v>
      </c>
      <c r="D14" s="68">
        <v>95</v>
      </c>
      <c r="E14" s="24">
        <v>90</v>
      </c>
      <c r="F14" s="24">
        <v>103</v>
      </c>
      <c r="G14" s="80">
        <v>96</v>
      </c>
      <c r="H14" s="68">
        <v>95</v>
      </c>
      <c r="I14" s="24">
        <v>88</v>
      </c>
      <c r="J14" s="24">
        <v>112</v>
      </c>
      <c r="K14" s="5">
        <v>98</v>
      </c>
      <c r="L14" s="68">
        <f t="shared" si="4"/>
        <v>0</v>
      </c>
      <c r="M14" s="5">
        <f t="shared" si="5"/>
        <v>-2</v>
      </c>
      <c r="N14" s="5">
        <f t="shared" si="6"/>
        <v>9</v>
      </c>
      <c r="O14" s="80">
        <f t="shared" si="7"/>
        <v>2</v>
      </c>
      <c r="P14" s="151">
        <f t="shared" si="8"/>
        <v>1.0842105263157895</v>
      </c>
      <c r="Q14" s="24">
        <f t="shared" si="9"/>
        <v>1.1789473684210525</v>
      </c>
      <c r="R14" s="80">
        <f t="shared" si="2"/>
        <v>-9.4736842105263008E-2</v>
      </c>
      <c r="S14" s="68">
        <f t="shared" si="12"/>
        <v>0.94736842105263153</v>
      </c>
      <c r="T14" s="5">
        <f t="shared" si="10"/>
        <v>0.9263157894736842</v>
      </c>
      <c r="U14" s="80">
        <f t="shared" si="11"/>
        <v>2.1052631578947323E-2</v>
      </c>
      <c r="Y14" s="3" t="s">
        <v>9</v>
      </c>
      <c r="Z14" s="3" t="s">
        <v>340</v>
      </c>
      <c r="AA14" s="3">
        <v>2</v>
      </c>
      <c r="AB14" s="68">
        <v>95</v>
      </c>
      <c r="AC14" s="24">
        <v>90</v>
      </c>
      <c r="AD14" s="24">
        <v>103</v>
      </c>
      <c r="AE14" s="80">
        <v>96</v>
      </c>
      <c r="AF14" s="68">
        <v>95</v>
      </c>
      <c r="AG14" s="24">
        <v>88</v>
      </c>
      <c r="AH14" s="24">
        <v>112</v>
      </c>
      <c r="AI14" s="80">
        <v>98</v>
      </c>
      <c r="AJ14" s="18">
        <f t="shared" si="3"/>
        <v>0</v>
      </c>
      <c r="AK14" s="18">
        <f t="shared" si="1"/>
        <v>2</v>
      </c>
      <c r="AL14" s="18">
        <f t="shared" si="1"/>
        <v>-9</v>
      </c>
      <c r="AM14" s="18">
        <f t="shared" si="1"/>
        <v>-2</v>
      </c>
    </row>
    <row r="15" spans="1:39" x14ac:dyDescent="0.2">
      <c r="A15" s="3" t="s">
        <v>10</v>
      </c>
      <c r="B15" s="3" t="s">
        <v>340</v>
      </c>
      <c r="C15" s="3">
        <v>1</v>
      </c>
      <c r="D15" s="68">
        <v>100</v>
      </c>
      <c r="E15" s="24">
        <v>87</v>
      </c>
      <c r="F15" s="24">
        <v>115</v>
      </c>
      <c r="G15" s="80">
        <v>101</v>
      </c>
      <c r="H15" s="68">
        <v>111</v>
      </c>
      <c r="I15" s="24">
        <v>102</v>
      </c>
      <c r="J15" s="24">
        <v>126</v>
      </c>
      <c r="K15" s="5">
        <v>113</v>
      </c>
      <c r="L15" s="68">
        <f t="shared" si="4"/>
        <v>11</v>
      </c>
      <c r="M15" s="5">
        <f t="shared" si="5"/>
        <v>15</v>
      </c>
      <c r="N15" s="5">
        <f t="shared" si="6"/>
        <v>11</v>
      </c>
      <c r="O15" s="80">
        <f t="shared" si="7"/>
        <v>12</v>
      </c>
      <c r="P15" s="151">
        <f t="shared" si="8"/>
        <v>1.1499999999999999</v>
      </c>
      <c r="Q15" s="24">
        <f t="shared" si="9"/>
        <v>1.1351351351351351</v>
      </c>
      <c r="R15" s="80">
        <f t="shared" si="2"/>
        <v>1.4864864864864824E-2</v>
      </c>
      <c r="S15" s="68">
        <f t="shared" si="12"/>
        <v>0.87</v>
      </c>
      <c r="T15" s="5">
        <f t="shared" si="10"/>
        <v>0.91891891891891897</v>
      </c>
      <c r="U15" s="80">
        <f t="shared" si="11"/>
        <v>-4.8918918918918974E-2</v>
      </c>
      <c r="Y15" s="3" t="s">
        <v>10</v>
      </c>
      <c r="Z15" s="3" t="s">
        <v>340</v>
      </c>
      <c r="AA15" s="3">
        <v>1</v>
      </c>
      <c r="AB15" s="68">
        <v>100</v>
      </c>
      <c r="AC15" s="24">
        <v>87</v>
      </c>
      <c r="AD15" s="24">
        <v>115</v>
      </c>
      <c r="AE15" s="80">
        <v>101</v>
      </c>
      <c r="AF15" s="68">
        <v>111</v>
      </c>
      <c r="AG15" s="24">
        <v>102</v>
      </c>
      <c r="AH15" s="24">
        <v>126</v>
      </c>
      <c r="AI15" s="80">
        <v>113</v>
      </c>
      <c r="AJ15" s="18">
        <f t="shared" si="3"/>
        <v>-11</v>
      </c>
      <c r="AK15" s="18">
        <f t="shared" si="1"/>
        <v>-15</v>
      </c>
      <c r="AL15" s="18">
        <f t="shared" si="1"/>
        <v>-11</v>
      </c>
      <c r="AM15" s="18">
        <f t="shared" si="1"/>
        <v>-12</v>
      </c>
    </row>
    <row r="16" spans="1:39" x14ac:dyDescent="0.2">
      <c r="A16" s="3" t="s">
        <v>11</v>
      </c>
      <c r="B16" s="3" t="s">
        <v>340</v>
      </c>
      <c r="C16" s="3">
        <v>2</v>
      </c>
      <c r="D16" s="68">
        <v>84</v>
      </c>
      <c r="E16" s="24">
        <v>84</v>
      </c>
      <c r="F16" s="24">
        <v>88</v>
      </c>
      <c r="G16" s="80">
        <v>85</v>
      </c>
      <c r="H16" s="68">
        <v>79</v>
      </c>
      <c r="I16" s="24">
        <v>82</v>
      </c>
      <c r="J16" s="24">
        <v>95</v>
      </c>
      <c r="K16" s="5">
        <v>85</v>
      </c>
      <c r="L16" s="68">
        <f t="shared" si="4"/>
        <v>-5</v>
      </c>
      <c r="M16" s="5">
        <f t="shared" si="5"/>
        <v>-2</v>
      </c>
      <c r="N16" s="5">
        <f t="shared" si="6"/>
        <v>7</v>
      </c>
      <c r="O16" s="80">
        <f t="shared" si="7"/>
        <v>0</v>
      </c>
      <c r="P16" s="151">
        <f t="shared" si="8"/>
        <v>1.0476190476190477</v>
      </c>
      <c r="Q16" s="24">
        <f t="shared" si="9"/>
        <v>1.2025316455696202</v>
      </c>
      <c r="R16" s="80">
        <f t="shared" si="2"/>
        <v>-0.15491259795057255</v>
      </c>
      <c r="S16" s="68">
        <f t="shared" si="12"/>
        <v>1</v>
      </c>
      <c r="T16" s="5">
        <f t="shared" si="10"/>
        <v>1.0379746835443038</v>
      </c>
      <c r="U16" s="80">
        <f t="shared" si="11"/>
        <v>-3.7974683544303778E-2</v>
      </c>
      <c r="Y16" s="3" t="s">
        <v>11</v>
      </c>
      <c r="Z16" s="3" t="s">
        <v>340</v>
      </c>
      <c r="AA16" s="3">
        <v>2</v>
      </c>
      <c r="AB16" s="68">
        <v>84</v>
      </c>
      <c r="AC16" s="24">
        <v>84</v>
      </c>
      <c r="AD16" s="24">
        <v>88</v>
      </c>
      <c r="AE16" s="80">
        <v>85</v>
      </c>
      <c r="AF16" s="68">
        <v>79</v>
      </c>
      <c r="AG16" s="24">
        <v>82</v>
      </c>
      <c r="AH16" s="24">
        <v>95</v>
      </c>
      <c r="AI16" s="80">
        <v>85</v>
      </c>
      <c r="AJ16" s="18">
        <f t="shared" si="3"/>
        <v>5</v>
      </c>
      <c r="AK16" s="18">
        <f t="shared" si="1"/>
        <v>2</v>
      </c>
      <c r="AL16" s="18">
        <f t="shared" si="1"/>
        <v>-7</v>
      </c>
      <c r="AM16" s="18">
        <f t="shared" si="1"/>
        <v>0</v>
      </c>
    </row>
    <row r="17" spans="1:39" x14ac:dyDescent="0.2">
      <c r="A17" s="99" t="s">
        <v>12</v>
      </c>
      <c r="B17" s="110"/>
      <c r="C17" s="110">
        <v>1</v>
      </c>
      <c r="D17" s="111"/>
      <c r="E17" s="29"/>
      <c r="F17" s="29"/>
      <c r="G17" s="112"/>
      <c r="H17" s="111"/>
      <c r="I17" s="29"/>
      <c r="J17" s="29"/>
      <c r="K17" s="29"/>
      <c r="L17" s="68"/>
      <c r="M17" s="5"/>
      <c r="N17" s="5"/>
      <c r="O17" s="80"/>
      <c r="P17" s="151"/>
      <c r="Q17" s="24"/>
      <c r="R17" s="80">
        <f t="shared" si="2"/>
        <v>0</v>
      </c>
      <c r="S17" s="68"/>
      <c r="T17" s="5"/>
      <c r="U17" s="80"/>
      <c r="Y17" s="99" t="s">
        <v>12</v>
      </c>
      <c r="Z17" s="110"/>
      <c r="AA17" s="110">
        <v>1</v>
      </c>
      <c r="AB17" s="111">
        <v>72</v>
      </c>
      <c r="AC17" s="29">
        <v>69</v>
      </c>
      <c r="AD17" s="29">
        <v>80</v>
      </c>
      <c r="AE17" s="112">
        <v>74</v>
      </c>
      <c r="AF17" s="111">
        <v>84</v>
      </c>
      <c r="AG17" s="29">
        <v>81</v>
      </c>
      <c r="AH17" s="29">
        <v>89</v>
      </c>
      <c r="AI17" s="112">
        <v>85</v>
      </c>
      <c r="AJ17" s="18">
        <f t="shared" si="3"/>
        <v>-12</v>
      </c>
      <c r="AK17" s="18">
        <f t="shared" si="1"/>
        <v>-12</v>
      </c>
      <c r="AL17" s="18">
        <f t="shared" si="1"/>
        <v>-9</v>
      </c>
      <c r="AM17" s="18">
        <f t="shared" si="1"/>
        <v>-11</v>
      </c>
    </row>
    <row r="18" spans="1:39" x14ac:dyDescent="0.2">
      <c r="A18" s="3" t="s">
        <v>13</v>
      </c>
      <c r="B18" s="3" t="s">
        <v>340</v>
      </c>
      <c r="C18" s="3">
        <v>2</v>
      </c>
      <c r="D18" s="68">
        <v>84</v>
      </c>
      <c r="E18" s="24">
        <v>86</v>
      </c>
      <c r="F18" s="24">
        <v>92</v>
      </c>
      <c r="G18" s="80">
        <v>87</v>
      </c>
      <c r="H18" s="68">
        <v>80</v>
      </c>
      <c r="I18" s="24">
        <v>84</v>
      </c>
      <c r="J18" s="24">
        <v>99</v>
      </c>
      <c r="K18" s="5">
        <v>88</v>
      </c>
      <c r="L18" s="68">
        <f t="shared" si="4"/>
        <v>-4</v>
      </c>
      <c r="M18" s="5">
        <f t="shared" si="5"/>
        <v>-2</v>
      </c>
      <c r="N18" s="5">
        <f t="shared" si="6"/>
        <v>7</v>
      </c>
      <c r="O18" s="80">
        <f t="shared" si="7"/>
        <v>1</v>
      </c>
      <c r="P18" s="151">
        <f t="shared" si="8"/>
        <v>1.0952380952380953</v>
      </c>
      <c r="Q18" s="24">
        <f t="shared" si="9"/>
        <v>1.2375</v>
      </c>
      <c r="R18" s="80">
        <f t="shared" si="2"/>
        <v>-0.1422619047619047</v>
      </c>
      <c r="S18" s="68">
        <f t="shared" si="12"/>
        <v>1.0238095238095237</v>
      </c>
      <c r="T18" s="5">
        <f t="shared" si="10"/>
        <v>1.05</v>
      </c>
      <c r="U18" s="80">
        <f t="shared" si="11"/>
        <v>-2.6190476190476319E-2</v>
      </c>
      <c r="Y18" s="3" t="s">
        <v>13</v>
      </c>
      <c r="Z18" s="3" t="s">
        <v>340</v>
      </c>
      <c r="AA18" s="3">
        <v>2</v>
      </c>
      <c r="AB18" s="68">
        <v>84</v>
      </c>
      <c r="AC18" s="24">
        <v>86</v>
      </c>
      <c r="AD18" s="24">
        <v>92</v>
      </c>
      <c r="AE18" s="80">
        <v>87</v>
      </c>
      <c r="AF18" s="68">
        <v>80</v>
      </c>
      <c r="AG18" s="24">
        <v>84</v>
      </c>
      <c r="AH18" s="24">
        <v>99</v>
      </c>
      <c r="AI18" s="80">
        <v>88</v>
      </c>
      <c r="AJ18" s="18">
        <f t="shared" si="3"/>
        <v>4</v>
      </c>
      <c r="AK18" s="18">
        <f t="shared" si="1"/>
        <v>2</v>
      </c>
      <c r="AL18" s="18">
        <f t="shared" si="1"/>
        <v>-7</v>
      </c>
      <c r="AM18" s="18">
        <f t="shared" si="1"/>
        <v>-1</v>
      </c>
    </row>
    <row r="19" spans="1:39" x14ac:dyDescent="0.2">
      <c r="A19" s="3" t="s">
        <v>14</v>
      </c>
      <c r="B19" s="3" t="s">
        <v>340</v>
      </c>
      <c r="C19" s="3">
        <v>1</v>
      </c>
      <c r="D19" s="68">
        <v>84</v>
      </c>
      <c r="E19" s="24">
        <v>84</v>
      </c>
      <c r="F19" s="24">
        <v>89</v>
      </c>
      <c r="G19" s="80">
        <v>86</v>
      </c>
      <c r="H19" s="68">
        <v>84</v>
      </c>
      <c r="I19" s="24">
        <v>82</v>
      </c>
      <c r="J19" s="24">
        <v>98</v>
      </c>
      <c r="K19" s="5">
        <v>88</v>
      </c>
      <c r="L19" s="68">
        <f t="shared" si="4"/>
        <v>0</v>
      </c>
      <c r="M19" s="5">
        <f t="shared" si="5"/>
        <v>-2</v>
      </c>
      <c r="N19" s="5">
        <f t="shared" si="6"/>
        <v>9</v>
      </c>
      <c r="O19" s="80">
        <f t="shared" si="7"/>
        <v>2</v>
      </c>
      <c r="P19" s="151">
        <f t="shared" si="8"/>
        <v>1.0595238095238095</v>
      </c>
      <c r="Q19" s="24">
        <f t="shared" si="9"/>
        <v>1.1666666666666667</v>
      </c>
      <c r="R19" s="80">
        <f t="shared" si="2"/>
        <v>-0.10714285714285721</v>
      </c>
      <c r="S19" s="68">
        <f t="shared" si="12"/>
        <v>1</v>
      </c>
      <c r="T19" s="5">
        <f t="shared" si="10"/>
        <v>0.97619047619047616</v>
      </c>
      <c r="U19" s="80">
        <f t="shared" si="11"/>
        <v>2.3809523809523836E-2</v>
      </c>
      <c r="Y19" s="3" t="s">
        <v>14</v>
      </c>
      <c r="Z19" s="3" t="s">
        <v>340</v>
      </c>
      <c r="AA19" s="3">
        <v>1</v>
      </c>
      <c r="AB19" s="68">
        <v>84</v>
      </c>
      <c r="AC19" s="24">
        <v>84</v>
      </c>
      <c r="AD19" s="24">
        <v>89</v>
      </c>
      <c r="AE19" s="80">
        <v>86</v>
      </c>
      <c r="AF19" s="68">
        <v>84</v>
      </c>
      <c r="AG19" s="24">
        <v>82</v>
      </c>
      <c r="AH19" s="24">
        <v>98</v>
      </c>
      <c r="AI19" s="80">
        <v>88</v>
      </c>
      <c r="AJ19" s="18">
        <f t="shared" si="3"/>
        <v>0</v>
      </c>
      <c r="AK19" s="18">
        <f t="shared" si="1"/>
        <v>2</v>
      </c>
      <c r="AL19" s="18">
        <f t="shared" si="1"/>
        <v>-9</v>
      </c>
      <c r="AM19" s="18">
        <f t="shared" si="1"/>
        <v>-2</v>
      </c>
    </row>
    <row r="20" spans="1:39" x14ac:dyDescent="0.2">
      <c r="A20" s="3" t="s">
        <v>15</v>
      </c>
      <c r="B20" s="3" t="s">
        <v>270</v>
      </c>
      <c r="C20" s="3">
        <v>2</v>
      </c>
      <c r="D20" s="68">
        <v>90</v>
      </c>
      <c r="E20" s="24">
        <v>91</v>
      </c>
      <c r="F20" s="24">
        <v>112</v>
      </c>
      <c r="G20" s="80">
        <v>98</v>
      </c>
      <c r="H20" s="68">
        <v>104</v>
      </c>
      <c r="I20" s="24">
        <v>99</v>
      </c>
      <c r="J20" s="24">
        <v>112</v>
      </c>
      <c r="K20" s="5">
        <v>105</v>
      </c>
      <c r="L20" s="68">
        <f t="shared" si="4"/>
        <v>14</v>
      </c>
      <c r="M20" s="5">
        <f t="shared" si="5"/>
        <v>8</v>
      </c>
      <c r="N20" s="5">
        <f t="shared" si="6"/>
        <v>0</v>
      </c>
      <c r="O20" s="80">
        <f t="shared" si="7"/>
        <v>7</v>
      </c>
      <c r="P20" s="151">
        <f t="shared" si="8"/>
        <v>1.2444444444444445</v>
      </c>
      <c r="Q20" s="24">
        <f t="shared" si="9"/>
        <v>1.0769230769230769</v>
      </c>
      <c r="R20" s="80">
        <f t="shared" si="2"/>
        <v>0.16752136752136759</v>
      </c>
      <c r="S20" s="68">
        <f t="shared" si="12"/>
        <v>1.0111111111111111</v>
      </c>
      <c r="T20" s="5">
        <f t="shared" si="10"/>
        <v>0.95192307692307687</v>
      </c>
      <c r="U20" s="80">
        <f t="shared" si="11"/>
        <v>5.91880341880342E-2</v>
      </c>
      <c r="Y20" s="3" t="s">
        <v>15</v>
      </c>
      <c r="Z20" s="3" t="s">
        <v>270</v>
      </c>
      <c r="AA20" s="3">
        <v>2</v>
      </c>
      <c r="AB20" s="68">
        <v>90</v>
      </c>
      <c r="AC20" s="24">
        <v>91</v>
      </c>
      <c r="AD20" s="24">
        <v>112</v>
      </c>
      <c r="AE20" s="80">
        <v>98</v>
      </c>
      <c r="AF20" s="68">
        <v>104</v>
      </c>
      <c r="AG20" s="24">
        <v>99</v>
      </c>
      <c r="AH20" s="24">
        <v>112</v>
      </c>
      <c r="AI20" s="80">
        <v>105</v>
      </c>
      <c r="AJ20" s="18">
        <f t="shared" si="3"/>
        <v>-14</v>
      </c>
      <c r="AK20" s="18">
        <f t="shared" si="1"/>
        <v>-8</v>
      </c>
      <c r="AL20" s="18">
        <f t="shared" si="1"/>
        <v>0</v>
      </c>
      <c r="AM20" s="18">
        <f t="shared" si="1"/>
        <v>-7</v>
      </c>
    </row>
    <row r="21" spans="1:39" x14ac:dyDescent="0.2">
      <c r="A21" s="99" t="s">
        <v>16</v>
      </c>
      <c r="B21" s="110"/>
      <c r="C21" s="110">
        <v>1</v>
      </c>
      <c r="D21" s="111"/>
      <c r="E21" s="29"/>
      <c r="F21" s="29"/>
      <c r="G21" s="112"/>
      <c r="H21" s="111"/>
      <c r="I21" s="29"/>
      <c r="J21" s="29"/>
      <c r="K21" s="29"/>
      <c r="L21" s="68"/>
      <c r="M21" s="5"/>
      <c r="N21" s="5"/>
      <c r="O21" s="80"/>
      <c r="P21" s="151"/>
      <c r="Q21" s="24"/>
      <c r="R21" s="80">
        <f t="shared" si="2"/>
        <v>0</v>
      </c>
      <c r="S21" s="68"/>
      <c r="T21" s="5"/>
      <c r="U21" s="80"/>
      <c r="Y21" s="99" t="s">
        <v>16</v>
      </c>
      <c r="Z21" s="110"/>
      <c r="AA21" s="110">
        <v>1</v>
      </c>
      <c r="AB21" s="111">
        <v>77</v>
      </c>
      <c r="AC21" s="29">
        <v>74</v>
      </c>
      <c r="AD21" s="29">
        <v>90</v>
      </c>
      <c r="AE21" s="112">
        <v>80</v>
      </c>
      <c r="AF21" s="111">
        <v>85</v>
      </c>
      <c r="AG21" s="29">
        <v>84</v>
      </c>
      <c r="AH21" s="29">
        <v>93</v>
      </c>
      <c r="AI21" s="112">
        <v>87</v>
      </c>
      <c r="AJ21" s="18">
        <f t="shared" si="3"/>
        <v>-8</v>
      </c>
      <c r="AK21" s="18">
        <f t="shared" ref="AK21:AK24" si="13">AC21-AG21</f>
        <v>-10</v>
      </c>
      <c r="AL21" s="18">
        <f t="shared" ref="AL21:AL24" si="14">AD21-AH21</f>
        <v>-3</v>
      </c>
      <c r="AM21" s="18">
        <f t="shared" ref="AM21:AM24" si="15">AE21-AI21</f>
        <v>-7</v>
      </c>
    </row>
    <row r="22" spans="1:39" x14ac:dyDescent="0.2">
      <c r="A22" s="3" t="s">
        <v>17</v>
      </c>
      <c r="B22" s="3" t="s">
        <v>340</v>
      </c>
      <c r="C22" s="3">
        <v>2</v>
      </c>
      <c r="D22" s="68">
        <v>88</v>
      </c>
      <c r="E22" s="24">
        <v>89</v>
      </c>
      <c r="F22" s="24">
        <v>100</v>
      </c>
      <c r="G22" s="80">
        <v>92</v>
      </c>
      <c r="H22" s="68">
        <v>84</v>
      </c>
      <c r="I22" s="24">
        <v>83</v>
      </c>
      <c r="J22" s="24">
        <v>107</v>
      </c>
      <c r="K22" s="5">
        <v>91</v>
      </c>
      <c r="L22" s="68">
        <f t="shared" si="4"/>
        <v>-4</v>
      </c>
      <c r="M22" s="5">
        <f t="shared" si="5"/>
        <v>-6</v>
      </c>
      <c r="N22" s="5">
        <f t="shared" si="6"/>
        <v>7</v>
      </c>
      <c r="O22" s="80">
        <f t="shared" si="7"/>
        <v>-1</v>
      </c>
      <c r="P22" s="151">
        <f t="shared" si="8"/>
        <v>1.1363636363636365</v>
      </c>
      <c r="Q22" s="24">
        <f t="shared" si="9"/>
        <v>1.2738095238095237</v>
      </c>
      <c r="R22" s="80">
        <f t="shared" si="2"/>
        <v>-0.13744588744588726</v>
      </c>
      <c r="S22" s="68">
        <f t="shared" si="12"/>
        <v>1.0113636363636365</v>
      </c>
      <c r="T22" s="5">
        <f t="shared" si="10"/>
        <v>0.98809523809523814</v>
      </c>
      <c r="U22" s="80">
        <f t="shared" si="11"/>
        <v>2.3268398268398327E-2</v>
      </c>
      <c r="Y22" s="3" t="s">
        <v>17</v>
      </c>
      <c r="Z22" s="3" t="s">
        <v>340</v>
      </c>
      <c r="AA22" s="3">
        <v>2</v>
      </c>
      <c r="AB22" s="68">
        <v>88</v>
      </c>
      <c r="AC22" s="24">
        <v>89</v>
      </c>
      <c r="AD22" s="24">
        <v>100</v>
      </c>
      <c r="AE22" s="80">
        <v>92</v>
      </c>
      <c r="AF22" s="68">
        <v>84</v>
      </c>
      <c r="AG22" s="24">
        <v>83</v>
      </c>
      <c r="AH22" s="24">
        <v>107</v>
      </c>
      <c r="AI22" s="80">
        <v>91</v>
      </c>
      <c r="AJ22" s="18">
        <f t="shared" si="3"/>
        <v>4</v>
      </c>
      <c r="AK22" s="18">
        <f t="shared" si="13"/>
        <v>6</v>
      </c>
      <c r="AL22" s="18">
        <f t="shared" si="14"/>
        <v>-7</v>
      </c>
      <c r="AM22" s="18">
        <f t="shared" si="15"/>
        <v>1</v>
      </c>
    </row>
    <row r="23" spans="1:39" x14ac:dyDescent="0.2">
      <c r="A23" s="3" t="s">
        <v>18</v>
      </c>
      <c r="B23" s="3" t="s">
        <v>340</v>
      </c>
      <c r="C23" s="3">
        <v>1</v>
      </c>
      <c r="D23" s="68">
        <v>107</v>
      </c>
      <c r="E23" s="24">
        <v>97</v>
      </c>
      <c r="F23" s="24">
        <v>118</v>
      </c>
      <c r="G23" s="80">
        <v>107</v>
      </c>
      <c r="H23" s="68">
        <v>99</v>
      </c>
      <c r="I23" s="24">
        <v>98</v>
      </c>
      <c r="J23" s="24">
        <v>114</v>
      </c>
      <c r="K23" s="5">
        <v>104</v>
      </c>
      <c r="L23" s="68">
        <f t="shared" si="4"/>
        <v>-8</v>
      </c>
      <c r="M23" s="5">
        <f t="shared" si="5"/>
        <v>1</v>
      </c>
      <c r="N23" s="5">
        <f t="shared" si="6"/>
        <v>-4</v>
      </c>
      <c r="O23" s="80">
        <f t="shared" si="7"/>
        <v>-3</v>
      </c>
      <c r="P23" s="151">
        <f t="shared" si="8"/>
        <v>1.1028037383177569</v>
      </c>
      <c r="Q23" s="24">
        <f t="shared" si="9"/>
        <v>1.1515151515151516</v>
      </c>
      <c r="R23" s="80">
        <f t="shared" si="2"/>
        <v>-4.8711413197394693E-2</v>
      </c>
      <c r="S23" s="68">
        <f t="shared" si="12"/>
        <v>0.90654205607476634</v>
      </c>
      <c r="T23" s="5">
        <f t="shared" si="10"/>
        <v>0.98989898989898994</v>
      </c>
      <c r="U23" s="80">
        <f t="shared" si="11"/>
        <v>-8.33569338242236E-2</v>
      </c>
      <c r="Y23" s="3" t="s">
        <v>18</v>
      </c>
      <c r="Z23" s="3" t="s">
        <v>340</v>
      </c>
      <c r="AA23" s="3">
        <v>1</v>
      </c>
      <c r="AB23" s="68">
        <v>107</v>
      </c>
      <c r="AC23" s="24">
        <v>97</v>
      </c>
      <c r="AD23" s="24">
        <v>118</v>
      </c>
      <c r="AE23" s="80">
        <v>107</v>
      </c>
      <c r="AF23" s="68">
        <v>99</v>
      </c>
      <c r="AG23" s="24">
        <v>98</v>
      </c>
      <c r="AH23" s="24">
        <v>114</v>
      </c>
      <c r="AI23" s="80">
        <v>104</v>
      </c>
      <c r="AJ23" s="18">
        <f t="shared" si="3"/>
        <v>8</v>
      </c>
      <c r="AK23" s="18">
        <f t="shared" si="13"/>
        <v>-1</v>
      </c>
      <c r="AL23" s="18">
        <f t="shared" si="14"/>
        <v>4</v>
      </c>
      <c r="AM23" s="18">
        <f t="shared" si="15"/>
        <v>3</v>
      </c>
    </row>
    <row r="24" spans="1:39" ht="16" thickBot="1" x14ac:dyDescent="0.25">
      <c r="A24" s="3" t="s">
        <v>19</v>
      </c>
      <c r="B24" s="3" t="s">
        <v>270</v>
      </c>
      <c r="C24" s="3">
        <v>2</v>
      </c>
      <c r="D24" s="86">
        <v>97</v>
      </c>
      <c r="E24" s="83">
        <v>98</v>
      </c>
      <c r="F24" s="83">
        <v>112</v>
      </c>
      <c r="G24" s="84">
        <v>102</v>
      </c>
      <c r="H24" s="86">
        <v>100</v>
      </c>
      <c r="I24" s="83">
        <v>98</v>
      </c>
      <c r="J24" s="83">
        <v>108</v>
      </c>
      <c r="K24" s="83">
        <v>102</v>
      </c>
      <c r="L24" s="68">
        <f t="shared" si="4"/>
        <v>3</v>
      </c>
      <c r="M24" s="5">
        <f t="shared" si="5"/>
        <v>0</v>
      </c>
      <c r="N24" s="5">
        <f t="shared" si="6"/>
        <v>-4</v>
      </c>
      <c r="O24" s="80">
        <f t="shared" si="7"/>
        <v>0</v>
      </c>
      <c r="P24" s="151">
        <f t="shared" si="8"/>
        <v>1.1546391752577319</v>
      </c>
      <c r="Q24" s="24">
        <f t="shared" si="9"/>
        <v>1.08</v>
      </c>
      <c r="R24" s="80">
        <f t="shared" si="2"/>
        <v>7.4639175257731782E-2</v>
      </c>
      <c r="S24" s="68">
        <f t="shared" si="12"/>
        <v>1.0103092783505154</v>
      </c>
      <c r="T24" s="5">
        <f t="shared" si="10"/>
        <v>0.98</v>
      </c>
      <c r="U24" s="80">
        <f t="shared" si="11"/>
        <v>3.0309278350515445E-2</v>
      </c>
      <c r="Y24" s="3" t="s">
        <v>19</v>
      </c>
      <c r="Z24" s="3" t="s">
        <v>270</v>
      </c>
      <c r="AA24" s="3">
        <v>2</v>
      </c>
      <c r="AB24" s="86">
        <v>97</v>
      </c>
      <c r="AC24" s="83">
        <v>98</v>
      </c>
      <c r="AD24" s="83">
        <v>112</v>
      </c>
      <c r="AE24" s="84">
        <v>102</v>
      </c>
      <c r="AF24" s="86">
        <v>100</v>
      </c>
      <c r="AG24" s="83">
        <v>98</v>
      </c>
      <c r="AH24" s="83">
        <v>108</v>
      </c>
      <c r="AI24" s="84">
        <v>102</v>
      </c>
      <c r="AJ24" s="18">
        <f t="shared" si="3"/>
        <v>-3</v>
      </c>
      <c r="AK24" s="18">
        <f t="shared" si="13"/>
        <v>0</v>
      </c>
      <c r="AL24" s="18">
        <f t="shared" si="14"/>
        <v>4</v>
      </c>
      <c r="AM24" s="18">
        <f t="shared" si="15"/>
        <v>0</v>
      </c>
    </row>
    <row r="25" spans="1:39" x14ac:dyDescent="0.2">
      <c r="A25" s="105" t="s">
        <v>52</v>
      </c>
      <c r="B25" s="1"/>
      <c r="C25" s="1"/>
      <c r="D25" s="118">
        <f>AVERAGE(D5:D24)</f>
        <v>89.9375</v>
      </c>
      <c r="E25" s="113">
        <f t="shared" ref="E25:G25" si="16">AVERAGE(E5:E24)</f>
        <v>86</v>
      </c>
      <c r="F25" s="113">
        <f t="shared" si="16"/>
        <v>103.3125</v>
      </c>
      <c r="G25" s="114">
        <f t="shared" si="16"/>
        <v>93.125</v>
      </c>
      <c r="H25" s="113">
        <f t="shared" ref="H25" si="17">AVERAGE(H5:H24)</f>
        <v>91.5</v>
      </c>
      <c r="I25" s="113">
        <f t="shared" ref="I25" si="18">AVERAGE(I5:I24)</f>
        <v>88.375</v>
      </c>
      <c r="J25" s="113">
        <f t="shared" ref="J25" si="19">AVERAGE(J5:J24)</f>
        <v>106.5</v>
      </c>
      <c r="K25" s="113">
        <f t="shared" ref="K25" si="20">AVERAGE(K5:K24)</f>
        <v>95.4375</v>
      </c>
      <c r="L25" s="66">
        <f>AVERAGE(L5:L24)</f>
        <v>1.5625</v>
      </c>
      <c r="M25" s="101">
        <f t="shared" ref="M25:O25" si="21">AVERAGE(M5:M24)</f>
        <v>2.375</v>
      </c>
      <c r="N25" s="101">
        <f>AVERAGE(N5:N24)</f>
        <v>3.1875</v>
      </c>
      <c r="O25" s="102">
        <f t="shared" si="21"/>
        <v>2.3125</v>
      </c>
      <c r="P25" s="1">
        <f t="shared" ref="P25:R25" si="22">AVERAGE(P5:P24)</f>
        <v>1.148778347940189</v>
      </c>
      <c r="Q25" s="102">
        <f t="shared" si="22"/>
        <v>1.1686408695541948</v>
      </c>
      <c r="R25" s="102">
        <f t="shared" si="22"/>
        <v>-1.589001729120465E-2</v>
      </c>
      <c r="S25" s="102">
        <f t="shared" ref="S25:U25" si="23">AVERAGE(S5:S24)</f>
        <v>0.95776091654944984</v>
      </c>
      <c r="T25" s="102">
        <f t="shared" si="23"/>
        <v>0.97150152846671856</v>
      </c>
      <c r="U25" s="102">
        <f t="shared" si="23"/>
        <v>-1.3740611917268782E-2</v>
      </c>
      <c r="Y25" s="105" t="s">
        <v>52</v>
      </c>
      <c r="Z25" s="1"/>
      <c r="AA25" s="1"/>
      <c r="AB25" s="118">
        <f>AVERAGE(AB5:AB24)</f>
        <v>87.631578947368425</v>
      </c>
      <c r="AC25" s="113">
        <f t="shared" ref="AC25" si="24">AVERAGE(AC5:AC24)</f>
        <v>84.263157894736835</v>
      </c>
      <c r="AD25" s="113">
        <f t="shared" ref="AD25" si="25">AVERAGE(AD5:AD24)</f>
        <v>100.21052631578948</v>
      </c>
      <c r="AE25" s="114">
        <f t="shared" ref="AE25" si="26">AVERAGE(AE5:AE24)</f>
        <v>90.736842105263165</v>
      </c>
      <c r="AF25" s="113">
        <f t="shared" ref="AF25" si="27">AVERAGE(AF5:AF24)</f>
        <v>90.05263157894737</v>
      </c>
      <c r="AG25" s="113">
        <f t="shared" ref="AG25" si="28">AVERAGE(AG5:AG24)</f>
        <v>87.10526315789474</v>
      </c>
      <c r="AH25" s="113">
        <f t="shared" ref="AH25" si="29">AVERAGE(AH5:AH24)</f>
        <v>104.36842105263158</v>
      </c>
      <c r="AI25" s="114">
        <f t="shared" ref="AI25:AM25" si="30">AVERAGE(AI5:AI24)</f>
        <v>93.84210526315789</v>
      </c>
      <c r="AJ25" s="114">
        <f t="shared" si="30"/>
        <v>-2.2999999999999998</v>
      </c>
      <c r="AK25" s="114">
        <f t="shared" si="30"/>
        <v>-2.7</v>
      </c>
      <c r="AL25" s="114">
        <f t="shared" si="30"/>
        <v>-3.95</v>
      </c>
      <c r="AM25" s="114">
        <f t="shared" si="30"/>
        <v>-2.95</v>
      </c>
    </row>
    <row r="26" spans="1:39" ht="16" thickBot="1" x14ac:dyDescent="0.25">
      <c r="A26" s="106" t="s">
        <v>53</v>
      </c>
      <c r="B26" s="32"/>
      <c r="C26" s="32"/>
      <c r="D26" s="115">
        <f>STDEV(D5:D24)</f>
        <v>6.8358735116052776</v>
      </c>
      <c r="E26" s="116">
        <f t="shared" ref="E26:G26" si="31">STDEV(E5:E24)</f>
        <v>6.3874877690685246</v>
      </c>
      <c r="F26" s="116">
        <f t="shared" si="31"/>
        <v>10.22883994726023</v>
      </c>
      <c r="G26" s="117">
        <f t="shared" si="31"/>
        <v>6.5714026914604258</v>
      </c>
      <c r="H26" s="116">
        <f t="shared" ref="H26:K26" si="32">STDEV(H5:H24)</f>
        <v>11.673331429659088</v>
      </c>
      <c r="I26" s="116">
        <f t="shared" si="32"/>
        <v>7.7017314070711835</v>
      </c>
      <c r="J26" s="116">
        <f t="shared" si="32"/>
        <v>10.807404868885037</v>
      </c>
      <c r="K26" s="116">
        <f t="shared" si="32"/>
        <v>9.6882660987402698</v>
      </c>
      <c r="L26" s="86">
        <f t="shared" ref="L26:O26" si="33">STDEV(L5:L24)</f>
        <v>9.75</v>
      </c>
      <c r="M26" s="83">
        <f t="shared" si="33"/>
        <v>7.6670289769462414</v>
      </c>
      <c r="N26" s="83">
        <f t="shared" si="33"/>
        <v>9.188534522254713</v>
      </c>
      <c r="O26" s="84">
        <f t="shared" si="33"/>
        <v>7.3730929737797286</v>
      </c>
      <c r="P26" s="32">
        <f t="shared" ref="P26:R26" si="34">STDEV(P5:P24)</f>
        <v>7.9395969374625563E-2</v>
      </c>
      <c r="Q26" s="84">
        <f t="shared" si="34"/>
        <v>6.0272460653525033E-2</v>
      </c>
      <c r="R26" s="84">
        <f t="shared" si="34"/>
        <v>0.11164560694785473</v>
      </c>
      <c r="S26" s="84">
        <f t="shared" ref="S26:U26" si="35">STDEV(S5:S24)</f>
        <v>5.5752978011143456E-2</v>
      </c>
      <c r="T26" s="84">
        <f t="shared" si="35"/>
        <v>5.9586322091055716E-2</v>
      </c>
      <c r="U26" s="84">
        <f t="shared" si="35"/>
        <v>4.2057730897706723E-2</v>
      </c>
      <c r="Y26" s="106" t="s">
        <v>53</v>
      </c>
      <c r="Z26" s="32"/>
      <c r="AA26" s="32"/>
      <c r="AB26" s="115">
        <f>STDEV(AB5:AB24)</f>
        <v>8.3547094258653463</v>
      </c>
      <c r="AC26" s="116">
        <f t="shared" ref="AC26:AI26" si="36">STDEV(AC5:AC24)</f>
        <v>7.4672775439331742</v>
      </c>
      <c r="AD26" s="116">
        <f t="shared" si="36"/>
        <v>12.03041953350121</v>
      </c>
      <c r="AE26" s="117">
        <f t="shared" si="36"/>
        <v>8.3322806352639933</v>
      </c>
      <c r="AF26" s="116">
        <f t="shared" si="36"/>
        <v>11.266832761154994</v>
      </c>
      <c r="AG26" s="116">
        <f t="shared" si="36"/>
        <v>7.7667005495834962</v>
      </c>
      <c r="AH26" s="116">
        <f t="shared" si="36"/>
        <v>11.166470278451103</v>
      </c>
      <c r="AI26" s="117">
        <f t="shared" si="36"/>
        <v>9.6336398907089968</v>
      </c>
      <c r="AJ26" s="117">
        <f>STDEV(AJ5:AJ24)</f>
        <v>9.0849789270676435</v>
      </c>
      <c r="AK26" s="117">
        <f t="shared" ref="AK26:AM26" si="37">STDEV(AK5:AK24)</f>
        <v>7.630272120414773</v>
      </c>
      <c r="AL26" s="117">
        <f t="shared" si="37"/>
        <v>8.7748144379840092</v>
      </c>
      <c r="AM26" s="117">
        <f t="shared" si="37"/>
        <v>6.9318107302493486</v>
      </c>
    </row>
    <row r="27" spans="1:39" ht="16" thickBot="1" x14ac:dyDescent="0.25">
      <c r="A27" s="151" t="s">
        <v>418</v>
      </c>
      <c r="D27">
        <f>D26/SQRT(16)</f>
        <v>1.7089683779013194</v>
      </c>
      <c r="E27" s="18">
        <f t="shared" ref="E27:K27" si="38">E26/SQRT(16)</f>
        <v>1.5968719422671311</v>
      </c>
      <c r="F27" s="18">
        <f t="shared" si="38"/>
        <v>2.5572099868150575</v>
      </c>
      <c r="G27" s="18">
        <f t="shared" si="38"/>
        <v>1.6428506728651064</v>
      </c>
      <c r="H27" s="18">
        <f t="shared" si="38"/>
        <v>2.918332857414772</v>
      </c>
      <c r="I27" s="18">
        <f t="shared" si="38"/>
        <v>1.9254328517677959</v>
      </c>
      <c r="J27" s="18">
        <f t="shared" si="38"/>
        <v>2.7018512172212592</v>
      </c>
      <c r="K27" s="18">
        <f t="shared" si="38"/>
        <v>2.4220665246850674</v>
      </c>
      <c r="Y27" s="151" t="s">
        <v>54</v>
      </c>
      <c r="AB27">
        <f>AB26/SQRT(19)</f>
        <v>1.916701794210198</v>
      </c>
      <c r="AC27" s="18">
        <f t="shared" ref="AC27:AI27" si="39">AC26/SQRT(19)</f>
        <v>1.7131109577565951</v>
      </c>
      <c r="AD27" s="18">
        <f t="shared" si="39"/>
        <v>2.7599675260489209</v>
      </c>
      <c r="AE27" s="18">
        <f t="shared" si="39"/>
        <v>1.9115562767545595</v>
      </c>
      <c r="AF27" s="18">
        <f t="shared" si="39"/>
        <v>2.5847887062972603</v>
      </c>
      <c r="AG27" s="18">
        <f t="shared" si="39"/>
        <v>1.7818033063355929</v>
      </c>
      <c r="AH27" s="18">
        <f t="shared" si="39"/>
        <v>2.5617639736746756</v>
      </c>
      <c r="AI27" s="18">
        <f t="shared" si="39"/>
        <v>2.2101085653717227</v>
      </c>
      <c r="AJ27" s="18">
        <f t="shared" ref="AJ27:AM27" si="40">AJ26/SQRT(19)</f>
        <v>2.0842371077518123</v>
      </c>
      <c r="AK27" s="18">
        <f t="shared" si="40"/>
        <v>1.7505044781370425</v>
      </c>
      <c r="AL27" s="18">
        <f t="shared" si="40"/>
        <v>2.0130804938681024</v>
      </c>
      <c r="AM27" s="18">
        <f t="shared" si="40"/>
        <v>1.5902664457319888</v>
      </c>
    </row>
    <row r="28" spans="1:39" x14ac:dyDescent="0.2">
      <c r="A28" s="23" t="s">
        <v>343</v>
      </c>
      <c r="B28" s="159"/>
      <c r="C28" s="159"/>
      <c r="D28" s="211">
        <f>TTEST(D5:D24,H5:H24,1,1)</f>
        <v>0.26558935171300824</v>
      </c>
      <c r="E28" s="212">
        <f>TTEST(E5:E24,I5:I24,1,1)</f>
        <v>0.1171787689205893</v>
      </c>
      <c r="F28" s="535">
        <f>TTEST(F5:F24,J5:J24,1,1)</f>
        <v>9.2764644694751999E-2</v>
      </c>
      <c r="G28" s="213">
        <f>TTEST(G5:G24,K5:K24,1,1)</f>
        <v>0.11441744828151679</v>
      </c>
      <c r="H28" s="113"/>
      <c r="I28" s="113"/>
      <c r="J28" s="113"/>
      <c r="K28" s="113"/>
      <c r="L28" s="68"/>
      <c r="M28" s="5"/>
      <c r="N28" s="5"/>
      <c r="O28" s="80"/>
      <c r="R28">
        <f>TTEST(P5:P24,Q5:Q24,1,1)</f>
        <v>0.26781838261582497</v>
      </c>
      <c r="Y28" s="103" t="s">
        <v>343</v>
      </c>
      <c r="Z28" s="101"/>
      <c r="AA28" s="101"/>
      <c r="AB28" s="119">
        <f>TTEST(AB5:AB24,AF5:AF24,1,1)</f>
        <v>0.13611560843880224</v>
      </c>
      <c r="AC28" s="120">
        <f>TTEST(AC5:AC24,AG5:AG24,1,1)</f>
        <v>6.5098005078872742E-2</v>
      </c>
      <c r="AD28" s="120">
        <f>TTEST(AD5:AD24,AH5:AH24,1,1)</f>
        <v>2.9163662619572497E-2</v>
      </c>
      <c r="AE28" s="121">
        <f>TTEST(AE5:AE24,AI5:AI24,1,1)</f>
        <v>3.6086609506838431E-2</v>
      </c>
      <c r="AF28" s="113"/>
      <c r="AG28" s="113"/>
      <c r="AH28" s="113"/>
      <c r="AI28" s="114"/>
    </row>
    <row r="29" spans="1:39" ht="16" thickBot="1" x14ac:dyDescent="0.25">
      <c r="A29" s="171" t="s">
        <v>344</v>
      </c>
      <c r="B29" s="163"/>
      <c r="C29" s="163"/>
      <c r="D29" s="214">
        <f>TTEST(D5:D24,H5:H24,2,1)</f>
        <v>0.53117870342601647</v>
      </c>
      <c r="E29" s="215">
        <f>TTEST(E5:E24,I5:I24,2,1)</f>
        <v>0.2343575378411786</v>
      </c>
      <c r="F29" s="215">
        <f>TTEST(F5:F24,J5:J24,2,1)</f>
        <v>0.185529289389504</v>
      </c>
      <c r="G29" s="216">
        <f>TTEST(G5:G24,K5:K24,2,1)</f>
        <v>0.22883489656303357</v>
      </c>
      <c r="H29" s="116"/>
      <c r="I29" s="116"/>
      <c r="J29" s="116"/>
      <c r="K29" s="116"/>
      <c r="L29" s="86"/>
      <c r="M29" s="83"/>
      <c r="N29" s="83" t="s">
        <v>217</v>
      </c>
      <c r="O29" s="84"/>
      <c r="Y29" s="104" t="s">
        <v>344</v>
      </c>
      <c r="Z29" s="83"/>
      <c r="AA29" s="83"/>
      <c r="AB29" s="122">
        <f>TTEST(AB5:AB24,AF5:AF24,2,1)</f>
        <v>0.27223121687760449</v>
      </c>
      <c r="AC29" s="123">
        <f>TTEST(AC5:AC24,AG5:AG24,2,1)</f>
        <v>0.13019601015774548</v>
      </c>
      <c r="AD29" s="123">
        <f>TTEST(AD5:AD24,AH5:AH24,2,1)</f>
        <v>5.8327325239144995E-2</v>
      </c>
      <c r="AE29" s="124">
        <f>TTEST(AE5:AE24,AI5:AI24,2,1)</f>
        <v>7.2173219013676862E-2</v>
      </c>
      <c r="AF29" s="116"/>
      <c r="AG29" s="116"/>
      <c r="AH29" s="116"/>
      <c r="AI29" s="117"/>
    </row>
    <row r="30" spans="1:39" x14ac:dyDescent="0.2">
      <c r="G30" t="s">
        <v>217</v>
      </c>
    </row>
    <row r="33" spans="9:9" x14ac:dyDescent="0.2">
      <c r="I33" t="s">
        <v>217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/>
  <dimension ref="A1:GH43"/>
  <sheetViews>
    <sheetView workbookViewId="0">
      <pane xSplit="1" topLeftCell="GK1" activePane="topRight" state="frozen"/>
      <selection pane="topRight" activeCell="T2" sqref="T2"/>
    </sheetView>
  </sheetViews>
  <sheetFormatPr baseColWidth="10" defaultColWidth="10.5" defaultRowHeight="15" x14ac:dyDescent="0.2"/>
  <cols>
    <col min="71" max="71" width="16.1640625" customWidth="1"/>
    <col min="72" max="72" width="10.5" customWidth="1"/>
    <col min="75" max="75" width="14" bestFit="1" customWidth="1"/>
    <col min="76" max="76" width="14" style="18" customWidth="1"/>
  </cols>
  <sheetData>
    <row r="1" spans="1:190" s="95" customFormat="1" ht="17" thickBot="1" x14ac:dyDescent="0.25">
      <c r="U1" s="95" t="s">
        <v>352</v>
      </c>
      <c r="V1" s="95" t="s">
        <v>352</v>
      </c>
      <c r="W1" s="95" t="s">
        <v>352</v>
      </c>
      <c r="X1" s="95" t="s">
        <v>352</v>
      </c>
      <c r="Y1" s="95" t="s">
        <v>352</v>
      </c>
      <c r="AB1" s="132" t="s">
        <v>351</v>
      </c>
      <c r="AC1" s="132" t="s">
        <v>351</v>
      </c>
      <c r="AD1" s="132" t="s">
        <v>351</v>
      </c>
      <c r="AE1" s="132" t="s">
        <v>351</v>
      </c>
      <c r="AF1" s="152" t="s">
        <v>351</v>
      </c>
      <c r="AG1" s="152" t="s">
        <v>351</v>
      </c>
      <c r="AH1" s="152" t="s">
        <v>351</v>
      </c>
      <c r="AI1" s="152" t="s">
        <v>351</v>
      </c>
      <c r="AJ1" s="95" t="s">
        <v>351</v>
      </c>
      <c r="AK1" s="95" t="s">
        <v>351</v>
      </c>
      <c r="AL1" s="95" t="s">
        <v>351</v>
      </c>
      <c r="AM1" s="95" t="s">
        <v>351</v>
      </c>
      <c r="AN1" s="132" t="s">
        <v>351</v>
      </c>
      <c r="AO1" s="132" t="s">
        <v>351</v>
      </c>
      <c r="AP1" s="132" t="s">
        <v>351</v>
      </c>
      <c r="AQ1" s="132" t="s">
        <v>351</v>
      </c>
      <c r="AR1" s="95" t="s">
        <v>351</v>
      </c>
      <c r="AS1" s="95" t="s">
        <v>351</v>
      </c>
      <c r="AT1" s="95" t="s">
        <v>351</v>
      </c>
      <c r="AU1" s="95" t="s">
        <v>351</v>
      </c>
      <c r="AV1" s="152" t="s">
        <v>351</v>
      </c>
      <c r="AW1" s="152" t="s">
        <v>351</v>
      </c>
      <c r="AX1" s="152" t="s">
        <v>351</v>
      </c>
      <c r="AY1" s="152" t="s">
        <v>351</v>
      </c>
      <c r="BH1" s="95" t="s">
        <v>453</v>
      </c>
      <c r="BN1" s="95" t="s">
        <v>465</v>
      </c>
      <c r="BY1" s="132" t="s">
        <v>55</v>
      </c>
      <c r="BZ1" s="95" t="s">
        <v>56</v>
      </c>
      <c r="CA1" s="152" t="s">
        <v>347</v>
      </c>
      <c r="CB1" s="94" t="s">
        <v>539</v>
      </c>
      <c r="CK1" s="139"/>
      <c r="CL1" s="284" t="s">
        <v>501</v>
      </c>
      <c r="CM1" s="285" t="s">
        <v>502</v>
      </c>
      <c r="CN1" s="467" t="s">
        <v>503</v>
      </c>
      <c r="CO1" s="467"/>
      <c r="CP1" s="467"/>
      <c r="CQ1" s="467"/>
      <c r="CR1" s="467"/>
      <c r="CS1" s="467"/>
      <c r="CT1" s="467"/>
      <c r="CU1" s="139"/>
      <c r="CV1" s="459" t="s">
        <v>504</v>
      </c>
      <c r="CW1" s="460"/>
      <c r="CX1" s="460"/>
      <c r="CY1" s="461"/>
      <c r="CZ1" s="462" t="s">
        <v>505</v>
      </c>
      <c r="DA1" s="463"/>
      <c r="DB1" s="463"/>
      <c r="DC1" s="464"/>
      <c r="DD1" s="465" t="s">
        <v>506</v>
      </c>
      <c r="DE1" s="466"/>
      <c r="DF1" s="466"/>
      <c r="DG1" s="466"/>
      <c r="DH1" s="286"/>
      <c r="DI1" s="459" t="s">
        <v>507</v>
      </c>
      <c r="DJ1" s="460"/>
      <c r="DK1" s="460"/>
      <c r="DL1" s="461"/>
      <c r="DM1" s="462" t="s">
        <v>508</v>
      </c>
      <c r="DN1" s="463"/>
      <c r="DO1" s="463"/>
      <c r="DP1" s="464"/>
      <c r="DQ1" s="465" t="s">
        <v>509</v>
      </c>
      <c r="DR1" s="466"/>
      <c r="DS1" s="466"/>
      <c r="DT1" s="466"/>
      <c r="DU1" s="286"/>
      <c r="DV1" s="459" t="s">
        <v>510</v>
      </c>
      <c r="DW1" s="460"/>
      <c r="DX1" s="460"/>
      <c r="DY1" s="461"/>
      <c r="DZ1" s="462" t="s">
        <v>511</v>
      </c>
      <c r="EA1" s="463"/>
      <c r="EB1" s="463"/>
      <c r="EC1" s="464"/>
      <c r="ED1" s="465" t="s">
        <v>512</v>
      </c>
      <c r="EE1" s="466"/>
      <c r="EF1" s="466"/>
      <c r="EG1" s="466"/>
      <c r="EJ1" s="286"/>
      <c r="EP1" s="152" t="s">
        <v>544</v>
      </c>
      <c r="EQ1" s="152"/>
      <c r="ER1" s="152"/>
      <c r="ES1" s="152"/>
      <c r="ET1" s="152"/>
      <c r="EU1" s="152"/>
      <c r="EV1" s="152"/>
      <c r="EW1" s="95" t="s">
        <v>248</v>
      </c>
      <c r="EY1" s="95" t="s">
        <v>251</v>
      </c>
      <c r="EZ1" s="95" t="s">
        <v>252</v>
      </c>
      <c r="FA1" s="77" t="s">
        <v>347</v>
      </c>
      <c r="FB1" s="21"/>
      <c r="FC1" s="21"/>
      <c r="FD1" s="21"/>
      <c r="FE1" s="21"/>
      <c r="FF1" s="21"/>
      <c r="FG1" s="21"/>
      <c r="FH1" s="21"/>
      <c r="FI1" s="21"/>
      <c r="FJ1" s="21"/>
      <c r="FK1" s="21"/>
    </row>
    <row r="2" spans="1:190" ht="17" thickBot="1" x14ac:dyDescent="0.25">
      <c r="A2" s="94" t="s">
        <v>276</v>
      </c>
      <c r="B2" s="95" t="s">
        <v>268</v>
      </c>
      <c r="C2" s="95" t="s">
        <v>269</v>
      </c>
      <c r="D2" s="96" t="s">
        <v>247</v>
      </c>
      <c r="E2" s="95" t="s">
        <v>248</v>
      </c>
      <c r="F2" s="95" t="s">
        <v>250</v>
      </c>
      <c r="G2" s="95" t="s">
        <v>251</v>
      </c>
      <c r="H2" s="95" t="s">
        <v>252</v>
      </c>
      <c r="I2" s="95" t="s">
        <v>253</v>
      </c>
      <c r="J2" s="95" t="s">
        <v>256</v>
      </c>
      <c r="K2" s="95" t="s">
        <v>255</v>
      </c>
      <c r="L2" s="95" t="s">
        <v>259</v>
      </c>
      <c r="M2" s="95" t="s">
        <v>258</v>
      </c>
      <c r="N2" s="95" t="s">
        <v>257</v>
      </c>
      <c r="O2" s="95" t="s">
        <v>263</v>
      </c>
      <c r="P2" s="95" t="s">
        <v>264</v>
      </c>
      <c r="Q2" s="95" t="s">
        <v>265</v>
      </c>
      <c r="R2" s="95" t="s">
        <v>266</v>
      </c>
      <c r="S2" s="95" t="s">
        <v>249</v>
      </c>
      <c r="T2" s="95" t="s">
        <v>350</v>
      </c>
      <c r="U2" s="95" t="s">
        <v>270</v>
      </c>
      <c r="V2" s="95" t="s">
        <v>271</v>
      </c>
      <c r="W2" s="95" t="s">
        <v>272</v>
      </c>
      <c r="X2" s="95" t="s">
        <v>273</v>
      </c>
      <c r="Y2" s="95" t="s">
        <v>274</v>
      </c>
      <c r="Z2" s="97" t="s">
        <v>311</v>
      </c>
      <c r="AA2" s="98" t="s">
        <v>313</v>
      </c>
      <c r="AB2" s="95" t="s">
        <v>337</v>
      </c>
      <c r="AC2" s="95" t="s">
        <v>338</v>
      </c>
      <c r="AD2" s="95" t="s">
        <v>339</v>
      </c>
      <c r="AE2" s="95" t="s">
        <v>52</v>
      </c>
      <c r="AF2" s="152" t="s">
        <v>348</v>
      </c>
      <c r="AG2" s="152" t="s">
        <v>338</v>
      </c>
      <c r="AH2" s="152" t="s">
        <v>339</v>
      </c>
      <c r="AI2" s="152" t="s">
        <v>52</v>
      </c>
      <c r="AJ2" s="125" t="s">
        <v>349</v>
      </c>
      <c r="AK2" s="95" t="s">
        <v>338</v>
      </c>
      <c r="AL2" s="95" t="s">
        <v>339</v>
      </c>
      <c r="AM2" s="126" t="s">
        <v>52</v>
      </c>
      <c r="AN2" s="125" t="s">
        <v>55</v>
      </c>
      <c r="AO2" s="95"/>
      <c r="AP2" s="95"/>
      <c r="AQ2" s="126"/>
      <c r="AR2" s="125" t="s">
        <v>56</v>
      </c>
      <c r="AS2" s="95"/>
      <c r="AT2" s="95"/>
      <c r="AU2" s="126"/>
      <c r="AV2" s="183" t="s">
        <v>347</v>
      </c>
      <c r="AW2" s="152"/>
      <c r="AX2" s="152"/>
      <c r="AY2" s="184"/>
      <c r="AZ2" s="153" t="s">
        <v>420</v>
      </c>
      <c r="BA2" s="152" t="s">
        <v>421</v>
      </c>
      <c r="BB2" s="95" t="s">
        <v>424</v>
      </c>
      <c r="BC2" s="152" t="s">
        <v>423</v>
      </c>
      <c r="BD2" s="136" t="s">
        <v>26</v>
      </c>
      <c r="BE2" s="150" t="s">
        <v>29</v>
      </c>
      <c r="BF2" t="s">
        <v>425</v>
      </c>
      <c r="BG2" t="s">
        <v>426</v>
      </c>
      <c r="BH2" s="217" t="s">
        <v>454</v>
      </c>
      <c r="BI2" s="218" t="s">
        <v>455</v>
      </c>
      <c r="BJ2" s="219" t="s">
        <v>456</v>
      </c>
      <c r="BL2" t="s">
        <v>459</v>
      </c>
      <c r="BM2" t="s">
        <v>460</v>
      </c>
      <c r="BN2" t="s">
        <v>461</v>
      </c>
      <c r="BO2" t="s">
        <v>462</v>
      </c>
      <c r="BP2" t="s">
        <v>463</v>
      </c>
      <c r="BR2" t="s">
        <v>496</v>
      </c>
      <c r="BT2" t="s">
        <v>497</v>
      </c>
      <c r="BU2" t="s">
        <v>498</v>
      </c>
      <c r="BV2" s="18" t="s">
        <v>540</v>
      </c>
      <c r="BW2" t="s">
        <v>36</v>
      </c>
      <c r="BX2" t="s">
        <v>36</v>
      </c>
      <c r="BZ2" s="3" t="s">
        <v>406</v>
      </c>
      <c r="CA2" t="s">
        <v>407</v>
      </c>
      <c r="CB2" t="s">
        <v>408</v>
      </c>
      <c r="CC2" t="s">
        <v>409</v>
      </c>
      <c r="CD2" t="s">
        <v>410</v>
      </c>
      <c r="CE2" t="s">
        <v>411</v>
      </c>
      <c r="CF2" t="s">
        <v>412</v>
      </c>
      <c r="CG2" t="s">
        <v>413</v>
      </c>
      <c r="CH2" t="s">
        <v>414</v>
      </c>
      <c r="CI2" t="s">
        <v>415</v>
      </c>
      <c r="CJ2" s="21" t="s">
        <v>416</v>
      </c>
      <c r="CK2" s="290"/>
      <c r="CL2" s="290" t="s">
        <v>517</v>
      </c>
      <c r="CM2" s="290" t="s">
        <v>457</v>
      </c>
      <c r="CN2" s="290" t="s">
        <v>518</v>
      </c>
      <c r="CO2" s="290" t="s">
        <v>519</v>
      </c>
      <c r="CP2" s="290" t="s">
        <v>520</v>
      </c>
      <c r="CQ2" s="290" t="s">
        <v>521</v>
      </c>
      <c r="CR2" s="290" t="s">
        <v>522</v>
      </c>
      <c r="CS2" s="290" t="s">
        <v>523</v>
      </c>
      <c r="CT2" s="290" t="s">
        <v>310</v>
      </c>
      <c r="CU2" s="290"/>
      <c r="CV2" s="287" t="s">
        <v>513</v>
      </c>
      <c r="CW2" s="287" t="s">
        <v>514</v>
      </c>
      <c r="CX2" s="288" t="s">
        <v>515</v>
      </c>
      <c r="CY2" s="288" t="s">
        <v>516</v>
      </c>
      <c r="CZ2" s="287" t="s">
        <v>513</v>
      </c>
      <c r="DA2" s="287" t="s">
        <v>514</v>
      </c>
      <c r="DB2" s="288" t="s">
        <v>515</v>
      </c>
      <c r="DC2" s="289" t="s">
        <v>516</v>
      </c>
      <c r="DD2" s="287" t="s">
        <v>513</v>
      </c>
      <c r="DE2" s="287" t="s">
        <v>514</v>
      </c>
      <c r="DF2" s="288" t="s">
        <v>515</v>
      </c>
      <c r="DG2" s="289" t="s">
        <v>516</v>
      </c>
      <c r="DH2" s="291"/>
      <c r="DI2" s="287" t="s">
        <v>513</v>
      </c>
      <c r="DJ2" s="287" t="s">
        <v>514</v>
      </c>
      <c r="DK2" s="287" t="s">
        <v>515</v>
      </c>
      <c r="DL2" s="300" t="s">
        <v>516</v>
      </c>
      <c r="DM2" s="287" t="s">
        <v>513</v>
      </c>
      <c r="DN2" s="287" t="s">
        <v>514</v>
      </c>
      <c r="DO2" s="287" t="s">
        <v>515</v>
      </c>
      <c r="DP2" s="301" t="s">
        <v>516</v>
      </c>
      <c r="DQ2" s="287" t="s">
        <v>513</v>
      </c>
      <c r="DR2" s="287" t="s">
        <v>514</v>
      </c>
      <c r="DS2" s="288" t="s">
        <v>515</v>
      </c>
      <c r="DT2" s="299" t="s">
        <v>516</v>
      </c>
      <c r="DU2" s="291"/>
      <c r="DV2" s="287" t="s">
        <v>513</v>
      </c>
      <c r="DW2" s="287" t="s">
        <v>514</v>
      </c>
      <c r="DX2" s="287" t="s">
        <v>515</v>
      </c>
      <c r="DY2" s="300" t="s">
        <v>516</v>
      </c>
      <c r="DZ2" s="287" t="s">
        <v>513</v>
      </c>
      <c r="EA2" s="287" t="s">
        <v>514</v>
      </c>
      <c r="EB2" s="287" t="s">
        <v>515</v>
      </c>
      <c r="EC2" s="301" t="s">
        <v>516</v>
      </c>
      <c r="ED2" s="287" t="s">
        <v>513</v>
      </c>
      <c r="EE2" s="287" t="s">
        <v>514</v>
      </c>
      <c r="EF2" s="287" t="s">
        <v>515</v>
      </c>
      <c r="EG2" s="301" t="s">
        <v>516</v>
      </c>
      <c r="EH2" s="291"/>
      <c r="EI2" s="307" t="s">
        <v>541</v>
      </c>
      <c r="EJ2" s="6"/>
      <c r="EK2" s="6" t="s">
        <v>542</v>
      </c>
      <c r="EL2" s="6"/>
      <c r="EM2" s="4" t="s">
        <v>543</v>
      </c>
      <c r="EN2" t="s">
        <v>241</v>
      </c>
      <c r="EO2" t="s">
        <v>242</v>
      </c>
      <c r="EP2" t="s">
        <v>243</v>
      </c>
      <c r="EQ2" t="s">
        <v>244</v>
      </c>
      <c r="ER2" t="s">
        <v>245</v>
      </c>
      <c r="ES2" t="s">
        <v>246</v>
      </c>
      <c r="ET2" t="s">
        <v>216</v>
      </c>
      <c r="EU2" s="161" t="s">
        <v>457</v>
      </c>
      <c r="EV2" s="21" t="s">
        <v>458</v>
      </c>
      <c r="EW2" s="67" t="s">
        <v>545</v>
      </c>
      <c r="EX2" s="6" t="s">
        <v>546</v>
      </c>
      <c r="EY2" s="24" t="s">
        <v>546</v>
      </c>
      <c r="EZ2" s="24" t="s">
        <v>546</v>
      </c>
      <c r="FA2" s="146" t="s">
        <v>406</v>
      </c>
      <c r="FB2" s="71" t="s">
        <v>407</v>
      </c>
      <c r="FC2" s="142" t="s">
        <v>408</v>
      </c>
      <c r="FD2" s="147" t="s">
        <v>409</v>
      </c>
      <c r="FE2" s="136" t="s">
        <v>410</v>
      </c>
      <c r="FF2" s="135" t="s">
        <v>411</v>
      </c>
      <c r="FG2" s="148" t="s">
        <v>412</v>
      </c>
      <c r="FH2" s="149" t="s">
        <v>413</v>
      </c>
      <c r="FI2" s="150" t="s">
        <v>414</v>
      </c>
      <c r="FJ2" s="141" t="s">
        <v>415</v>
      </c>
      <c r="FK2" s="143" t="s">
        <v>416</v>
      </c>
      <c r="FL2" s="95" t="s">
        <v>265</v>
      </c>
      <c r="FM2" s="95" t="s">
        <v>270</v>
      </c>
      <c r="FN2" s="95" t="s">
        <v>274</v>
      </c>
      <c r="FO2" s="146" t="s">
        <v>547</v>
      </c>
      <c r="FP2" s="71" t="s">
        <v>548</v>
      </c>
      <c r="FQ2" s="142" t="s">
        <v>549</v>
      </c>
      <c r="FR2" s="147" t="s">
        <v>550</v>
      </c>
      <c r="FS2" s="136" t="s">
        <v>551</v>
      </c>
      <c r="FT2" s="135" t="s">
        <v>552</v>
      </c>
      <c r="FU2" s="148" t="s">
        <v>237</v>
      </c>
      <c r="FV2" s="149" t="s">
        <v>553</v>
      </c>
      <c r="FW2" s="150" t="s">
        <v>558</v>
      </c>
      <c r="FX2" s="141" t="s">
        <v>556</v>
      </c>
      <c r="FY2" s="143" t="s">
        <v>554</v>
      </c>
      <c r="FZ2" s="161" t="s">
        <v>457</v>
      </c>
      <c r="GA2" t="s">
        <v>241</v>
      </c>
      <c r="GB2" t="s">
        <v>242</v>
      </c>
      <c r="GC2" t="s">
        <v>243</v>
      </c>
      <c r="GD2" t="s">
        <v>244</v>
      </c>
      <c r="GE2" t="s">
        <v>245</v>
      </c>
      <c r="GF2" t="s">
        <v>246</v>
      </c>
      <c r="GG2" t="s">
        <v>216</v>
      </c>
      <c r="GH2" s="150" t="s">
        <v>29</v>
      </c>
    </row>
    <row r="3" spans="1:190" ht="16" x14ac:dyDescent="0.2">
      <c r="A3" s="3" t="s">
        <v>0</v>
      </c>
      <c r="B3" s="5">
        <v>0</v>
      </c>
      <c r="C3" s="5">
        <v>3</v>
      </c>
      <c r="D3" s="5">
        <v>20</v>
      </c>
      <c r="E3" s="5">
        <v>58</v>
      </c>
      <c r="F3" s="5">
        <v>56</v>
      </c>
      <c r="G3" s="5">
        <v>24</v>
      </c>
      <c r="H3" s="5">
        <v>207</v>
      </c>
      <c r="I3" s="5">
        <v>23</v>
      </c>
      <c r="J3" s="5">
        <v>131</v>
      </c>
      <c r="K3" s="5">
        <v>80</v>
      </c>
      <c r="L3" s="5">
        <v>159</v>
      </c>
      <c r="M3" s="5">
        <v>50</v>
      </c>
      <c r="N3" s="5">
        <v>161</v>
      </c>
      <c r="O3" s="5">
        <v>0</v>
      </c>
      <c r="P3" s="5">
        <v>-6</v>
      </c>
      <c r="Q3" s="5">
        <v>0</v>
      </c>
      <c r="R3" s="5">
        <v>-1</v>
      </c>
      <c r="S3" s="5">
        <v>8</v>
      </c>
      <c r="T3">
        <v>6</v>
      </c>
      <c r="U3" s="5">
        <v>1</v>
      </c>
      <c r="V3" s="5">
        <v>0</v>
      </c>
      <c r="W3" s="5">
        <v>-4</v>
      </c>
      <c r="X3" s="5">
        <v>14</v>
      </c>
      <c r="Y3" s="5">
        <v>6</v>
      </c>
      <c r="Z3" s="92">
        <v>-3.1136297368421002E-2</v>
      </c>
      <c r="AA3" s="88">
        <v>11</v>
      </c>
      <c r="AB3" s="66">
        <v>87</v>
      </c>
      <c r="AC3" s="101">
        <v>77</v>
      </c>
      <c r="AD3" s="101">
        <v>108</v>
      </c>
      <c r="AE3" s="102">
        <v>91</v>
      </c>
      <c r="AF3" s="182">
        <v>14</v>
      </c>
      <c r="AG3" s="160">
        <v>10</v>
      </c>
      <c r="AH3" s="160">
        <v>7</v>
      </c>
      <c r="AI3" s="160">
        <v>10</v>
      </c>
      <c r="AJ3" s="68">
        <v>101</v>
      </c>
      <c r="AK3" s="5">
        <v>87</v>
      </c>
      <c r="AL3" s="5">
        <v>115</v>
      </c>
      <c r="AM3" s="80">
        <v>101</v>
      </c>
      <c r="AN3" s="68">
        <v>87</v>
      </c>
      <c r="AO3" s="5">
        <v>77</v>
      </c>
      <c r="AP3" s="5">
        <v>108</v>
      </c>
      <c r="AQ3" s="80">
        <v>91</v>
      </c>
      <c r="AR3" s="68">
        <v>101</v>
      </c>
      <c r="AS3" s="5">
        <v>87</v>
      </c>
      <c r="AT3" s="5">
        <v>115</v>
      </c>
      <c r="AU3" s="80">
        <v>101</v>
      </c>
      <c r="AV3" s="179">
        <f>AR3-AN3</f>
        <v>14</v>
      </c>
      <c r="AW3" s="154">
        <f t="shared" ref="AW3:AY3" si="0">AS3-AO3</f>
        <v>10</v>
      </c>
      <c r="AX3" s="154">
        <f t="shared" si="0"/>
        <v>7</v>
      </c>
      <c r="AY3" s="185">
        <f t="shared" si="0"/>
        <v>10</v>
      </c>
      <c r="AZ3" s="9">
        <v>1.2413793103448276</v>
      </c>
      <c r="BA3" s="77">
        <v>0.10276544895868911</v>
      </c>
      <c r="BB3">
        <v>0.88505747126436785</v>
      </c>
      <c r="BC3" s="77">
        <v>2.3671332650506471E-2</v>
      </c>
      <c r="BD3" s="154">
        <v>0.33000001311299998</v>
      </c>
      <c r="BE3" s="144">
        <v>0</v>
      </c>
      <c r="BF3" s="5">
        <v>0</v>
      </c>
      <c r="BG3" s="5">
        <v>-6</v>
      </c>
      <c r="BK3" t="s">
        <v>0</v>
      </c>
      <c r="BL3">
        <v>0</v>
      </c>
      <c r="BM3">
        <v>0</v>
      </c>
      <c r="BN3">
        <v>-1</v>
      </c>
      <c r="BO3">
        <v>1</v>
      </c>
      <c r="BP3">
        <v>0</v>
      </c>
      <c r="BQ3" t="s">
        <v>466</v>
      </c>
      <c r="BR3">
        <v>-1.60857358248744E-27</v>
      </c>
      <c r="BS3" t="s">
        <v>467</v>
      </c>
      <c r="BT3">
        <v>-1.1509700087500101E-27</v>
      </c>
      <c r="BU3">
        <f>AVERAGE(BR3,BT3)</f>
        <v>-1.3797717956187249E-27</v>
      </c>
      <c r="BV3" s="18"/>
      <c r="BW3">
        <v>0.74000000953699996</v>
      </c>
      <c r="BX3">
        <v>0</v>
      </c>
      <c r="BY3">
        <f>BW3-BX3</f>
        <v>0.74000000953699996</v>
      </c>
      <c r="BZ3" s="3">
        <v>0</v>
      </c>
      <c r="CA3">
        <v>0</v>
      </c>
      <c r="CB3">
        <v>3.333333445092667E-2</v>
      </c>
      <c r="CC3">
        <v>4.3333331744000003E-2</v>
      </c>
      <c r="CD3">
        <v>7.9999998212000004E-2</v>
      </c>
      <c r="CE3">
        <v>0</v>
      </c>
      <c r="CF3">
        <v>0</v>
      </c>
      <c r="CG3">
        <v>7.6666668057299991E-2</v>
      </c>
      <c r="CH3">
        <v>0.98666667938233321</v>
      </c>
      <c r="CI3">
        <v>0.27666666110376664</v>
      </c>
      <c r="CJ3">
        <v>0</v>
      </c>
      <c r="CK3" s="285" t="s">
        <v>524</v>
      </c>
      <c r="CL3" s="18">
        <v>1.6630495780000001</v>
      </c>
      <c r="CM3" s="18">
        <v>-1.6873948219999999</v>
      </c>
      <c r="CN3" s="18">
        <v>-0.187242614</v>
      </c>
      <c r="CO3" s="18">
        <v>-0.21316443730000001</v>
      </c>
      <c r="CP3" s="18">
        <v>-4.6699681600000001E-2</v>
      </c>
      <c r="CQ3" s="18">
        <v>-0.18124281019999999</v>
      </c>
      <c r="CR3" s="18">
        <v>-1.395795191E-2</v>
      </c>
      <c r="CS3" s="18">
        <v>-9.4979387669999991E-3</v>
      </c>
      <c r="CT3" s="18">
        <v>-0.53483405490000002</v>
      </c>
      <c r="CU3" s="285" t="s">
        <v>524</v>
      </c>
      <c r="CV3" s="18">
        <v>8.3569198839999999</v>
      </c>
      <c r="CW3" s="18">
        <v>8.5218662609999996</v>
      </c>
      <c r="CX3" s="18">
        <v>8.2818837819999995</v>
      </c>
      <c r="CY3" s="292">
        <f t="shared" ref="CY3:CY6" si="1">AVERAGE(CV3,CX3)</f>
        <v>8.3194018330000006</v>
      </c>
      <c r="CZ3" s="18">
        <v>9.1047846809999999</v>
      </c>
      <c r="DA3" s="18">
        <v>8.4524927160000001</v>
      </c>
      <c r="DB3" s="18">
        <v>7.4383820150000002</v>
      </c>
      <c r="DC3" s="292">
        <f t="shared" ref="DC3:DC6" si="2">AVERAGE(CZ3,DB3)</f>
        <v>8.2715833480000001</v>
      </c>
      <c r="DD3" s="24">
        <f t="shared" ref="DD3:DG6" si="3">CZ3-CV3</f>
        <v>0.74786479700000008</v>
      </c>
      <c r="DE3" s="24">
        <f t="shared" si="3"/>
        <v>-6.9373544999999481E-2</v>
      </c>
      <c r="DF3" s="293">
        <f t="shared" si="3"/>
        <v>-0.84350176699999935</v>
      </c>
      <c r="DG3" s="294">
        <f t="shared" si="3"/>
        <v>-4.7818485000000521E-2</v>
      </c>
      <c r="DH3" s="295" t="s">
        <v>524</v>
      </c>
      <c r="DI3" s="18">
        <v>3.2167677239999999</v>
      </c>
      <c r="DJ3" s="18">
        <v>3.2402146319999998</v>
      </c>
      <c r="DK3" s="18">
        <v>3.3105156529999999</v>
      </c>
      <c r="DL3" s="3">
        <f t="shared" ref="DL3:DL6" si="4">AVERAGE(DI3,DK3)</f>
        <v>3.2636416884999999</v>
      </c>
      <c r="DM3" s="18">
        <v>8.4507175750000005</v>
      </c>
      <c r="DN3" s="18">
        <v>6.8197445090000004</v>
      </c>
      <c r="DO3" s="18">
        <v>4.6827379880000004</v>
      </c>
      <c r="DP3" s="3">
        <f t="shared" ref="DP3:DP6" si="5">AVERAGE(DM3,DO3)</f>
        <v>6.5667277815000009</v>
      </c>
      <c r="DQ3" s="24">
        <f t="shared" ref="DQ3:DT6" si="6">DM3-DI3</f>
        <v>5.2339498510000002</v>
      </c>
      <c r="DR3" s="24">
        <f t="shared" si="6"/>
        <v>3.5795298770000006</v>
      </c>
      <c r="DS3" s="240">
        <f t="shared" si="6"/>
        <v>1.3722223350000005</v>
      </c>
      <c r="DT3" s="103">
        <f t="shared" si="6"/>
        <v>3.303086093000001</v>
      </c>
      <c r="DU3" s="295" t="s">
        <v>524</v>
      </c>
      <c r="DV3" s="18">
        <v>8.4756659750000001</v>
      </c>
      <c r="DW3" s="18">
        <v>6.2187548550000002</v>
      </c>
      <c r="DX3" s="18">
        <v>6.7217666649999996</v>
      </c>
      <c r="DY3" s="3">
        <f t="shared" ref="DY3:DY6" si="7">AVERAGE(DV3,DX3)</f>
        <v>7.5987163199999994</v>
      </c>
      <c r="DZ3" s="18">
        <v>5.8717347899999996</v>
      </c>
      <c r="EA3" s="18">
        <v>5.3498013479999997</v>
      </c>
      <c r="EB3" s="18">
        <v>4.1786548100000003</v>
      </c>
      <c r="EC3" s="3">
        <f t="shared" ref="EC3:EC6" si="8">AVERAGE(DZ3,EB3)</f>
        <v>5.0251947999999995</v>
      </c>
      <c r="ED3" s="24">
        <f t="shared" ref="ED3:EG6" si="9">DZ3-DV3</f>
        <v>-2.6039311850000004</v>
      </c>
      <c r="EE3" s="24">
        <f t="shared" si="9"/>
        <v>-0.86895350700000051</v>
      </c>
      <c r="EF3" s="240">
        <f t="shared" si="9"/>
        <v>-2.5431118549999994</v>
      </c>
      <c r="EG3" s="188">
        <f t="shared" si="9"/>
        <v>-2.5735215199999999</v>
      </c>
      <c r="EH3" s="295" t="s">
        <v>524</v>
      </c>
      <c r="EI3" t="s">
        <v>466</v>
      </c>
      <c r="EJ3">
        <v>32.559413042826897</v>
      </c>
      <c r="EK3" t="s">
        <v>467</v>
      </c>
      <c r="EL3">
        <v>48.414092869684701</v>
      </c>
      <c r="EM3" s="3">
        <f>AVERAGE(EJ3,EL3)</f>
        <v>40.486752956255799</v>
      </c>
      <c r="EN3">
        <v>0</v>
      </c>
      <c r="EO3">
        <v>9</v>
      </c>
      <c r="EP3">
        <v>9</v>
      </c>
      <c r="EQ3">
        <v>0</v>
      </c>
      <c r="ER3">
        <v>1</v>
      </c>
      <c r="ES3">
        <v>0</v>
      </c>
      <c r="ET3">
        <v>19</v>
      </c>
      <c r="EU3" s="220">
        <v>-1.6873948219999999</v>
      </c>
      <c r="EV3">
        <v>-20.550620935191617</v>
      </c>
      <c r="EW3" s="309">
        <v>1</v>
      </c>
      <c r="EX3" s="101">
        <v>58</v>
      </c>
      <c r="EY3" s="18">
        <v>24</v>
      </c>
      <c r="FA3" s="18">
        <v>-3.999999910592E-3</v>
      </c>
      <c r="FB3" s="18">
        <v>-6.6666665176533342E-3</v>
      </c>
      <c r="FC3" s="18">
        <v>2.6666667933273335E-2</v>
      </c>
      <c r="FD3" s="18">
        <v>3.6666665226346672E-2</v>
      </c>
      <c r="FE3" s="18">
        <v>6.9999998435520003E-2</v>
      </c>
      <c r="FF3" s="18">
        <v>-5.7142855865600006E-3</v>
      </c>
      <c r="FG3" s="18">
        <v>-3.3333332588266671E-3</v>
      </c>
      <c r="FH3" s="18">
        <v>7.0000001539646653E-2</v>
      </c>
      <c r="FI3" s="18">
        <v>0.98666667938233321</v>
      </c>
      <c r="FJ3" s="18">
        <v>0.27333332784493997</v>
      </c>
      <c r="FK3" s="18">
        <v>-6.6666665176533342E-3</v>
      </c>
      <c r="FL3" s="5">
        <v>0</v>
      </c>
      <c r="FM3" s="5">
        <v>1</v>
      </c>
      <c r="FN3" s="5">
        <v>6</v>
      </c>
      <c r="FO3" s="249">
        <v>0</v>
      </c>
      <c r="FP3" s="250">
        <v>0</v>
      </c>
      <c r="FQ3" s="251">
        <v>3.333333445092667E-2</v>
      </c>
      <c r="FR3" s="252">
        <v>4.3333331744000003E-2</v>
      </c>
      <c r="FS3" s="160">
        <v>7.9999998212000004E-2</v>
      </c>
      <c r="FT3" s="253">
        <v>0</v>
      </c>
      <c r="FU3" s="254">
        <v>0</v>
      </c>
      <c r="FV3" s="255">
        <v>7.6666668057299991E-2</v>
      </c>
      <c r="FW3" s="256">
        <v>0.98666667938233321</v>
      </c>
      <c r="FX3" s="257">
        <v>0.27666666110376664</v>
      </c>
      <c r="FY3" s="258">
        <v>0</v>
      </c>
      <c r="FZ3" s="220">
        <v>-1.6873948219999999</v>
      </c>
      <c r="GA3">
        <v>0</v>
      </c>
      <c r="GB3">
        <v>9</v>
      </c>
      <c r="GC3">
        <v>9</v>
      </c>
      <c r="GD3">
        <v>0</v>
      </c>
      <c r="GE3">
        <v>1</v>
      </c>
      <c r="GF3">
        <v>0</v>
      </c>
      <c r="GG3">
        <v>19</v>
      </c>
      <c r="GH3" s="144">
        <v>0</v>
      </c>
    </row>
    <row r="4" spans="1:190" ht="16" x14ac:dyDescent="0.2">
      <c r="A4" s="3" t="s">
        <v>1</v>
      </c>
      <c r="B4" s="5">
        <v>0</v>
      </c>
      <c r="C4" s="5">
        <v>1</v>
      </c>
      <c r="D4" s="5">
        <v>33</v>
      </c>
      <c r="E4" s="5">
        <v>42</v>
      </c>
      <c r="F4" s="5">
        <v>56</v>
      </c>
      <c r="G4" s="5">
        <v>30</v>
      </c>
      <c r="H4" s="5">
        <v>184</v>
      </c>
      <c r="I4" s="5">
        <v>16</v>
      </c>
      <c r="J4" s="5">
        <v>130</v>
      </c>
      <c r="K4" s="5">
        <v>124</v>
      </c>
      <c r="L4" s="5">
        <v>125</v>
      </c>
      <c r="M4" s="5">
        <v>86</v>
      </c>
      <c r="N4" s="5">
        <v>123</v>
      </c>
      <c r="O4" s="5">
        <v>9.5</v>
      </c>
      <c r="P4" s="5">
        <v>2</v>
      </c>
      <c r="Q4" s="5">
        <v>2</v>
      </c>
      <c r="R4" s="5">
        <v>-1</v>
      </c>
      <c r="S4" s="5">
        <v>8</v>
      </c>
      <c r="T4">
        <v>8</v>
      </c>
      <c r="U4" s="5">
        <v>1</v>
      </c>
      <c r="V4" s="5">
        <v>5</v>
      </c>
      <c r="W4" s="5">
        <v>4</v>
      </c>
      <c r="X4" s="5">
        <v>-5</v>
      </c>
      <c r="Y4" s="5">
        <v>-2</v>
      </c>
      <c r="Z4" s="92">
        <v>2.0308752631578979E-2</v>
      </c>
      <c r="AA4" s="88">
        <v>11.5</v>
      </c>
      <c r="AB4" s="68"/>
      <c r="AC4" s="5"/>
      <c r="AD4" s="5"/>
      <c r="AE4" s="80"/>
      <c r="AF4" s="179"/>
      <c r="AG4" s="154"/>
      <c r="AH4" s="154"/>
      <c r="AI4" s="154"/>
      <c r="AJ4" s="68"/>
      <c r="AK4" s="5"/>
      <c r="AL4" s="5"/>
      <c r="AM4" s="80"/>
      <c r="AN4" s="127">
        <v>77</v>
      </c>
      <c r="AO4" s="79">
        <v>82</v>
      </c>
      <c r="AP4" s="79">
        <v>81</v>
      </c>
      <c r="AQ4" s="128">
        <v>80</v>
      </c>
      <c r="AR4" s="127">
        <v>78</v>
      </c>
      <c r="AS4" s="79">
        <v>76</v>
      </c>
      <c r="AT4" s="79">
        <v>97</v>
      </c>
      <c r="AU4" s="128">
        <v>84</v>
      </c>
      <c r="AV4" s="179">
        <f t="shared" ref="AV4:AV22" si="10">AR4-AN4</f>
        <v>1</v>
      </c>
      <c r="AW4" s="154">
        <f t="shared" ref="AW4:AW22" si="11">AS4-AO4</f>
        <v>-6</v>
      </c>
      <c r="AX4" s="154">
        <f t="shared" ref="AX4:AX22" si="12">AT4-AP4</f>
        <v>16</v>
      </c>
      <c r="AY4" s="185">
        <f t="shared" ref="AY4:AY22" si="13">AU4-AQ4</f>
        <v>4</v>
      </c>
      <c r="AZ4" s="9"/>
      <c r="BA4" s="77"/>
      <c r="BC4" s="77"/>
      <c r="BD4" s="154">
        <v>0.9</v>
      </c>
      <c r="BE4" s="144">
        <v>0.93</v>
      </c>
      <c r="BF4" s="5">
        <v>2</v>
      </c>
      <c r="BG4" s="5">
        <v>2</v>
      </c>
      <c r="BK4" t="s">
        <v>1</v>
      </c>
      <c r="BL4">
        <v>3</v>
      </c>
      <c r="BM4">
        <v>3</v>
      </c>
      <c r="BN4">
        <v>4</v>
      </c>
      <c r="BO4">
        <v>11</v>
      </c>
      <c r="BP4">
        <v>18</v>
      </c>
      <c r="BQ4" t="s">
        <v>468</v>
      </c>
      <c r="BR4">
        <v>-3.7291102489853598E-27</v>
      </c>
      <c r="BS4" t="s">
        <v>469</v>
      </c>
      <c r="BT4">
        <v>-1.2543391486447901E-27</v>
      </c>
      <c r="BU4" s="18">
        <f t="shared" ref="BU4:BU22" si="14">AVERAGE(BR4,BT4)</f>
        <v>-2.4917246988150751E-27</v>
      </c>
      <c r="BV4" s="18"/>
      <c r="BW4">
        <v>0.2</v>
      </c>
      <c r="BX4">
        <v>0</v>
      </c>
      <c r="BY4" s="18">
        <f t="shared" ref="BY4:BY22" si="15">BW4-BX4</f>
        <v>0.2</v>
      </c>
      <c r="BZ4" s="3">
        <v>0.40600000000000003</v>
      </c>
      <c r="CA4">
        <v>0.22666666666666666</v>
      </c>
      <c r="CB4">
        <v>0.41333333333333327</v>
      </c>
      <c r="CC4">
        <v>0.37666666666666665</v>
      </c>
      <c r="CD4">
        <v>0.48333333333333339</v>
      </c>
      <c r="CE4">
        <v>0.20142857142857146</v>
      </c>
      <c r="CF4">
        <v>3.8333333333333337E-2</v>
      </c>
      <c r="CG4">
        <v>0.62</v>
      </c>
      <c r="CH4">
        <v>0.55000000000000004</v>
      </c>
      <c r="CI4">
        <v>0.69</v>
      </c>
      <c r="CJ4">
        <v>0.34</v>
      </c>
      <c r="CK4" s="296" t="s">
        <v>525</v>
      </c>
      <c r="CL4" s="18">
        <v>1.938641179</v>
      </c>
      <c r="CM4" s="18">
        <v>-3.3545457519999999</v>
      </c>
      <c r="CN4" s="18">
        <v>-0.50193669340000002</v>
      </c>
      <c r="CO4" s="18">
        <v>-0.4775746817</v>
      </c>
      <c r="CP4" s="18">
        <v>-0.61372735020000002</v>
      </c>
      <c r="CQ4" s="18">
        <v>-0.94251040259999996</v>
      </c>
      <c r="CR4" s="18">
        <v>-0.40027858490000001</v>
      </c>
      <c r="CS4" s="18">
        <v>-0.28224115220000001</v>
      </c>
      <c r="CT4" s="18">
        <v>-0.4757869656</v>
      </c>
      <c r="CU4" s="296" t="s">
        <v>525</v>
      </c>
      <c r="CV4" s="18">
        <v>20.75369152</v>
      </c>
      <c r="CW4" s="18">
        <v>17.75832548</v>
      </c>
      <c r="CX4" s="18">
        <v>19.371486659999999</v>
      </c>
      <c r="CY4" s="292">
        <f t="shared" si="1"/>
        <v>20.062589089999999</v>
      </c>
      <c r="CZ4" s="18">
        <v>11.738881040000001</v>
      </c>
      <c r="DA4" s="18">
        <v>16.0000347</v>
      </c>
      <c r="DB4" s="18">
        <v>15.37234582</v>
      </c>
      <c r="DC4" s="292">
        <f t="shared" si="2"/>
        <v>13.555613430000001</v>
      </c>
      <c r="DD4" s="24">
        <f t="shared" si="3"/>
        <v>-9.0148104799999995</v>
      </c>
      <c r="DE4" s="24">
        <f t="shared" si="3"/>
        <v>-1.7582907799999994</v>
      </c>
      <c r="DF4" s="294">
        <f t="shared" si="3"/>
        <v>-3.999140839999999</v>
      </c>
      <c r="DG4" s="294">
        <f t="shared" si="3"/>
        <v>-6.5069756599999984</v>
      </c>
      <c r="DH4" s="297" t="s">
        <v>525</v>
      </c>
      <c r="DI4" s="18">
        <v>6.1432718570000002</v>
      </c>
      <c r="DJ4" s="18">
        <v>5.3621252620000002</v>
      </c>
      <c r="DK4" s="18">
        <v>5.1739891770000002</v>
      </c>
      <c r="DL4" s="3">
        <f t="shared" si="4"/>
        <v>5.6586305170000006</v>
      </c>
      <c r="DM4" s="18">
        <v>7.8486701649999997</v>
      </c>
      <c r="DN4" s="18">
        <v>8.9043115910000008</v>
      </c>
      <c r="DO4" s="18">
        <v>5.8278123370000001</v>
      </c>
      <c r="DP4" s="3">
        <f t="shared" si="5"/>
        <v>6.8382412509999995</v>
      </c>
      <c r="DQ4" s="24">
        <f t="shared" si="6"/>
        <v>1.7053983079999995</v>
      </c>
      <c r="DR4" s="24">
        <f t="shared" si="6"/>
        <v>3.5421863290000006</v>
      </c>
      <c r="DS4" s="24">
        <f t="shared" si="6"/>
        <v>0.65382315999999996</v>
      </c>
      <c r="DT4" s="188">
        <f t="shared" si="6"/>
        <v>1.1796107339999988</v>
      </c>
      <c r="DU4" s="297" t="s">
        <v>525</v>
      </c>
      <c r="DV4" s="18">
        <v>64.634064850000001</v>
      </c>
      <c r="DW4" s="18">
        <v>46.703520709999999</v>
      </c>
      <c r="DX4" s="18">
        <v>26.04815249</v>
      </c>
      <c r="DY4" s="3">
        <f t="shared" si="7"/>
        <v>45.341108669999997</v>
      </c>
      <c r="DZ4" s="18">
        <v>8.3695108220000005</v>
      </c>
      <c r="EA4" s="18">
        <v>16.34055597</v>
      </c>
      <c r="EB4" s="18">
        <v>11.37597933</v>
      </c>
      <c r="EC4" s="3">
        <f t="shared" si="8"/>
        <v>9.8727450760000011</v>
      </c>
      <c r="ED4" s="24">
        <f t="shared" si="9"/>
        <v>-56.264554027999999</v>
      </c>
      <c r="EE4" s="24">
        <f t="shared" si="9"/>
        <v>-30.362964739999999</v>
      </c>
      <c r="EF4" s="24">
        <f t="shared" si="9"/>
        <v>-14.67217316</v>
      </c>
      <c r="EG4" s="188">
        <f t="shared" si="9"/>
        <v>-35.468363593999996</v>
      </c>
      <c r="EH4" s="297" t="s">
        <v>525</v>
      </c>
      <c r="EI4" t="s">
        <v>468</v>
      </c>
      <c r="EJ4">
        <v>23.7523116447136</v>
      </c>
      <c r="EK4" t="s">
        <v>469</v>
      </c>
      <c r="EL4">
        <v>41.329914651808799</v>
      </c>
      <c r="EM4" s="3">
        <f t="shared" ref="EM4:EM22" si="16">AVERAGE(EJ4,EL4)</f>
        <v>32.541113148261203</v>
      </c>
      <c r="EN4">
        <v>6</v>
      </c>
      <c r="EO4">
        <v>14</v>
      </c>
      <c r="EP4">
        <v>5</v>
      </c>
      <c r="EQ4">
        <v>-1</v>
      </c>
      <c r="ER4">
        <v>4</v>
      </c>
      <c r="ES4">
        <v>1</v>
      </c>
      <c r="ET4">
        <v>29</v>
      </c>
      <c r="EU4" s="5">
        <v>-3.3545457519999999</v>
      </c>
      <c r="EV4">
        <v>-33.589345025527166</v>
      </c>
      <c r="EW4" s="310">
        <v>2</v>
      </c>
      <c r="EX4" s="5">
        <v>42</v>
      </c>
      <c r="EY4" s="18">
        <v>30</v>
      </c>
      <c r="FA4" s="18">
        <v>0.40600000000000003</v>
      </c>
      <c r="FB4" s="18">
        <v>0.22666666666666666</v>
      </c>
      <c r="FC4" s="18">
        <v>0.41333333333333327</v>
      </c>
      <c r="FD4" s="18">
        <v>0.37666666666666665</v>
      </c>
      <c r="FE4" s="18">
        <v>0.48333333333333339</v>
      </c>
      <c r="FF4" s="18">
        <v>0.20142857142857146</v>
      </c>
      <c r="FG4" s="18">
        <v>3.8333333333333337E-2</v>
      </c>
      <c r="FH4" s="18">
        <v>0.62</v>
      </c>
      <c r="FI4" s="18">
        <v>0.55000000000000004</v>
      </c>
      <c r="FJ4" s="18">
        <v>0.69</v>
      </c>
      <c r="FK4" s="18">
        <v>0.34</v>
      </c>
      <c r="FL4" s="5">
        <v>2</v>
      </c>
      <c r="FM4" s="5">
        <v>1</v>
      </c>
      <c r="FN4" s="5">
        <v>-2</v>
      </c>
      <c r="FO4" s="259">
        <v>0.40600000000000003</v>
      </c>
      <c r="FP4" s="72">
        <v>0.22666666666666666</v>
      </c>
      <c r="FQ4" s="260">
        <v>0.41333333333333327</v>
      </c>
      <c r="FR4" s="261">
        <v>0.37666666666666665</v>
      </c>
      <c r="FS4" s="154">
        <v>0.48333333333333339</v>
      </c>
      <c r="FT4" s="262">
        <v>0.20142857142857146</v>
      </c>
      <c r="FU4" s="263">
        <v>3.8333333333333337E-2</v>
      </c>
      <c r="FV4" s="264">
        <v>0.62</v>
      </c>
      <c r="FW4" s="265">
        <v>0.55000000000000004</v>
      </c>
      <c r="FX4" s="266">
        <v>0.69</v>
      </c>
      <c r="FY4" s="267">
        <v>0.34</v>
      </c>
      <c r="FZ4" s="5">
        <v>-3.3545457519999999</v>
      </c>
      <c r="GA4">
        <v>6</v>
      </c>
      <c r="GB4">
        <v>14</v>
      </c>
      <c r="GC4">
        <v>5</v>
      </c>
      <c r="GD4">
        <v>-1</v>
      </c>
      <c r="GE4">
        <v>4</v>
      </c>
      <c r="GF4">
        <v>1</v>
      </c>
      <c r="GG4">
        <v>29</v>
      </c>
      <c r="GH4" s="144">
        <v>0.93</v>
      </c>
    </row>
    <row r="5" spans="1:190" ht="16" x14ac:dyDescent="0.2">
      <c r="A5" s="3" t="s">
        <v>2</v>
      </c>
      <c r="B5" s="5">
        <v>0</v>
      </c>
      <c r="C5" s="5">
        <v>0</v>
      </c>
      <c r="D5" s="5">
        <v>35</v>
      </c>
      <c r="E5" s="5">
        <v>71</v>
      </c>
      <c r="F5" s="5">
        <v>52</v>
      </c>
      <c r="G5" s="5">
        <v>28</v>
      </c>
      <c r="H5" s="5">
        <v>170</v>
      </c>
      <c r="I5" s="5">
        <v>18</v>
      </c>
      <c r="J5" s="5">
        <v>114</v>
      </c>
      <c r="K5" s="5">
        <v>117</v>
      </c>
      <c r="L5" s="5">
        <v>123</v>
      </c>
      <c r="M5" s="5">
        <v>88</v>
      </c>
      <c r="N5" s="5">
        <v>136</v>
      </c>
      <c r="O5" s="5">
        <v>0</v>
      </c>
      <c r="P5" s="5">
        <v>-8</v>
      </c>
      <c r="Q5" s="5">
        <v>5</v>
      </c>
      <c r="R5" s="5">
        <v>-2</v>
      </c>
      <c r="S5" s="5">
        <v>12</v>
      </c>
      <c r="T5">
        <v>7</v>
      </c>
      <c r="U5" s="5">
        <v>2</v>
      </c>
      <c r="V5" s="5">
        <v>3</v>
      </c>
      <c r="W5" s="5">
        <v>-2</v>
      </c>
      <c r="X5" s="5">
        <v>1</v>
      </c>
      <c r="Y5" s="5">
        <v>8</v>
      </c>
      <c r="Z5" s="92">
        <v>-4.4648047368420998E-2</v>
      </c>
      <c r="AA5" s="88">
        <v>10.5</v>
      </c>
      <c r="AB5" s="68">
        <v>84</v>
      </c>
      <c r="AC5" s="5">
        <v>84</v>
      </c>
      <c r="AD5" s="5">
        <v>88</v>
      </c>
      <c r="AE5" s="80">
        <v>85</v>
      </c>
      <c r="AF5" s="179">
        <v>-6</v>
      </c>
      <c r="AG5" s="154">
        <v>-2</v>
      </c>
      <c r="AH5" s="154">
        <v>13</v>
      </c>
      <c r="AI5" s="154">
        <v>2</v>
      </c>
      <c r="AJ5" s="68">
        <v>78</v>
      </c>
      <c r="AK5" s="5">
        <v>82</v>
      </c>
      <c r="AL5" s="5">
        <v>101</v>
      </c>
      <c r="AM5" s="80">
        <v>87</v>
      </c>
      <c r="AN5" s="68">
        <v>84</v>
      </c>
      <c r="AO5" s="5">
        <v>84</v>
      </c>
      <c r="AP5" s="5">
        <v>88</v>
      </c>
      <c r="AQ5" s="80">
        <v>85</v>
      </c>
      <c r="AR5" s="68">
        <v>78</v>
      </c>
      <c r="AS5" s="5">
        <v>82</v>
      </c>
      <c r="AT5" s="5">
        <v>101</v>
      </c>
      <c r="AU5" s="80">
        <v>87</v>
      </c>
      <c r="AV5" s="179">
        <f t="shared" si="10"/>
        <v>-6</v>
      </c>
      <c r="AW5" s="154">
        <f t="shared" si="11"/>
        <v>-2</v>
      </c>
      <c r="AX5" s="154">
        <f t="shared" si="12"/>
        <v>13</v>
      </c>
      <c r="AY5" s="185">
        <f t="shared" si="13"/>
        <v>2</v>
      </c>
      <c r="AZ5" s="9">
        <v>1.0476190476190477</v>
      </c>
      <c r="BA5" s="77">
        <v>-0.24725274725274726</v>
      </c>
      <c r="BB5">
        <v>1</v>
      </c>
      <c r="BC5" s="77">
        <v>-5.1282051282051322E-2</v>
      </c>
      <c r="BD5" s="154">
        <v>0.28999999999999998</v>
      </c>
      <c r="BE5" s="144">
        <v>0.05</v>
      </c>
      <c r="BF5" s="5">
        <v>5</v>
      </c>
      <c r="BG5" s="5">
        <v>-8</v>
      </c>
      <c r="BK5" t="s">
        <v>2</v>
      </c>
      <c r="BL5">
        <v>1</v>
      </c>
      <c r="BM5">
        <v>-6</v>
      </c>
      <c r="BN5">
        <v>1</v>
      </c>
      <c r="BO5">
        <v>2</v>
      </c>
      <c r="BP5">
        <v>-3</v>
      </c>
      <c r="BQ5" t="s">
        <v>470</v>
      </c>
      <c r="BR5">
        <v>-6.1412823500982302E-27</v>
      </c>
      <c r="BS5" t="s">
        <v>471</v>
      </c>
      <c r="BT5">
        <v>-3.4822260312127097E-27</v>
      </c>
      <c r="BU5" s="18">
        <f t="shared" si="14"/>
        <v>-4.8117541906554696E-27</v>
      </c>
      <c r="BV5" s="18"/>
      <c r="BW5">
        <v>0.17</v>
      </c>
      <c r="BX5">
        <v>0</v>
      </c>
      <c r="BY5" s="18">
        <f t="shared" si="15"/>
        <v>0.17</v>
      </c>
      <c r="BZ5" s="3">
        <v>0.04</v>
      </c>
      <c r="CA5">
        <v>0.20000000000000004</v>
      </c>
      <c r="CB5">
        <v>0.14666666666666667</v>
      </c>
      <c r="CC5">
        <v>0.28666666666666668</v>
      </c>
      <c r="CD5">
        <v>3.3333333333333335E-3</v>
      </c>
      <c r="CE5">
        <v>0.19285714285714287</v>
      </c>
      <c r="CF5">
        <v>6.6666666666666666E-2</v>
      </c>
      <c r="CG5">
        <v>0.06</v>
      </c>
      <c r="CH5">
        <v>0.21</v>
      </c>
      <c r="CI5">
        <v>0.20666666666666667</v>
      </c>
      <c r="CJ5">
        <v>0.20333333333333334</v>
      </c>
      <c r="CK5" s="285" t="s">
        <v>526</v>
      </c>
      <c r="CL5" s="18">
        <v>0.4313899839</v>
      </c>
      <c r="CM5" s="18">
        <v>-1.120985176</v>
      </c>
      <c r="CN5" s="18">
        <v>-4.5924071019999999E-2</v>
      </c>
      <c r="CO5" s="18">
        <v>-0.2444994929</v>
      </c>
      <c r="CP5" s="18">
        <v>-0.1093722201</v>
      </c>
      <c r="CQ5" s="18">
        <v>-0.50504371520000002</v>
      </c>
      <c r="CR5" s="18">
        <v>-0.30585200699999998</v>
      </c>
      <c r="CS5" s="18">
        <v>2.7928874409999999E-2</v>
      </c>
      <c r="CT5" s="18">
        <v>-0.963833732</v>
      </c>
      <c r="CU5" s="285" t="s">
        <v>526</v>
      </c>
      <c r="CV5" s="18">
        <v>12.331647090000001</v>
      </c>
      <c r="CW5" s="18">
        <v>16.485987959999999</v>
      </c>
      <c r="CX5" s="18">
        <v>15.418580220000001</v>
      </c>
      <c r="CY5" s="292">
        <f t="shared" si="1"/>
        <v>13.875113655</v>
      </c>
      <c r="CZ5" s="18">
        <v>12.07559809</v>
      </c>
      <c r="DA5" s="18">
        <v>9.6643293490000008</v>
      </c>
      <c r="DB5" s="18">
        <v>9.5368939820000005</v>
      </c>
      <c r="DC5" s="292">
        <f t="shared" si="2"/>
        <v>10.806246036000001</v>
      </c>
      <c r="DD5" s="24">
        <f t="shared" si="3"/>
        <v>-0.25604900000000086</v>
      </c>
      <c r="DE5" s="298">
        <f t="shared" si="3"/>
        <v>-6.8216586109999984</v>
      </c>
      <c r="DF5" s="294">
        <f t="shared" si="3"/>
        <v>-5.8816862380000003</v>
      </c>
      <c r="DG5" s="294">
        <f t="shared" si="3"/>
        <v>-3.0688676189999988</v>
      </c>
      <c r="DH5" s="295" t="s">
        <v>526</v>
      </c>
      <c r="DI5" s="18">
        <v>3.1394762360000001</v>
      </c>
      <c r="DJ5" s="18">
        <v>3.988665433</v>
      </c>
      <c r="DK5" s="18">
        <v>2.278184392</v>
      </c>
      <c r="DL5" s="3">
        <f t="shared" si="4"/>
        <v>2.7088303140000001</v>
      </c>
      <c r="DM5" s="18">
        <v>3.0736597909999999</v>
      </c>
      <c r="DN5" s="18">
        <v>2.8060170000000002</v>
      </c>
      <c r="DO5" s="18">
        <v>2.7645080370000001</v>
      </c>
      <c r="DP5" s="3">
        <f t="shared" si="5"/>
        <v>2.9190839139999998</v>
      </c>
      <c r="DQ5" s="24">
        <f t="shared" si="6"/>
        <v>-6.5816445000000279E-2</v>
      </c>
      <c r="DR5" s="298">
        <f t="shared" si="6"/>
        <v>-1.1826484329999998</v>
      </c>
      <c r="DS5" s="24">
        <f t="shared" si="6"/>
        <v>0.48632364500000014</v>
      </c>
      <c r="DT5" s="188">
        <f t="shared" si="6"/>
        <v>0.21025359999999971</v>
      </c>
      <c r="DU5" s="295" t="s">
        <v>526</v>
      </c>
      <c r="DV5" s="18">
        <v>6.8701599609999997</v>
      </c>
      <c r="DW5" s="18">
        <v>9.3276164819999998</v>
      </c>
      <c r="DX5" s="18">
        <v>8.9684953200000006</v>
      </c>
      <c r="DY5" s="3">
        <f t="shared" si="7"/>
        <v>7.9193276405000006</v>
      </c>
      <c r="DZ5" s="18">
        <v>3.9544541400000002</v>
      </c>
      <c r="EA5" s="18">
        <v>3.4706129030000001</v>
      </c>
      <c r="EB5" s="18">
        <v>4.2902614579999998</v>
      </c>
      <c r="EC5" s="3">
        <f t="shared" si="8"/>
        <v>4.1223577989999995</v>
      </c>
      <c r="ED5" s="24">
        <f t="shared" si="9"/>
        <v>-2.9157058209999995</v>
      </c>
      <c r="EE5" s="298">
        <f t="shared" si="9"/>
        <v>-5.8570035789999997</v>
      </c>
      <c r="EF5" s="24">
        <f t="shared" si="9"/>
        <v>-4.6782338620000008</v>
      </c>
      <c r="EG5" s="188">
        <f t="shared" si="9"/>
        <v>-3.7969698415000011</v>
      </c>
      <c r="EH5" s="295" t="s">
        <v>526</v>
      </c>
      <c r="EI5" t="s">
        <v>470</v>
      </c>
      <c r="EJ5">
        <v>41.131008326019803</v>
      </c>
      <c r="EK5" t="s">
        <v>471</v>
      </c>
      <c r="EL5">
        <v>57.688898765607199</v>
      </c>
      <c r="EM5" s="3">
        <f t="shared" si="16"/>
        <v>49.409953545813501</v>
      </c>
      <c r="EN5">
        <v>3</v>
      </c>
      <c r="EO5">
        <v>8</v>
      </c>
      <c r="EP5">
        <v>15</v>
      </c>
      <c r="EQ5">
        <v>0</v>
      </c>
      <c r="ER5">
        <v>6</v>
      </c>
      <c r="ES5">
        <v>5</v>
      </c>
      <c r="ET5">
        <v>37</v>
      </c>
      <c r="EU5" s="5">
        <v>-1.120985176</v>
      </c>
      <c r="EV5">
        <v>-3.9522998032431778</v>
      </c>
      <c r="EW5" s="310">
        <v>3</v>
      </c>
      <c r="EX5" s="5">
        <v>71</v>
      </c>
      <c r="EY5" s="18">
        <v>28</v>
      </c>
      <c r="FA5" s="18">
        <v>0.04</v>
      </c>
      <c r="FB5" s="18">
        <v>0.20000000000000004</v>
      </c>
      <c r="FC5" s="18">
        <v>0.14666666666666667</v>
      </c>
      <c r="FD5" s="18">
        <v>0.28666666666666668</v>
      </c>
      <c r="FE5" s="18">
        <v>3.3333333333333335E-3</v>
      </c>
      <c r="FF5" s="18">
        <v>0.19285714285714287</v>
      </c>
      <c r="FG5" s="18">
        <v>6.6666666666666666E-2</v>
      </c>
      <c r="FH5" s="18">
        <v>0.06</v>
      </c>
      <c r="FI5" s="18">
        <v>0.21</v>
      </c>
      <c r="FJ5" s="18">
        <v>0.20666666666666667</v>
      </c>
      <c r="FK5" s="18">
        <v>0.20333333333333334</v>
      </c>
      <c r="FL5" s="5">
        <v>5</v>
      </c>
      <c r="FM5" s="5">
        <v>2</v>
      </c>
      <c r="FN5" s="5">
        <v>8</v>
      </c>
      <c r="FO5" s="259">
        <v>0.04</v>
      </c>
      <c r="FP5" s="72">
        <v>0.20000000000000004</v>
      </c>
      <c r="FQ5" s="260">
        <v>0.14666666666666667</v>
      </c>
      <c r="FR5" s="261">
        <v>0.28666666666666668</v>
      </c>
      <c r="FS5" s="154">
        <v>3.3333333333333335E-3</v>
      </c>
      <c r="FT5" s="262">
        <v>0.19285714285714287</v>
      </c>
      <c r="FU5" s="263">
        <v>6.6666666666666666E-2</v>
      </c>
      <c r="FV5" s="264">
        <v>0.06</v>
      </c>
      <c r="FW5" s="265">
        <v>0.21</v>
      </c>
      <c r="FX5" s="266">
        <v>0.20666666666666667</v>
      </c>
      <c r="FY5" s="267">
        <v>0.20333333333333334</v>
      </c>
      <c r="FZ5" s="5">
        <v>-1.120985176</v>
      </c>
      <c r="GA5">
        <v>3</v>
      </c>
      <c r="GB5">
        <v>8</v>
      </c>
      <c r="GC5">
        <v>15</v>
      </c>
      <c r="GD5">
        <v>0</v>
      </c>
      <c r="GE5">
        <v>6</v>
      </c>
      <c r="GF5">
        <v>5</v>
      </c>
      <c r="GG5">
        <v>37</v>
      </c>
      <c r="GH5" s="144">
        <v>0.05</v>
      </c>
    </row>
    <row r="6" spans="1:190" ht="16" x14ac:dyDescent="0.2">
      <c r="A6" s="3" t="s">
        <v>3</v>
      </c>
      <c r="B6" s="79" t="s">
        <v>275</v>
      </c>
      <c r="C6" s="5">
        <v>7</v>
      </c>
      <c r="D6" s="5">
        <v>35</v>
      </c>
      <c r="E6" s="5">
        <v>79</v>
      </c>
      <c r="F6" s="5">
        <v>56</v>
      </c>
      <c r="G6" s="5">
        <v>39</v>
      </c>
      <c r="H6" s="5">
        <v>164</v>
      </c>
      <c r="I6" s="5">
        <v>23</v>
      </c>
      <c r="J6" s="5">
        <v>144</v>
      </c>
      <c r="K6" s="5">
        <v>81</v>
      </c>
      <c r="L6" s="5">
        <v>148</v>
      </c>
      <c r="M6" s="5">
        <v>84</v>
      </c>
      <c r="N6" s="5">
        <v>147</v>
      </c>
      <c r="O6" s="5">
        <v>1</v>
      </c>
      <c r="P6" s="5">
        <v>-13</v>
      </c>
      <c r="Q6" s="5">
        <v>-4</v>
      </c>
      <c r="R6" s="5">
        <v>-14</v>
      </c>
      <c r="S6" s="5">
        <v>12</v>
      </c>
      <c r="T6">
        <v>7</v>
      </c>
      <c r="U6" s="5">
        <v>14</v>
      </c>
      <c r="V6" s="5">
        <v>-5</v>
      </c>
      <c r="W6" s="5">
        <v>-1</v>
      </c>
      <c r="X6" s="5">
        <v>-2</v>
      </c>
      <c r="Y6" s="5">
        <v>13</v>
      </c>
      <c r="Z6" s="92">
        <v>-4.9376097368420996E-2</v>
      </c>
      <c r="AA6" s="88">
        <v>13</v>
      </c>
      <c r="AB6" s="68">
        <v>88</v>
      </c>
      <c r="AC6" s="5">
        <v>80</v>
      </c>
      <c r="AD6" s="5">
        <v>108</v>
      </c>
      <c r="AE6" s="80">
        <v>92</v>
      </c>
      <c r="AF6" s="179">
        <v>23</v>
      </c>
      <c r="AG6" s="154">
        <v>18</v>
      </c>
      <c r="AH6" s="154">
        <v>20</v>
      </c>
      <c r="AI6" s="154">
        <v>20</v>
      </c>
      <c r="AJ6" s="68">
        <v>111</v>
      </c>
      <c r="AK6" s="5">
        <v>98</v>
      </c>
      <c r="AL6" s="5">
        <v>128</v>
      </c>
      <c r="AM6" s="80">
        <v>112</v>
      </c>
      <c r="AN6" s="68">
        <v>88</v>
      </c>
      <c r="AO6" s="5">
        <v>80</v>
      </c>
      <c r="AP6" s="5">
        <v>108</v>
      </c>
      <c r="AQ6" s="80">
        <v>92</v>
      </c>
      <c r="AR6" s="68">
        <v>111</v>
      </c>
      <c r="AS6" s="5">
        <v>98</v>
      </c>
      <c r="AT6" s="5">
        <v>128</v>
      </c>
      <c r="AU6" s="80">
        <v>112</v>
      </c>
      <c r="AV6" s="179">
        <f t="shared" si="10"/>
        <v>23</v>
      </c>
      <c r="AW6" s="154">
        <f t="shared" si="11"/>
        <v>18</v>
      </c>
      <c r="AX6" s="154">
        <f t="shared" si="12"/>
        <v>20</v>
      </c>
      <c r="AY6" s="185">
        <f t="shared" si="13"/>
        <v>20</v>
      </c>
      <c r="AZ6" s="9">
        <v>1.2272727272727273</v>
      </c>
      <c r="BA6" s="77">
        <v>7.411957411957415E-2</v>
      </c>
      <c r="BB6">
        <v>0.90909090909090906</v>
      </c>
      <c r="BC6" s="77">
        <v>2.6208026208026203E-2</v>
      </c>
      <c r="BD6" s="154">
        <v>1</v>
      </c>
      <c r="BE6" s="144">
        <v>7.0000000298000006E-2</v>
      </c>
      <c r="BF6" s="5">
        <v>-4</v>
      </c>
      <c r="BG6" s="5">
        <v>-13</v>
      </c>
      <c r="BK6" t="s">
        <v>3</v>
      </c>
      <c r="BL6">
        <v>-2</v>
      </c>
      <c r="BM6" s="221">
        <v>-11</v>
      </c>
      <c r="BN6" s="21">
        <v>-10</v>
      </c>
      <c r="BO6">
        <v>-12</v>
      </c>
      <c r="BP6">
        <v>-33</v>
      </c>
      <c r="BQ6" t="s">
        <v>472</v>
      </c>
      <c r="BR6">
        <v>-5.7108360516078902E-27</v>
      </c>
      <c r="BS6" t="s">
        <v>473</v>
      </c>
      <c r="BT6">
        <v>-2.0839446909618498E-27</v>
      </c>
      <c r="BU6" s="18">
        <f t="shared" si="14"/>
        <v>-3.8973903712848699E-27</v>
      </c>
      <c r="BV6" s="18"/>
      <c r="BW6">
        <v>1</v>
      </c>
      <c r="BX6">
        <v>0</v>
      </c>
      <c r="BY6" s="18">
        <f t="shared" si="15"/>
        <v>1</v>
      </c>
      <c r="BZ6" s="3">
        <v>0.83600000441059996</v>
      </c>
      <c r="CA6">
        <v>0.33333333333333331</v>
      </c>
      <c r="CB6">
        <v>1</v>
      </c>
      <c r="CC6">
        <v>0.76333332061766657</v>
      </c>
      <c r="CD6">
        <v>0.99333333969100002</v>
      </c>
      <c r="CE6">
        <v>0.5714285714285714</v>
      </c>
      <c r="CF6">
        <v>0.48833332614341335</v>
      </c>
      <c r="CG6">
        <v>0.66999999992549331</v>
      </c>
      <c r="CH6">
        <v>1</v>
      </c>
      <c r="CI6">
        <v>0.85999999443700004</v>
      </c>
      <c r="CJ6">
        <v>0.5499999920526667</v>
      </c>
      <c r="CK6" s="285" t="s">
        <v>527</v>
      </c>
      <c r="CL6" s="18">
        <v>2.2356263059999999</v>
      </c>
      <c r="CM6" s="18">
        <v>-2.6255046279999998</v>
      </c>
      <c r="CN6" s="18">
        <v>-0.28727576020000001</v>
      </c>
      <c r="CO6" s="18">
        <v>-0.36684919760000001</v>
      </c>
      <c r="CP6" s="18">
        <v>-0.38237307869999998</v>
      </c>
      <c r="CQ6" s="18">
        <v>-0.89562378090000005</v>
      </c>
      <c r="CR6" s="18">
        <v>-0.47339816200000001</v>
      </c>
      <c r="CS6" s="18">
        <v>-0.26230425260000001</v>
      </c>
      <c r="CT6" s="18">
        <v>-0.58431658519999996</v>
      </c>
      <c r="CU6" s="285" t="s">
        <v>527</v>
      </c>
      <c r="CV6" s="18">
        <v>17.558430739999999</v>
      </c>
      <c r="CW6" s="18">
        <v>19.08243186</v>
      </c>
      <c r="CX6" s="18">
        <v>18.5466604</v>
      </c>
      <c r="CY6" s="292">
        <f t="shared" si="1"/>
        <v>18.052545569999999</v>
      </c>
      <c r="CZ6" s="18">
        <v>11.75108296</v>
      </c>
      <c r="DA6" s="18">
        <v>10.75994081</v>
      </c>
      <c r="DB6" s="18">
        <v>10.98358457</v>
      </c>
      <c r="DC6" s="292">
        <f t="shared" si="2"/>
        <v>11.367333765</v>
      </c>
      <c r="DD6" s="24">
        <f t="shared" si="3"/>
        <v>-5.8073477799999988</v>
      </c>
      <c r="DE6" s="24">
        <f t="shared" si="3"/>
        <v>-8.32249105</v>
      </c>
      <c r="DF6" s="294">
        <f t="shared" si="3"/>
        <v>-7.5630758300000007</v>
      </c>
      <c r="DG6" s="294">
        <f t="shared" si="3"/>
        <v>-6.6852118049999998</v>
      </c>
      <c r="DH6" s="295" t="s">
        <v>527</v>
      </c>
      <c r="DI6" s="18">
        <v>5.3392641550000004</v>
      </c>
      <c r="DJ6" s="18">
        <v>5.9541947149999999</v>
      </c>
      <c r="DK6" s="18">
        <v>6.3846938120000001</v>
      </c>
      <c r="DL6" s="3">
        <f t="shared" si="4"/>
        <v>5.8619789835000002</v>
      </c>
      <c r="DM6" s="18">
        <v>3.8848826930000002</v>
      </c>
      <c r="DN6" s="18">
        <v>3.3836650179999999</v>
      </c>
      <c r="DO6" s="18">
        <v>3.4763206229999999</v>
      </c>
      <c r="DP6" s="3">
        <f t="shared" si="5"/>
        <v>3.6806016580000001</v>
      </c>
      <c r="DQ6" s="24">
        <f t="shared" si="6"/>
        <v>-1.4543814620000002</v>
      </c>
      <c r="DR6" s="24">
        <f t="shared" si="6"/>
        <v>-2.570529697</v>
      </c>
      <c r="DS6" s="24">
        <f t="shared" si="6"/>
        <v>-2.9083731890000002</v>
      </c>
      <c r="DT6" s="188">
        <f t="shared" si="6"/>
        <v>-2.1813773255000002</v>
      </c>
      <c r="DU6" s="295" t="s">
        <v>527</v>
      </c>
      <c r="DV6" s="18">
        <v>21.64094746</v>
      </c>
      <c r="DW6" s="18">
        <v>21.95874049</v>
      </c>
      <c r="DX6" s="18">
        <v>33.50654213</v>
      </c>
      <c r="DY6" s="3">
        <f t="shared" si="7"/>
        <v>27.573744795</v>
      </c>
      <c r="DZ6" s="18">
        <v>10.90689347</v>
      </c>
      <c r="EA6" s="18">
        <v>10.28401657</v>
      </c>
      <c r="EB6" s="18">
        <v>8.4137012349999996</v>
      </c>
      <c r="EC6" s="3">
        <f t="shared" si="8"/>
        <v>9.6602973524999989</v>
      </c>
      <c r="ED6" s="24">
        <f t="shared" si="9"/>
        <v>-10.73405399</v>
      </c>
      <c r="EE6" s="24">
        <f t="shared" si="9"/>
        <v>-11.67472392</v>
      </c>
      <c r="EF6" s="24">
        <f t="shared" si="9"/>
        <v>-25.092840895000002</v>
      </c>
      <c r="EG6" s="188">
        <f t="shared" si="9"/>
        <v>-17.913447442500001</v>
      </c>
      <c r="EH6" s="295" t="s">
        <v>527</v>
      </c>
      <c r="EI6" t="s">
        <v>472</v>
      </c>
      <c r="EJ6">
        <v>20.044473781392199</v>
      </c>
      <c r="EK6" t="s">
        <v>473</v>
      </c>
      <c r="EL6">
        <v>33.550853659011999</v>
      </c>
      <c r="EM6" s="3">
        <f t="shared" si="16"/>
        <v>26.797663720202099</v>
      </c>
      <c r="EN6">
        <v>7</v>
      </c>
      <c r="EO6">
        <v>15</v>
      </c>
      <c r="EP6">
        <v>29</v>
      </c>
      <c r="EQ6">
        <v>-1</v>
      </c>
      <c r="ER6">
        <v>6</v>
      </c>
      <c r="ES6">
        <v>3</v>
      </c>
      <c r="ET6">
        <v>59</v>
      </c>
      <c r="EU6" s="5">
        <v>-2.6255046279999998</v>
      </c>
      <c r="EV6">
        <v>-25.470634499316269</v>
      </c>
      <c r="EW6" s="310">
        <v>4</v>
      </c>
      <c r="EX6" s="5">
        <v>79</v>
      </c>
      <c r="EY6" s="18">
        <v>39</v>
      </c>
      <c r="FA6" s="18">
        <v>0.83400000445530398</v>
      </c>
      <c r="FB6" s="18">
        <v>0.33333333333333331</v>
      </c>
      <c r="FC6" s="18">
        <v>1</v>
      </c>
      <c r="FD6" s="18">
        <v>0.76333332061766657</v>
      </c>
      <c r="FE6" s="18">
        <v>0.99333333969100002</v>
      </c>
      <c r="FF6" s="18">
        <v>0.5714285714285714</v>
      </c>
      <c r="FG6" s="18">
        <v>0.48833332614341335</v>
      </c>
      <c r="FH6" s="18">
        <v>0.66999999992549331</v>
      </c>
      <c r="FI6" s="18">
        <v>1</v>
      </c>
      <c r="FJ6" s="18">
        <v>0.85999999443700004</v>
      </c>
      <c r="FK6" s="18">
        <v>0.5499999920526667</v>
      </c>
      <c r="FL6" s="5">
        <v>-4</v>
      </c>
      <c r="FM6" s="5">
        <v>14</v>
      </c>
      <c r="FN6" s="5">
        <v>13</v>
      </c>
      <c r="FO6" s="259">
        <v>0.83600000441059996</v>
      </c>
      <c r="FP6" s="72">
        <v>0.33333333333333331</v>
      </c>
      <c r="FQ6" s="260">
        <v>1</v>
      </c>
      <c r="FR6" s="261">
        <v>0.76333332061766657</v>
      </c>
      <c r="FS6" s="154">
        <v>0.99333333969100002</v>
      </c>
      <c r="FT6" s="262">
        <v>0.5714285714285714</v>
      </c>
      <c r="FU6" s="263">
        <v>0.48833332614341335</v>
      </c>
      <c r="FV6" s="264">
        <v>0.66999999992549331</v>
      </c>
      <c r="FW6" s="265">
        <v>1</v>
      </c>
      <c r="FX6" s="266">
        <v>0.85999999443700004</v>
      </c>
      <c r="FY6" s="267">
        <v>0.5499999920526667</v>
      </c>
      <c r="FZ6" s="5">
        <v>-2.6255046279999998</v>
      </c>
      <c r="GA6">
        <v>7</v>
      </c>
      <c r="GB6">
        <v>15</v>
      </c>
      <c r="GC6">
        <v>29</v>
      </c>
      <c r="GD6">
        <v>-1</v>
      </c>
      <c r="GE6">
        <v>6</v>
      </c>
      <c r="GF6">
        <v>3</v>
      </c>
      <c r="GG6">
        <v>59</v>
      </c>
      <c r="GH6" s="144">
        <v>7.0000000298000006E-2</v>
      </c>
    </row>
    <row r="7" spans="1:190" x14ac:dyDescent="0.2">
      <c r="A7" s="3" t="s">
        <v>4</v>
      </c>
      <c r="B7" s="5">
        <v>0</v>
      </c>
      <c r="C7" s="5">
        <v>4</v>
      </c>
      <c r="D7" s="5">
        <v>27</v>
      </c>
      <c r="E7" s="5">
        <v>33</v>
      </c>
      <c r="F7" s="5">
        <v>47</v>
      </c>
      <c r="G7" s="5">
        <v>53</v>
      </c>
      <c r="H7" s="5">
        <v>176</v>
      </c>
      <c r="I7" s="5">
        <v>19</v>
      </c>
      <c r="J7" s="5">
        <v>136</v>
      </c>
      <c r="K7" s="5">
        <v>137</v>
      </c>
      <c r="L7" s="5">
        <v>110</v>
      </c>
      <c r="M7" s="5">
        <v>52</v>
      </c>
      <c r="N7" s="5">
        <v>131</v>
      </c>
      <c r="O7" s="5">
        <v>2.5</v>
      </c>
      <c r="P7" s="5">
        <v>-2</v>
      </c>
      <c r="Q7" s="5">
        <v>-1</v>
      </c>
      <c r="R7" s="5">
        <v>0</v>
      </c>
      <c r="S7" s="5">
        <v>18</v>
      </c>
      <c r="T7">
        <v>11</v>
      </c>
      <c r="U7" s="5">
        <v>0</v>
      </c>
      <c r="V7" s="5">
        <v>-13</v>
      </c>
      <c r="W7" s="5">
        <v>-4</v>
      </c>
      <c r="X7" s="5">
        <v>4</v>
      </c>
      <c r="Y7" s="5">
        <v>2</v>
      </c>
      <c r="Z7" s="92">
        <v>7.9939402631579004E-2</v>
      </c>
      <c r="AA7" s="88">
        <v>13.5</v>
      </c>
      <c r="AB7" s="68">
        <v>87</v>
      </c>
      <c r="AC7" s="5">
        <v>77</v>
      </c>
      <c r="AD7" s="5">
        <v>108</v>
      </c>
      <c r="AE7" s="80">
        <v>91</v>
      </c>
      <c r="AF7" s="179">
        <v>4</v>
      </c>
      <c r="AG7" s="154">
        <v>8</v>
      </c>
      <c r="AH7" s="154">
        <v>-5</v>
      </c>
      <c r="AI7" s="154">
        <v>2</v>
      </c>
      <c r="AJ7" s="68">
        <v>91</v>
      </c>
      <c r="AK7" s="5">
        <v>85</v>
      </c>
      <c r="AL7" s="5">
        <v>103</v>
      </c>
      <c r="AM7" s="80">
        <v>93</v>
      </c>
      <c r="AN7" s="68">
        <v>87</v>
      </c>
      <c r="AO7" s="5">
        <v>77</v>
      </c>
      <c r="AP7" s="5">
        <v>108</v>
      </c>
      <c r="AQ7" s="80">
        <v>91</v>
      </c>
      <c r="AR7" s="68">
        <v>91</v>
      </c>
      <c r="AS7" s="5">
        <v>85</v>
      </c>
      <c r="AT7" s="5">
        <v>103</v>
      </c>
      <c r="AU7" s="80">
        <v>93</v>
      </c>
      <c r="AV7" s="179">
        <f t="shared" si="10"/>
        <v>4</v>
      </c>
      <c r="AW7" s="154">
        <f t="shared" si="11"/>
        <v>8</v>
      </c>
      <c r="AX7" s="154">
        <f t="shared" si="12"/>
        <v>-5</v>
      </c>
      <c r="AY7" s="185">
        <f t="shared" si="13"/>
        <v>2</v>
      </c>
      <c r="AZ7" s="9">
        <v>1.2413793103448276</v>
      </c>
      <c r="BA7" s="77">
        <v>0.10951117847669578</v>
      </c>
      <c r="BB7">
        <v>0.88505747126436785</v>
      </c>
      <c r="BC7" s="77">
        <v>-4.9008462801566233E-2</v>
      </c>
      <c r="BD7" s="154">
        <v>0.87999999523200001</v>
      </c>
      <c r="BE7" s="144">
        <v>0.23000000417200001</v>
      </c>
      <c r="BF7" s="5">
        <v>-1</v>
      </c>
      <c r="BG7" s="5">
        <v>-2</v>
      </c>
      <c r="BK7" t="s">
        <v>4</v>
      </c>
      <c r="BL7">
        <v>1</v>
      </c>
      <c r="BM7">
        <v>1</v>
      </c>
      <c r="BN7">
        <v>0</v>
      </c>
      <c r="BO7">
        <v>-3</v>
      </c>
      <c r="BP7">
        <v>-2</v>
      </c>
      <c r="BR7" s="222"/>
      <c r="BS7" s="222"/>
      <c r="BT7" s="222"/>
      <c r="BU7" s="222"/>
      <c r="BV7" s="222"/>
      <c r="BW7">
        <v>0.81000000238400005</v>
      </c>
      <c r="BX7">
        <v>0.310000002384</v>
      </c>
      <c r="BY7" s="18">
        <f t="shared" si="15"/>
        <v>0.5</v>
      </c>
      <c r="BZ7" s="3">
        <v>0.45199999362238003</v>
      </c>
      <c r="CA7">
        <v>0.37999999957780001</v>
      </c>
      <c r="CB7">
        <v>0.48999999463566662</v>
      </c>
      <c r="CC7">
        <v>0.530000006159</v>
      </c>
      <c r="CD7">
        <v>0.69999998807899999</v>
      </c>
      <c r="CE7">
        <v>0.62571428929071427</v>
      </c>
      <c r="CF7">
        <v>0.50166667004416665</v>
      </c>
      <c r="CG7">
        <v>0.93000000715266662</v>
      </c>
      <c r="CH7">
        <v>0.98333332935966666</v>
      </c>
      <c r="CI7">
        <v>1</v>
      </c>
      <c r="CJ7">
        <v>0.29666666686533333</v>
      </c>
      <c r="DL7" s="3"/>
      <c r="DP7" s="3"/>
      <c r="DT7" s="3"/>
      <c r="DY7" s="3"/>
      <c r="EC7" s="3"/>
      <c r="EG7" s="3"/>
      <c r="EM7" s="3"/>
      <c r="EN7">
        <v>4</v>
      </c>
      <c r="EO7">
        <v>15</v>
      </c>
      <c r="EP7">
        <v>21</v>
      </c>
      <c r="EQ7">
        <v>1</v>
      </c>
      <c r="ER7">
        <v>5</v>
      </c>
      <c r="ES7">
        <v>9</v>
      </c>
      <c r="ET7">
        <v>55</v>
      </c>
      <c r="EU7" s="222"/>
      <c r="EV7" s="222"/>
      <c r="EW7" s="310">
        <v>5</v>
      </c>
      <c r="EX7" s="5">
        <v>33</v>
      </c>
      <c r="EY7" s="18">
        <v>53</v>
      </c>
      <c r="FA7" s="18">
        <v>0.44399999380119604</v>
      </c>
      <c r="FB7" s="18">
        <v>0.37666666631897333</v>
      </c>
      <c r="FC7" s="18">
        <v>0.47333332834154662</v>
      </c>
      <c r="FD7" s="18">
        <v>0.52666667290017333</v>
      </c>
      <c r="FE7" s="18">
        <v>0.59666665767636662</v>
      </c>
      <c r="FF7" s="18">
        <v>0.58571429018471999</v>
      </c>
      <c r="FG7" s="18">
        <v>0.49166667026767996</v>
      </c>
      <c r="FH7" s="18">
        <v>0.81000000238433323</v>
      </c>
      <c r="FI7" s="18">
        <v>0.73333332935966666</v>
      </c>
      <c r="FJ7" s="18">
        <v>0.86000000188766668</v>
      </c>
      <c r="FK7" s="18">
        <v>0.29000000034767998</v>
      </c>
      <c r="FL7" s="5">
        <v>-1</v>
      </c>
      <c r="FM7" s="5">
        <v>0</v>
      </c>
      <c r="FN7" s="5">
        <v>2</v>
      </c>
      <c r="FO7" s="259">
        <v>0.45199999362238003</v>
      </c>
      <c r="FP7" s="72">
        <v>0.37999999957780001</v>
      </c>
      <c r="FQ7" s="260">
        <v>0.48999999463566662</v>
      </c>
      <c r="FR7" s="261">
        <v>0.530000006159</v>
      </c>
      <c r="FS7" s="154">
        <v>0.69999998807899999</v>
      </c>
      <c r="FT7" s="262">
        <v>0.62571428929071427</v>
      </c>
      <c r="FU7" s="263">
        <v>0.50166667004416665</v>
      </c>
      <c r="FV7" s="264">
        <v>0.93000000715266662</v>
      </c>
      <c r="FW7" s="265">
        <v>0.98333332935966666</v>
      </c>
      <c r="FX7" s="266">
        <v>1</v>
      </c>
      <c r="FY7" s="267">
        <v>0.29666666686533333</v>
      </c>
      <c r="FZ7" s="222"/>
      <c r="GA7">
        <v>4</v>
      </c>
      <c r="GB7">
        <v>15</v>
      </c>
      <c r="GC7">
        <v>21</v>
      </c>
      <c r="GD7">
        <v>1</v>
      </c>
      <c r="GE7">
        <v>5</v>
      </c>
      <c r="GF7">
        <v>9</v>
      </c>
      <c r="GG7">
        <v>55</v>
      </c>
      <c r="GH7" s="144">
        <v>0.23000000417200001</v>
      </c>
    </row>
    <row r="8" spans="1:190" ht="16" x14ac:dyDescent="0.2">
      <c r="A8" s="3" t="s">
        <v>5</v>
      </c>
      <c r="B8" s="79" t="s">
        <v>275</v>
      </c>
      <c r="C8" s="81" t="s">
        <v>267</v>
      </c>
      <c r="D8" s="81" t="s">
        <v>267</v>
      </c>
      <c r="E8" s="5">
        <v>81</v>
      </c>
      <c r="F8" s="5">
        <v>54</v>
      </c>
      <c r="G8" s="5">
        <v>37</v>
      </c>
      <c r="H8" s="5">
        <v>181</v>
      </c>
      <c r="I8" s="5">
        <v>15</v>
      </c>
      <c r="J8" s="5">
        <v>134</v>
      </c>
      <c r="K8" s="5">
        <v>106</v>
      </c>
      <c r="L8" s="5">
        <v>126</v>
      </c>
      <c r="M8" s="5">
        <v>91</v>
      </c>
      <c r="N8" s="5">
        <v>162</v>
      </c>
      <c r="O8" s="5">
        <v>0</v>
      </c>
      <c r="P8" s="5">
        <v>1</v>
      </c>
      <c r="Q8" s="5">
        <v>-1</v>
      </c>
      <c r="R8" s="5">
        <v>1</v>
      </c>
      <c r="S8" s="5">
        <v>12</v>
      </c>
      <c r="T8">
        <v>6</v>
      </c>
      <c r="U8" s="5">
        <v>-1</v>
      </c>
      <c r="V8" s="5">
        <v>7</v>
      </c>
      <c r="W8" s="5">
        <v>-5</v>
      </c>
      <c r="X8" s="5">
        <v>-6</v>
      </c>
      <c r="Y8" s="5">
        <v>-1</v>
      </c>
      <c r="Z8" s="92">
        <v>3.0615902631578998E-2</v>
      </c>
      <c r="AA8" s="88">
        <v>11</v>
      </c>
      <c r="AB8" s="68">
        <v>94</v>
      </c>
      <c r="AC8" s="5">
        <v>88</v>
      </c>
      <c r="AD8" s="5">
        <v>111</v>
      </c>
      <c r="AE8" s="80">
        <v>98</v>
      </c>
      <c r="AF8" s="179">
        <v>-12</v>
      </c>
      <c r="AG8" s="154">
        <v>-8</v>
      </c>
      <c r="AH8" s="154">
        <v>-16</v>
      </c>
      <c r="AI8" s="154">
        <v>-12</v>
      </c>
      <c r="AJ8" s="68">
        <v>82</v>
      </c>
      <c r="AK8" s="5">
        <v>80</v>
      </c>
      <c r="AL8" s="5">
        <v>95</v>
      </c>
      <c r="AM8" s="80">
        <v>86</v>
      </c>
      <c r="AN8" s="68">
        <v>94</v>
      </c>
      <c r="AO8" s="5">
        <v>88</v>
      </c>
      <c r="AP8" s="5">
        <v>111</v>
      </c>
      <c r="AQ8" s="80">
        <v>98</v>
      </c>
      <c r="AR8" s="68">
        <v>82</v>
      </c>
      <c r="AS8" s="5">
        <v>80</v>
      </c>
      <c r="AT8" s="5">
        <v>95</v>
      </c>
      <c r="AU8" s="80">
        <v>86</v>
      </c>
      <c r="AV8" s="179">
        <f t="shared" si="10"/>
        <v>-12</v>
      </c>
      <c r="AW8" s="154">
        <f t="shared" si="11"/>
        <v>-8</v>
      </c>
      <c r="AX8" s="154">
        <f t="shared" si="12"/>
        <v>-16</v>
      </c>
      <c r="AY8" s="185">
        <f t="shared" si="13"/>
        <v>-12</v>
      </c>
      <c r="AZ8" s="9">
        <v>1.1808510638297873</v>
      </c>
      <c r="BA8" s="77">
        <v>2.2314478463933751E-2</v>
      </c>
      <c r="BB8">
        <v>0.93617021276595747</v>
      </c>
      <c r="BC8" s="77">
        <v>-3.9439543331603488E-2</v>
      </c>
      <c r="BD8" s="154">
        <v>0.28000000000000003</v>
      </c>
      <c r="BE8" s="144">
        <v>0.08</v>
      </c>
      <c r="BF8" s="5">
        <v>-1</v>
      </c>
      <c r="BG8" s="5">
        <v>1</v>
      </c>
      <c r="BK8" t="s">
        <v>5</v>
      </c>
      <c r="BL8">
        <v>3</v>
      </c>
      <c r="BM8">
        <v>5</v>
      </c>
      <c r="BN8">
        <v>4</v>
      </c>
      <c r="BO8">
        <v>14</v>
      </c>
      <c r="BP8">
        <v>23</v>
      </c>
      <c r="BQ8" t="s">
        <v>474</v>
      </c>
      <c r="BR8">
        <v>-2.3043923203627099E-27</v>
      </c>
      <c r="BS8" t="s">
        <v>475</v>
      </c>
      <c r="BT8">
        <v>-2.4376562637894699E-27</v>
      </c>
      <c r="BU8" s="18">
        <f t="shared" si="14"/>
        <v>-2.3710242920760897E-27</v>
      </c>
      <c r="BV8" s="18"/>
      <c r="BW8">
        <v>0.04</v>
      </c>
      <c r="BX8">
        <v>0</v>
      </c>
      <c r="BY8" s="18">
        <f t="shared" si="15"/>
        <v>0.04</v>
      </c>
      <c r="BZ8" s="3">
        <v>2.1999999999999999E-2</v>
      </c>
      <c r="CA8">
        <v>0.03</v>
      </c>
      <c r="CB8">
        <v>3.3333333333333333E-2</v>
      </c>
      <c r="CC8">
        <v>0.02</v>
      </c>
      <c r="CD8">
        <v>0.02</v>
      </c>
      <c r="CE8">
        <v>0.02</v>
      </c>
      <c r="CF8">
        <v>2.3333333333333334E-2</v>
      </c>
      <c r="CG8">
        <v>4.9999999999999996E-2</v>
      </c>
      <c r="CH8">
        <v>0.02</v>
      </c>
      <c r="CI8">
        <v>0.02</v>
      </c>
      <c r="CJ8">
        <v>0.02</v>
      </c>
      <c r="CK8" s="296" t="s">
        <v>528</v>
      </c>
      <c r="CL8" s="18">
        <v>-0.93770227250000004</v>
      </c>
      <c r="CM8" s="18">
        <v>-2.3296673989999999</v>
      </c>
      <c r="CN8" s="18">
        <v>-0.43593042440000002</v>
      </c>
      <c r="CO8" s="18">
        <v>-0.34233468389999999</v>
      </c>
      <c r="CP8" s="18">
        <v>-0.38203062939999999</v>
      </c>
      <c r="CQ8" s="18">
        <v>-0.3960370788</v>
      </c>
      <c r="CR8" s="18">
        <v>-0.50748207099999998</v>
      </c>
      <c r="CS8" s="18">
        <v>-0.1701350174</v>
      </c>
      <c r="CT8" s="18">
        <v>-0.44343836580000001</v>
      </c>
      <c r="CU8" s="296" t="s">
        <v>528</v>
      </c>
      <c r="CV8" s="18">
        <v>16.957525820000001</v>
      </c>
      <c r="CW8" s="18">
        <v>23.4313389</v>
      </c>
      <c r="CX8" s="18">
        <v>20.321211760000001</v>
      </c>
      <c r="CY8" s="292">
        <f>AVERAGE(CV8,CX8)</f>
        <v>18.639368789999999</v>
      </c>
      <c r="CZ8" s="18">
        <v>12.177618369999999</v>
      </c>
      <c r="DA8" s="18">
        <v>13.01592011</v>
      </c>
      <c r="DB8" s="18">
        <v>13.67677627</v>
      </c>
      <c r="DC8" s="292">
        <f>AVERAGE(CZ8,DB8)</f>
        <v>12.927197319999999</v>
      </c>
      <c r="DD8" s="24">
        <f>CZ8-CV8</f>
        <v>-4.7799074500000014</v>
      </c>
      <c r="DE8" s="24">
        <f>DA8-CW8</f>
        <v>-10.41541879</v>
      </c>
      <c r="DF8" s="294">
        <f>DB8-CX8</f>
        <v>-6.6444354900000011</v>
      </c>
      <c r="DG8" s="294">
        <f>DC8-CY8</f>
        <v>-5.7121714699999995</v>
      </c>
      <c r="DH8" s="297" t="s">
        <v>528</v>
      </c>
      <c r="DI8" s="18">
        <v>3.914419192</v>
      </c>
      <c r="DJ8" s="18">
        <v>5.1144261359999996</v>
      </c>
      <c r="DK8" s="18">
        <v>4.9803584670000003</v>
      </c>
      <c r="DL8" s="3">
        <f>AVERAGE(DI8,DK8)</f>
        <v>4.4473888295000004</v>
      </c>
      <c r="DM8" s="18">
        <v>5.8662962949999997</v>
      </c>
      <c r="DN8" s="18">
        <v>8.7121338999999995</v>
      </c>
      <c r="DO8" s="18">
        <v>6.4452294449999998</v>
      </c>
      <c r="DP8" s="3">
        <f>AVERAGE(DM8,DO8)</f>
        <v>6.1557628700000002</v>
      </c>
      <c r="DQ8" s="24">
        <f>DM8-DI8</f>
        <v>1.9518771029999997</v>
      </c>
      <c r="DR8" s="24">
        <f>DN8-DJ8</f>
        <v>3.5977077639999999</v>
      </c>
      <c r="DS8" s="24">
        <f>DO8-DK8</f>
        <v>1.4648709779999995</v>
      </c>
      <c r="DT8" s="188">
        <f>DP8-DL8</f>
        <v>1.7083740404999999</v>
      </c>
      <c r="DU8" s="297" t="s">
        <v>528</v>
      </c>
      <c r="DV8" s="18">
        <v>16.240393829999999</v>
      </c>
      <c r="DW8" s="18">
        <v>21.022990279999998</v>
      </c>
      <c r="DX8" s="18">
        <v>14.655886199999999</v>
      </c>
      <c r="DY8" s="3">
        <f>AVERAGE(DV8,DX8)</f>
        <v>15.448140015</v>
      </c>
      <c r="DZ8" s="18">
        <v>7.7141648170000003</v>
      </c>
      <c r="EA8" s="18">
        <v>12.19811629</v>
      </c>
      <c r="EB8" s="18">
        <v>8.7892697210000001</v>
      </c>
      <c r="EC8" s="3">
        <f>AVERAGE(DZ8,EB8)</f>
        <v>8.2517172690000002</v>
      </c>
      <c r="ED8" s="24">
        <f>DZ8-DV8</f>
        <v>-8.5262290129999982</v>
      </c>
      <c r="EE8" s="24">
        <f>EA8-DW8</f>
        <v>-8.8248739899999986</v>
      </c>
      <c r="EF8" s="24">
        <f>EB8-DX8</f>
        <v>-5.8666164789999993</v>
      </c>
      <c r="EG8" s="188">
        <f>EC8-DY8</f>
        <v>-7.1964227459999996</v>
      </c>
      <c r="EH8" s="297" t="s">
        <v>528</v>
      </c>
      <c r="EI8" t="s">
        <v>474</v>
      </c>
      <c r="EJ8">
        <v>79.626639028346801</v>
      </c>
      <c r="EK8" t="s">
        <v>475</v>
      </c>
      <c r="EL8">
        <v>59.657069270252499</v>
      </c>
      <c r="EM8" s="3">
        <f t="shared" si="16"/>
        <v>69.641854149299647</v>
      </c>
      <c r="EN8">
        <v>-1</v>
      </c>
      <c r="EO8">
        <v>4</v>
      </c>
      <c r="EP8">
        <v>0</v>
      </c>
      <c r="EQ8">
        <v>0</v>
      </c>
      <c r="ER8">
        <v>0</v>
      </c>
      <c r="ES8">
        <v>0</v>
      </c>
      <c r="ET8">
        <v>3</v>
      </c>
      <c r="EU8" s="5">
        <v>-2.3296673989999999</v>
      </c>
      <c r="EV8">
        <v>-28.033460319303831</v>
      </c>
      <c r="EW8" s="310">
        <v>6</v>
      </c>
      <c r="EX8" s="5">
        <v>81</v>
      </c>
      <c r="EY8" s="18">
        <v>37</v>
      </c>
      <c r="FA8" s="18">
        <v>1.9999999999999997E-2</v>
      </c>
      <c r="FB8" s="18">
        <v>1.9999999999999997E-2</v>
      </c>
      <c r="FC8" s="18">
        <v>1.9999999999999997E-2</v>
      </c>
      <c r="FD8" s="18">
        <v>0.01</v>
      </c>
      <c r="FE8" s="18">
        <v>0</v>
      </c>
      <c r="FF8" s="18">
        <v>1.1428571428571429E-2</v>
      </c>
      <c r="FG8" s="18">
        <v>0.02</v>
      </c>
      <c r="FH8" s="18">
        <v>4.3333333333333328E-2</v>
      </c>
      <c r="FI8" s="18">
        <v>0.02</v>
      </c>
      <c r="FJ8" s="18">
        <v>1.3333333333333332E-2</v>
      </c>
      <c r="FK8" s="18">
        <v>0.02</v>
      </c>
      <c r="FL8" s="5">
        <v>-1</v>
      </c>
      <c r="FM8" s="5">
        <v>-1</v>
      </c>
      <c r="FN8" s="5">
        <v>-1</v>
      </c>
      <c r="FO8" s="259">
        <v>2.1999999999999999E-2</v>
      </c>
      <c r="FP8" s="72">
        <v>0.03</v>
      </c>
      <c r="FQ8" s="260">
        <v>3.3333333333333333E-2</v>
      </c>
      <c r="FR8" s="261">
        <v>0.02</v>
      </c>
      <c r="FS8" s="154">
        <v>0.02</v>
      </c>
      <c r="FT8" s="262">
        <v>0.02</v>
      </c>
      <c r="FU8" s="263">
        <v>2.3333333333333334E-2</v>
      </c>
      <c r="FV8" s="264">
        <v>4.9999999999999996E-2</v>
      </c>
      <c r="FW8" s="265">
        <v>0.02</v>
      </c>
      <c r="FX8" s="266">
        <v>0.02</v>
      </c>
      <c r="FY8" s="267">
        <v>0.02</v>
      </c>
      <c r="FZ8" s="5">
        <v>-2.3296673989999999</v>
      </c>
      <c r="GA8">
        <v>-1</v>
      </c>
      <c r="GB8">
        <v>4</v>
      </c>
      <c r="GC8">
        <v>0</v>
      </c>
      <c r="GD8">
        <v>0</v>
      </c>
      <c r="GE8">
        <v>0</v>
      </c>
      <c r="GF8">
        <v>0</v>
      </c>
      <c r="GG8">
        <v>3</v>
      </c>
      <c r="GH8" s="144">
        <v>0.08</v>
      </c>
    </row>
    <row r="9" spans="1:190" ht="16" thickBot="1" x14ac:dyDescent="0.25">
      <c r="A9" s="3" t="s">
        <v>6</v>
      </c>
      <c r="B9" s="5">
        <v>0</v>
      </c>
      <c r="C9" s="5">
        <v>10</v>
      </c>
      <c r="D9" s="5">
        <v>33</v>
      </c>
      <c r="E9" s="5">
        <v>77</v>
      </c>
      <c r="F9" s="5">
        <v>53</v>
      </c>
      <c r="G9" s="5">
        <v>38</v>
      </c>
      <c r="H9" s="5">
        <v>217</v>
      </c>
      <c r="I9" s="5">
        <v>16</v>
      </c>
      <c r="J9" s="5">
        <v>112</v>
      </c>
      <c r="K9" s="5">
        <v>79</v>
      </c>
      <c r="L9" s="5">
        <v>119</v>
      </c>
      <c r="M9" s="5">
        <v>70</v>
      </c>
      <c r="N9" s="5">
        <v>135</v>
      </c>
      <c r="O9" s="5">
        <v>8.5</v>
      </c>
      <c r="P9" s="5">
        <v>-9</v>
      </c>
      <c r="Q9" s="5">
        <v>3</v>
      </c>
      <c r="R9" s="5">
        <v>6</v>
      </c>
      <c r="S9" s="5">
        <v>10</v>
      </c>
      <c r="T9">
        <v>7</v>
      </c>
      <c r="U9" s="5">
        <v>-6</v>
      </c>
      <c r="V9" s="5">
        <v>30</v>
      </c>
      <c r="W9" s="5">
        <v>10</v>
      </c>
      <c r="X9" s="5">
        <v>-9</v>
      </c>
      <c r="Y9" s="5">
        <v>9</v>
      </c>
      <c r="Z9" s="93">
        <v>0.122783402631579</v>
      </c>
      <c r="AA9" s="88">
        <v>11.5</v>
      </c>
      <c r="AB9" s="68">
        <v>86</v>
      </c>
      <c r="AC9" s="5">
        <v>87</v>
      </c>
      <c r="AD9" s="5">
        <v>93</v>
      </c>
      <c r="AE9" s="80">
        <v>89</v>
      </c>
      <c r="AF9" s="179">
        <v>-9</v>
      </c>
      <c r="AG9" s="154">
        <v>-5</v>
      </c>
      <c r="AH9" s="154">
        <v>-2</v>
      </c>
      <c r="AI9" s="154">
        <v>-6</v>
      </c>
      <c r="AJ9" s="68">
        <v>77</v>
      </c>
      <c r="AK9" s="5">
        <v>82</v>
      </c>
      <c r="AL9" s="5">
        <v>91</v>
      </c>
      <c r="AM9" s="80">
        <v>83</v>
      </c>
      <c r="AN9" s="68">
        <v>86</v>
      </c>
      <c r="AO9" s="5">
        <v>87</v>
      </c>
      <c r="AP9" s="5">
        <v>93</v>
      </c>
      <c r="AQ9" s="80">
        <v>89</v>
      </c>
      <c r="AR9" s="68">
        <v>77</v>
      </c>
      <c r="AS9" s="5">
        <v>82</v>
      </c>
      <c r="AT9" s="5">
        <v>91</v>
      </c>
      <c r="AU9" s="80">
        <v>83</v>
      </c>
      <c r="AV9" s="179">
        <f t="shared" si="10"/>
        <v>-9</v>
      </c>
      <c r="AW9" s="154">
        <f t="shared" si="11"/>
        <v>-5</v>
      </c>
      <c r="AX9" s="154">
        <f t="shared" si="12"/>
        <v>-2</v>
      </c>
      <c r="AY9" s="185">
        <f t="shared" si="13"/>
        <v>-6</v>
      </c>
      <c r="AZ9" s="9">
        <v>1.0813953488372092</v>
      </c>
      <c r="BA9" s="77">
        <v>-0.10042283298097265</v>
      </c>
      <c r="BB9">
        <v>1.0116279069767442</v>
      </c>
      <c r="BC9" s="77">
        <v>-5.3307157958320639E-2</v>
      </c>
      <c r="BD9" s="154">
        <v>0.75</v>
      </c>
      <c r="BE9" s="144">
        <v>0.8</v>
      </c>
      <c r="BF9" s="5">
        <v>3</v>
      </c>
      <c r="BG9" s="5">
        <v>-9</v>
      </c>
      <c r="BK9" t="s">
        <v>6</v>
      </c>
      <c r="BL9">
        <v>1</v>
      </c>
      <c r="BM9">
        <v>0</v>
      </c>
      <c r="BN9">
        <v>1</v>
      </c>
      <c r="BO9">
        <v>4</v>
      </c>
      <c r="BP9">
        <v>5</v>
      </c>
      <c r="BQ9" t="s">
        <v>476</v>
      </c>
      <c r="BR9">
        <v>-2.23665441930417E-27</v>
      </c>
      <c r="BS9" t="s">
        <v>477</v>
      </c>
      <c r="BT9">
        <v>-1.03756657236054E-27</v>
      </c>
      <c r="BU9" s="18">
        <f t="shared" si="14"/>
        <v>-1.6371104958323551E-27</v>
      </c>
      <c r="BV9" s="18"/>
      <c r="BW9">
        <v>0.9</v>
      </c>
      <c r="BX9">
        <v>0.41</v>
      </c>
      <c r="BY9" s="18">
        <f t="shared" si="15"/>
        <v>0.49000000000000005</v>
      </c>
      <c r="BZ9" s="3">
        <v>0.79600000000000004</v>
      </c>
      <c r="CA9">
        <v>0.33666666666666667</v>
      </c>
      <c r="CB9">
        <v>0.83333333333333337</v>
      </c>
      <c r="CC9">
        <v>0.36000000000000004</v>
      </c>
      <c r="CD9">
        <v>0.48</v>
      </c>
      <c r="CE9">
        <v>6.5714285714285711E-2</v>
      </c>
      <c r="CF9">
        <v>0.02</v>
      </c>
      <c r="CG9">
        <v>0.98999999999999988</v>
      </c>
      <c r="CH9">
        <v>0.94</v>
      </c>
      <c r="CI9">
        <v>0.18666666666666668</v>
      </c>
      <c r="CJ9">
        <v>0.53333333333333333</v>
      </c>
      <c r="DL9" s="3"/>
      <c r="DP9" s="3"/>
      <c r="DT9" s="3"/>
      <c r="DY9" s="3"/>
      <c r="EC9" s="3"/>
      <c r="EG9" s="3"/>
      <c r="EI9" t="s">
        <v>476</v>
      </c>
      <c r="EJ9">
        <v>24.485005336328701</v>
      </c>
      <c r="EK9" t="s">
        <v>477</v>
      </c>
      <c r="EL9">
        <v>28.048564351254001</v>
      </c>
      <c r="EM9" s="3">
        <f t="shared" si="16"/>
        <v>26.266784843791349</v>
      </c>
      <c r="EN9">
        <v>6</v>
      </c>
      <c r="EO9">
        <v>2</v>
      </c>
      <c r="EP9">
        <v>6</v>
      </c>
      <c r="EQ9">
        <v>-2</v>
      </c>
      <c r="ER9">
        <v>1</v>
      </c>
      <c r="ES9">
        <v>0</v>
      </c>
      <c r="ET9">
        <v>13</v>
      </c>
      <c r="EU9" s="222"/>
      <c r="EV9" s="222"/>
      <c r="EW9" s="310">
        <v>7</v>
      </c>
      <c r="EX9" s="5">
        <v>77</v>
      </c>
      <c r="EY9" s="18">
        <v>38</v>
      </c>
      <c r="FA9" s="18">
        <v>0.79600000000000004</v>
      </c>
      <c r="FB9" s="18">
        <v>0.33666666666666667</v>
      </c>
      <c r="FC9" s="18">
        <v>0.83333333333333337</v>
      </c>
      <c r="FD9" s="18">
        <v>0.36000000000000004</v>
      </c>
      <c r="FE9" s="18">
        <v>0.48</v>
      </c>
      <c r="FF9" s="18">
        <v>6.5714285714285711E-2</v>
      </c>
      <c r="FG9" s="18">
        <v>0.02</v>
      </c>
      <c r="FH9" s="18">
        <v>0.98999999999999988</v>
      </c>
      <c r="FI9" s="18">
        <v>0.94</v>
      </c>
      <c r="FJ9" s="18">
        <v>0.18666666666666668</v>
      </c>
      <c r="FK9" s="18">
        <v>0.53333333333333333</v>
      </c>
      <c r="FL9" s="5">
        <v>3</v>
      </c>
      <c r="FM9" s="5">
        <v>-6</v>
      </c>
      <c r="FN9" s="5">
        <v>9</v>
      </c>
      <c r="FO9" s="259">
        <v>0.79600000000000004</v>
      </c>
      <c r="FP9" s="72">
        <v>0.33666666666666667</v>
      </c>
      <c r="FQ9" s="260">
        <v>0.83333333333333337</v>
      </c>
      <c r="FR9" s="261">
        <v>0.36000000000000004</v>
      </c>
      <c r="FS9" s="154">
        <v>0.48</v>
      </c>
      <c r="FT9" s="262">
        <v>6.5714285714285711E-2</v>
      </c>
      <c r="FU9" s="263">
        <v>0.02</v>
      </c>
      <c r="FV9" s="264">
        <v>0.98999999999999988</v>
      </c>
      <c r="FW9" s="265">
        <v>0.94</v>
      </c>
      <c r="FX9" s="266">
        <v>0.18666666666666668</v>
      </c>
      <c r="FY9" s="267">
        <v>0.53333333333333333</v>
      </c>
      <c r="FZ9" s="222"/>
      <c r="GA9">
        <v>6</v>
      </c>
      <c r="GB9">
        <v>2</v>
      </c>
      <c r="GC9">
        <v>6</v>
      </c>
      <c r="GD9">
        <v>-2</v>
      </c>
      <c r="GE9">
        <v>1</v>
      </c>
      <c r="GF9">
        <v>0</v>
      </c>
      <c r="GG9">
        <v>13</v>
      </c>
      <c r="GH9" s="144">
        <v>0.8</v>
      </c>
    </row>
    <row r="10" spans="1:190" s="6" customFormat="1" ht="16" thickBot="1" x14ac:dyDescent="0.25">
      <c r="A10" s="4" t="s">
        <v>7</v>
      </c>
      <c r="B10" s="6">
        <v>1</v>
      </c>
      <c r="C10" s="6">
        <v>3</v>
      </c>
      <c r="D10" s="6">
        <v>33</v>
      </c>
      <c r="E10" s="6">
        <v>57</v>
      </c>
      <c r="F10" s="6">
        <v>52</v>
      </c>
      <c r="G10" s="6">
        <v>36</v>
      </c>
      <c r="H10" s="6">
        <v>205</v>
      </c>
      <c r="I10" s="6">
        <v>15</v>
      </c>
      <c r="J10" s="6">
        <v>128</v>
      </c>
      <c r="K10" s="6">
        <v>125</v>
      </c>
      <c r="L10" s="6">
        <v>108</v>
      </c>
      <c r="M10" s="6">
        <v>66</v>
      </c>
      <c r="N10" s="6">
        <v>132</v>
      </c>
      <c r="O10" s="6">
        <v>14</v>
      </c>
      <c r="P10" s="6">
        <v>-7</v>
      </c>
      <c r="Q10" s="314" t="s">
        <v>267</v>
      </c>
      <c r="R10" s="6">
        <v>-1</v>
      </c>
      <c r="S10" s="6">
        <v>17</v>
      </c>
      <c r="T10" s="6">
        <v>4</v>
      </c>
      <c r="U10" s="6">
        <v>1</v>
      </c>
      <c r="V10" s="6">
        <v>-6</v>
      </c>
      <c r="W10" s="6">
        <v>3</v>
      </c>
      <c r="X10" s="6">
        <v>20</v>
      </c>
      <c r="Y10" s="6">
        <v>7</v>
      </c>
      <c r="Z10" s="315"/>
      <c r="AA10" s="316"/>
      <c r="AB10" s="317"/>
      <c r="AC10" s="318"/>
      <c r="AD10" s="318"/>
      <c r="AE10" s="319"/>
      <c r="AF10" s="190"/>
      <c r="AG10" s="136"/>
      <c r="AH10" s="136"/>
      <c r="AI10" s="136"/>
      <c r="AJ10" s="317"/>
      <c r="AK10" s="318"/>
      <c r="AL10" s="318"/>
      <c r="AM10" s="319"/>
      <c r="AN10" s="317"/>
      <c r="AO10" s="318"/>
      <c r="AP10" s="318"/>
      <c r="AQ10" s="319"/>
      <c r="AR10" s="317"/>
      <c r="AS10" s="318"/>
      <c r="AT10" s="318"/>
      <c r="AU10" s="319"/>
      <c r="AV10" s="190"/>
      <c r="AW10" s="136"/>
      <c r="AX10" s="136"/>
      <c r="AY10" s="189"/>
      <c r="AZ10" s="8"/>
      <c r="BA10" s="136"/>
      <c r="BC10" s="136"/>
      <c r="BD10" s="136">
        <v>1</v>
      </c>
      <c r="BE10" s="150">
        <v>1</v>
      </c>
      <c r="BF10" s="314" t="s">
        <v>267</v>
      </c>
      <c r="BG10" s="6">
        <v>-7</v>
      </c>
      <c r="BK10" s="6" t="s">
        <v>7</v>
      </c>
      <c r="BL10" s="6">
        <v>0</v>
      </c>
      <c r="BM10" s="6">
        <v>1</v>
      </c>
      <c r="BN10" s="6">
        <v>0</v>
      </c>
      <c r="BO10" s="6">
        <v>1</v>
      </c>
      <c r="BP10" s="6">
        <v>2</v>
      </c>
      <c r="BR10" s="320"/>
      <c r="BS10" s="320"/>
      <c r="BT10" s="320"/>
      <c r="BU10" s="320"/>
      <c r="BV10" s="320"/>
      <c r="BW10" s="6">
        <v>1</v>
      </c>
      <c r="BX10" s="6">
        <v>0.28999999165500001</v>
      </c>
      <c r="BY10" s="6">
        <f t="shared" si="15"/>
        <v>0.71000000834499999</v>
      </c>
      <c r="BZ10" s="4">
        <v>0.78200000000000003</v>
      </c>
      <c r="CA10" s="6">
        <v>0.39999999999999997</v>
      </c>
      <c r="CB10" s="6">
        <v>0.62666666666666659</v>
      </c>
      <c r="CC10" s="6">
        <v>0.5</v>
      </c>
      <c r="CD10" s="6">
        <v>0.68333333333333324</v>
      </c>
      <c r="CE10" s="6">
        <v>0.37285714285714283</v>
      </c>
      <c r="CF10" s="6">
        <v>0.73499999999999999</v>
      </c>
      <c r="CG10" s="6">
        <v>0.91999999999999993</v>
      </c>
      <c r="CH10" s="6">
        <v>0.93</v>
      </c>
      <c r="CI10" s="6">
        <v>0.8933333333333332</v>
      </c>
      <c r="CJ10" s="6">
        <v>0.39999999999999997</v>
      </c>
      <c r="DL10" s="4"/>
      <c r="DP10" s="4"/>
      <c r="DT10" s="4"/>
      <c r="DY10" s="4"/>
      <c r="EC10" s="4"/>
      <c r="EG10" s="4"/>
      <c r="EM10" s="4"/>
      <c r="EN10" s="6">
        <v>15</v>
      </c>
      <c r="EO10" s="6">
        <v>11</v>
      </c>
      <c r="EP10" s="6">
        <v>27</v>
      </c>
      <c r="EQ10" s="6">
        <v>-3</v>
      </c>
      <c r="ER10" s="6">
        <v>5</v>
      </c>
      <c r="ES10" s="6">
        <v>16</v>
      </c>
      <c r="ET10" s="6">
        <v>71</v>
      </c>
      <c r="EU10" s="320"/>
      <c r="EV10" s="320"/>
      <c r="EW10" s="321">
        <v>8</v>
      </c>
      <c r="EX10" s="237">
        <v>57</v>
      </c>
      <c r="EY10" s="237">
        <v>36</v>
      </c>
      <c r="FA10" s="6">
        <v>0.66800000199999998</v>
      </c>
      <c r="FB10" s="6">
        <v>0.3399999993333333</v>
      </c>
      <c r="FC10" s="6">
        <v>0.60000000033333323</v>
      </c>
      <c r="FD10" s="6">
        <v>0.48000000066666665</v>
      </c>
      <c r="FE10" s="6">
        <v>0.50666666133333327</v>
      </c>
      <c r="FF10" s="6">
        <v>0.24857142542857141</v>
      </c>
      <c r="FG10" s="6">
        <v>0.65833333133333327</v>
      </c>
      <c r="FH10" s="6">
        <v>0.81666666833333323</v>
      </c>
      <c r="FI10" s="6">
        <v>0.42666665999999998</v>
      </c>
      <c r="FJ10" s="6">
        <v>0.58999999633333322</v>
      </c>
      <c r="FK10" s="6">
        <v>0.38666666666666666</v>
      </c>
      <c r="FL10" s="314" t="s">
        <v>267</v>
      </c>
      <c r="FM10" s="6">
        <v>1</v>
      </c>
      <c r="FN10" s="6">
        <v>7</v>
      </c>
      <c r="FO10" s="282">
        <v>0.78200000000000003</v>
      </c>
      <c r="FP10" s="71">
        <v>0.39999999999999997</v>
      </c>
      <c r="FQ10" s="142">
        <v>0.62666666666666659</v>
      </c>
      <c r="FR10" s="147">
        <v>0.5</v>
      </c>
      <c r="FS10" s="136">
        <v>0.68333333333333324</v>
      </c>
      <c r="FT10" s="135">
        <v>0.37285714285714283</v>
      </c>
      <c r="FU10" s="148">
        <v>0.73499999999999999</v>
      </c>
      <c r="FV10" s="149">
        <v>0.91999999999999993</v>
      </c>
      <c r="FW10" s="150">
        <v>0.93</v>
      </c>
      <c r="FX10" s="141">
        <v>0.8933333333333332</v>
      </c>
      <c r="FY10" s="283">
        <v>0.39999999999999997</v>
      </c>
      <c r="FZ10" s="320"/>
      <c r="GA10" s="6">
        <v>15</v>
      </c>
      <c r="GB10" s="6">
        <v>11</v>
      </c>
      <c r="GC10" s="6">
        <v>27</v>
      </c>
      <c r="GD10" s="6">
        <v>-3</v>
      </c>
      <c r="GE10" s="6">
        <v>5</v>
      </c>
      <c r="GF10" s="6">
        <v>16</v>
      </c>
      <c r="GG10" s="6">
        <v>71</v>
      </c>
      <c r="GH10" s="144">
        <v>1</v>
      </c>
    </row>
    <row r="11" spans="1:190" ht="16" x14ac:dyDescent="0.2">
      <c r="A11" s="3" t="s">
        <v>8</v>
      </c>
      <c r="B11" s="5">
        <v>0</v>
      </c>
      <c r="C11" s="5">
        <v>1</v>
      </c>
      <c r="D11" s="5">
        <v>26</v>
      </c>
      <c r="E11" s="5">
        <v>59</v>
      </c>
      <c r="F11" s="5">
        <v>54</v>
      </c>
      <c r="G11" s="5">
        <v>25</v>
      </c>
      <c r="H11" s="5">
        <v>183</v>
      </c>
      <c r="I11" s="5">
        <v>18</v>
      </c>
      <c r="J11" s="5">
        <v>160</v>
      </c>
      <c r="K11" s="5">
        <v>72</v>
      </c>
      <c r="L11" s="5">
        <v>92</v>
      </c>
      <c r="M11" s="5">
        <v>61</v>
      </c>
      <c r="N11" s="5">
        <v>166</v>
      </c>
      <c r="O11" s="5">
        <v>7</v>
      </c>
      <c r="P11" s="5">
        <v>-1</v>
      </c>
      <c r="Q11" s="5">
        <v>0</v>
      </c>
      <c r="R11" s="5">
        <v>1</v>
      </c>
      <c r="S11" s="5">
        <v>8</v>
      </c>
      <c r="T11">
        <v>7</v>
      </c>
      <c r="U11" s="5">
        <v>-1</v>
      </c>
      <c r="V11" s="5">
        <v>3</v>
      </c>
      <c r="W11" s="5">
        <v>11</v>
      </c>
      <c r="X11" s="5">
        <v>-8</v>
      </c>
      <c r="Y11" s="5">
        <v>1</v>
      </c>
      <c r="Z11" s="92">
        <v>-3.7704547368421E-2</v>
      </c>
      <c r="AA11" s="88">
        <v>14.5</v>
      </c>
      <c r="AB11" s="68">
        <v>84</v>
      </c>
      <c r="AC11" s="5">
        <v>77</v>
      </c>
      <c r="AD11" s="5">
        <v>108</v>
      </c>
      <c r="AE11" s="80">
        <v>90</v>
      </c>
      <c r="AF11" s="179">
        <v>4</v>
      </c>
      <c r="AG11" s="154">
        <v>7</v>
      </c>
      <c r="AH11" s="154">
        <v>-8</v>
      </c>
      <c r="AI11" s="154">
        <v>1</v>
      </c>
      <c r="AJ11" s="68">
        <v>88</v>
      </c>
      <c r="AK11" s="5">
        <v>84</v>
      </c>
      <c r="AL11" s="5">
        <v>100</v>
      </c>
      <c r="AM11" s="80">
        <v>91</v>
      </c>
      <c r="AN11" s="68">
        <v>84</v>
      </c>
      <c r="AO11" s="5">
        <v>77</v>
      </c>
      <c r="AP11" s="5">
        <v>108</v>
      </c>
      <c r="AQ11" s="80">
        <v>90</v>
      </c>
      <c r="AR11" s="68">
        <v>88</v>
      </c>
      <c r="AS11" s="5">
        <v>84</v>
      </c>
      <c r="AT11" s="5">
        <v>100</v>
      </c>
      <c r="AU11" s="80">
        <v>91</v>
      </c>
      <c r="AV11" s="179">
        <f t="shared" si="10"/>
        <v>4</v>
      </c>
      <c r="AW11" s="154">
        <f t="shared" si="11"/>
        <v>7</v>
      </c>
      <c r="AX11" s="154">
        <f t="shared" si="12"/>
        <v>-8</v>
      </c>
      <c r="AY11" s="185">
        <f t="shared" si="13"/>
        <v>1</v>
      </c>
      <c r="AZ11" s="9">
        <v>1.2857142857142858</v>
      </c>
      <c r="BA11" s="77">
        <v>0.14935064935064934</v>
      </c>
      <c r="BB11">
        <v>0.91666666666666663</v>
      </c>
      <c r="BC11" s="77">
        <v>-3.7878787878787956E-2</v>
      </c>
      <c r="BD11" s="154">
        <v>1</v>
      </c>
      <c r="BE11" s="144">
        <v>0.25</v>
      </c>
      <c r="BF11" s="5">
        <v>0</v>
      </c>
      <c r="BG11" s="5">
        <v>-1</v>
      </c>
      <c r="BK11" t="s">
        <v>8</v>
      </c>
      <c r="BL11">
        <v>0</v>
      </c>
      <c r="BM11">
        <v>0</v>
      </c>
      <c r="BN11">
        <v>1</v>
      </c>
      <c r="BO11">
        <v>1</v>
      </c>
      <c r="BP11">
        <v>2</v>
      </c>
      <c r="BQ11" t="s">
        <v>478</v>
      </c>
      <c r="BR11">
        <v>-1.8204670589212401E-28</v>
      </c>
      <c r="BS11" t="s">
        <v>479</v>
      </c>
      <c r="BT11">
        <v>-3.0624075809420199E-28</v>
      </c>
      <c r="BU11" s="18">
        <f t="shared" si="14"/>
        <v>-2.44143731993163E-28</v>
      </c>
      <c r="BV11" s="18"/>
      <c r="BW11">
        <v>1</v>
      </c>
      <c r="BX11">
        <v>0.30000001192100001</v>
      </c>
      <c r="BY11" s="18">
        <f t="shared" si="15"/>
        <v>0.69999998807899999</v>
      </c>
      <c r="BZ11" s="3">
        <v>0.18800000020000002</v>
      </c>
      <c r="CA11">
        <v>6.6666666666666671E-3</v>
      </c>
      <c r="CB11">
        <v>0.29000000133333331</v>
      </c>
      <c r="CC11">
        <v>0.52999999133333331</v>
      </c>
      <c r="CD11">
        <v>0.66666666666666663</v>
      </c>
      <c r="CE11">
        <v>2.4285714571428575E-2</v>
      </c>
      <c r="CF11">
        <v>0</v>
      </c>
      <c r="CG11">
        <v>0.45333333799999997</v>
      </c>
      <c r="CH11">
        <v>1</v>
      </c>
      <c r="CI11">
        <v>0.72999999933333337</v>
      </c>
      <c r="CJ11">
        <v>0.54000000166666673</v>
      </c>
      <c r="CK11" s="285" t="s">
        <v>529</v>
      </c>
      <c r="CL11" s="18">
        <v>1.468671265</v>
      </c>
      <c r="CM11" s="18">
        <v>-3.0254243939999999</v>
      </c>
      <c r="CN11" s="18">
        <v>-0.20431877879999999</v>
      </c>
      <c r="CO11" s="18">
        <v>-0.16001067660000001</v>
      </c>
      <c r="CP11" s="18">
        <v>5.5733252490000003E-2</v>
      </c>
      <c r="CQ11" s="18">
        <v>-0.16547764279999999</v>
      </c>
      <c r="CR11" s="18">
        <v>-0.13979975659999999</v>
      </c>
      <c r="CS11" s="18">
        <v>-0.18530570190000001</v>
      </c>
      <c r="CT11" s="18">
        <v>-0.27851456330000002</v>
      </c>
      <c r="CU11" s="285" t="s">
        <v>529</v>
      </c>
      <c r="CV11" s="18">
        <v>11.497704349999999</v>
      </c>
      <c r="CW11" s="18">
        <v>13.30867402</v>
      </c>
      <c r="CX11" s="18">
        <v>14.96476354</v>
      </c>
      <c r="CY11" s="292">
        <f>AVERAGE(CV11,CX11)</f>
        <v>13.231233945</v>
      </c>
      <c r="CZ11" s="18">
        <v>10.47452399</v>
      </c>
      <c r="DA11" s="18">
        <v>11.16413972</v>
      </c>
      <c r="DB11" s="18">
        <v>12.45880094</v>
      </c>
      <c r="DC11" s="292">
        <f>AVERAGE(CZ11,DB11)</f>
        <v>11.466662464999999</v>
      </c>
      <c r="DD11" s="24">
        <f t="shared" ref="DD11:DG15" si="17">CZ11-CV11</f>
        <v>-1.0231803599999996</v>
      </c>
      <c r="DE11" s="24">
        <f t="shared" si="17"/>
        <v>-2.1445343000000001</v>
      </c>
      <c r="DF11" s="294">
        <f t="shared" si="17"/>
        <v>-2.5059626000000002</v>
      </c>
      <c r="DG11" s="294">
        <f t="shared" si="17"/>
        <v>-1.7645714800000007</v>
      </c>
      <c r="DH11" s="295" t="s">
        <v>529</v>
      </c>
      <c r="DI11" s="18">
        <v>2.3381888019999999</v>
      </c>
      <c r="DJ11" s="18">
        <v>2.8519991689999999</v>
      </c>
      <c r="DK11" s="18">
        <v>2.8182886960000002</v>
      </c>
      <c r="DL11" s="3">
        <f>AVERAGE(DI11,DK11)</f>
        <v>2.5782387490000001</v>
      </c>
      <c r="DM11" s="18">
        <v>3.4219476109999998</v>
      </c>
      <c r="DN11" s="18">
        <v>2.8031716649999998</v>
      </c>
      <c r="DO11" s="18">
        <v>4.4861837580000001</v>
      </c>
      <c r="DP11" s="3">
        <f>AVERAGE(DM11,DO11)</f>
        <v>3.9540656844999997</v>
      </c>
      <c r="DQ11" s="24">
        <f t="shared" ref="DQ11:DT15" si="18">DM11-DI11</f>
        <v>1.0837588089999999</v>
      </c>
      <c r="DR11" s="24">
        <f t="shared" si="18"/>
        <v>-4.8827504000000133E-2</v>
      </c>
      <c r="DS11" s="24">
        <f t="shared" si="18"/>
        <v>1.6678950619999999</v>
      </c>
      <c r="DT11" s="188">
        <f t="shared" si="18"/>
        <v>1.3758269354999997</v>
      </c>
      <c r="DU11" s="295" t="s">
        <v>529</v>
      </c>
      <c r="DV11" s="18">
        <v>5.3950692499999997</v>
      </c>
      <c r="DW11" s="18">
        <v>8.1937316649999996</v>
      </c>
      <c r="DX11" s="18">
        <v>7.6361723870000002</v>
      </c>
      <c r="DY11" s="3">
        <f>AVERAGE(DV11,DX11)</f>
        <v>6.5156208185000004</v>
      </c>
      <c r="DZ11" s="18">
        <v>4.6469136730000002</v>
      </c>
      <c r="EA11" s="18">
        <v>4.3288625280000002</v>
      </c>
      <c r="EB11" s="18">
        <v>4.5756612199999998</v>
      </c>
      <c r="EC11" s="3">
        <f>AVERAGE(DZ11,EB11)</f>
        <v>4.6112874465000004</v>
      </c>
      <c r="ED11" s="24">
        <f t="shared" ref="ED11:EG15" si="19">DZ11-DV11</f>
        <v>-0.74815557699999946</v>
      </c>
      <c r="EE11" s="24">
        <f t="shared" si="19"/>
        <v>-3.8648691369999995</v>
      </c>
      <c r="EF11" s="24">
        <f t="shared" si="19"/>
        <v>-3.0605111670000005</v>
      </c>
      <c r="EG11" s="188">
        <f t="shared" si="19"/>
        <v>-1.904333372</v>
      </c>
      <c r="EH11" s="295" t="s">
        <v>529</v>
      </c>
      <c r="EI11" t="s">
        <v>478</v>
      </c>
      <c r="EJ11">
        <v>89.845520028504495</v>
      </c>
      <c r="EK11" t="s">
        <v>479</v>
      </c>
      <c r="EL11">
        <v>69.162383818088998</v>
      </c>
      <c r="EM11" s="3">
        <f t="shared" si="16"/>
        <v>79.503951923296739</v>
      </c>
      <c r="EN11">
        <v>2</v>
      </c>
      <c r="EO11">
        <v>7</v>
      </c>
      <c r="EP11">
        <v>9</v>
      </c>
      <c r="EQ11">
        <v>1</v>
      </c>
      <c r="ER11">
        <v>2</v>
      </c>
      <c r="ES11">
        <v>0</v>
      </c>
      <c r="ET11">
        <v>21</v>
      </c>
      <c r="EU11" s="5">
        <v>-3.0254243939999999</v>
      </c>
      <c r="EV11">
        <v>-17.072279242539452</v>
      </c>
      <c r="EW11" s="310">
        <v>9</v>
      </c>
      <c r="EX11" s="5">
        <v>59</v>
      </c>
      <c r="EY11" s="18">
        <v>25</v>
      </c>
      <c r="FA11" s="18">
        <v>0.18800000020000002</v>
      </c>
      <c r="FB11" s="18">
        <v>6.6666666666666671E-3</v>
      </c>
      <c r="FC11" s="18">
        <v>0.29000000133333331</v>
      </c>
      <c r="FD11" s="18">
        <v>0.52999999133333331</v>
      </c>
      <c r="FE11" s="18">
        <v>0.66666666666666663</v>
      </c>
      <c r="FF11" s="18">
        <v>2.4285714571428575E-2</v>
      </c>
      <c r="FG11" s="18">
        <v>0</v>
      </c>
      <c r="FH11" s="18">
        <v>0.45333333799999997</v>
      </c>
      <c r="FI11" s="18">
        <v>1</v>
      </c>
      <c r="FJ11" s="18">
        <v>0.72999999933333337</v>
      </c>
      <c r="FK11" s="18">
        <v>0.54000000166666673</v>
      </c>
      <c r="FL11" s="5">
        <v>0</v>
      </c>
      <c r="FM11" s="5">
        <v>-1</v>
      </c>
      <c r="FN11" s="5">
        <v>1</v>
      </c>
      <c r="FO11" s="259">
        <v>0.18800000020000002</v>
      </c>
      <c r="FP11" s="72">
        <v>6.6666666666666671E-3</v>
      </c>
      <c r="FQ11" s="260">
        <v>0.29000000133333331</v>
      </c>
      <c r="FR11" s="261">
        <v>0.52999999133333331</v>
      </c>
      <c r="FS11" s="154">
        <v>0.66666666666666663</v>
      </c>
      <c r="FT11" s="262">
        <v>2.4285714571428575E-2</v>
      </c>
      <c r="FU11" s="263">
        <v>0</v>
      </c>
      <c r="FV11" s="264">
        <v>0.45333333799999997</v>
      </c>
      <c r="FW11" s="265">
        <v>1</v>
      </c>
      <c r="FX11" s="266">
        <v>0.72999999933333337</v>
      </c>
      <c r="FY11" s="267">
        <v>0.54000000166666673</v>
      </c>
      <c r="FZ11" s="5">
        <v>-3.0254243939999999</v>
      </c>
      <c r="GA11">
        <v>2</v>
      </c>
      <c r="GB11">
        <v>7</v>
      </c>
      <c r="GC11">
        <v>9</v>
      </c>
      <c r="GD11">
        <v>1</v>
      </c>
      <c r="GE11">
        <v>2</v>
      </c>
      <c r="GF11">
        <v>0</v>
      </c>
      <c r="GG11">
        <v>21</v>
      </c>
      <c r="GH11" s="144">
        <v>0.25</v>
      </c>
    </row>
    <row r="12" spans="1:190" ht="16" x14ac:dyDescent="0.2">
      <c r="A12" s="3" t="s">
        <v>9</v>
      </c>
      <c r="B12" s="5">
        <v>0</v>
      </c>
      <c r="C12" s="5">
        <v>5</v>
      </c>
      <c r="D12" s="5">
        <v>29</v>
      </c>
      <c r="E12" s="5">
        <v>19</v>
      </c>
      <c r="F12" s="5">
        <v>44</v>
      </c>
      <c r="G12" s="5">
        <v>40</v>
      </c>
      <c r="H12" s="5">
        <v>174</v>
      </c>
      <c r="I12" s="5">
        <v>15</v>
      </c>
      <c r="J12" s="5">
        <v>106</v>
      </c>
      <c r="K12" s="5">
        <v>118</v>
      </c>
      <c r="L12" s="5">
        <v>101</v>
      </c>
      <c r="M12" s="5">
        <v>78</v>
      </c>
      <c r="N12" s="5">
        <v>109</v>
      </c>
      <c r="O12" s="5">
        <v>2.5</v>
      </c>
      <c r="P12" s="5">
        <v>-10</v>
      </c>
      <c r="Q12" s="5">
        <v>2</v>
      </c>
      <c r="R12" s="5">
        <v>2</v>
      </c>
      <c r="S12" s="5">
        <v>14</v>
      </c>
      <c r="T12">
        <v>2</v>
      </c>
      <c r="U12" s="5">
        <v>-2</v>
      </c>
      <c r="V12" s="5">
        <v>9</v>
      </c>
      <c r="W12" s="5">
        <v>10</v>
      </c>
      <c r="X12" s="5">
        <v>5</v>
      </c>
      <c r="Y12" s="5">
        <v>10</v>
      </c>
      <c r="Z12" s="92">
        <v>4.3502402631579E-2</v>
      </c>
      <c r="AA12" s="88">
        <v>11</v>
      </c>
      <c r="AB12" s="68">
        <v>95</v>
      </c>
      <c r="AC12" s="5">
        <v>90</v>
      </c>
      <c r="AD12" s="5">
        <v>103</v>
      </c>
      <c r="AE12" s="80">
        <v>96</v>
      </c>
      <c r="AF12" s="179">
        <v>0</v>
      </c>
      <c r="AG12" s="154">
        <v>-2</v>
      </c>
      <c r="AH12" s="154">
        <v>9</v>
      </c>
      <c r="AI12" s="154">
        <v>2</v>
      </c>
      <c r="AJ12" s="68">
        <v>95</v>
      </c>
      <c r="AK12" s="5">
        <v>88</v>
      </c>
      <c r="AL12" s="5">
        <v>112</v>
      </c>
      <c r="AM12" s="80">
        <v>98</v>
      </c>
      <c r="AN12" s="68">
        <v>95</v>
      </c>
      <c r="AO12" s="5">
        <v>90</v>
      </c>
      <c r="AP12" s="5">
        <v>103</v>
      </c>
      <c r="AQ12" s="80">
        <v>96</v>
      </c>
      <c r="AR12" s="68">
        <v>95</v>
      </c>
      <c r="AS12" s="5">
        <v>88</v>
      </c>
      <c r="AT12" s="5">
        <v>112</v>
      </c>
      <c r="AU12" s="80">
        <v>98</v>
      </c>
      <c r="AV12" s="179">
        <f t="shared" si="10"/>
        <v>0</v>
      </c>
      <c r="AW12" s="154">
        <f t="shared" si="11"/>
        <v>-2</v>
      </c>
      <c r="AX12" s="154">
        <f t="shared" si="12"/>
        <v>9</v>
      </c>
      <c r="AY12" s="185">
        <f t="shared" si="13"/>
        <v>2</v>
      </c>
      <c r="AZ12" s="9">
        <v>1.0842105263157895</v>
      </c>
      <c r="BA12" s="77">
        <v>-9.4736842105263008E-2</v>
      </c>
      <c r="BB12">
        <v>0.94736842105263153</v>
      </c>
      <c r="BC12" s="77">
        <v>2.1052631578947323E-2</v>
      </c>
      <c r="BD12" s="154">
        <v>0.97</v>
      </c>
      <c r="BE12" s="144">
        <v>0</v>
      </c>
      <c r="BF12" s="5">
        <v>2</v>
      </c>
      <c r="BG12" s="5">
        <v>-10</v>
      </c>
      <c r="BK12" t="s">
        <v>9</v>
      </c>
      <c r="BL12">
        <v>0</v>
      </c>
      <c r="BM12">
        <v>0</v>
      </c>
      <c r="BN12">
        <v>0</v>
      </c>
      <c r="BO12">
        <v>0</v>
      </c>
      <c r="BP12">
        <v>0</v>
      </c>
      <c r="BQ12" t="s">
        <v>480</v>
      </c>
      <c r="BR12">
        <v>4.9383535401985099E-27</v>
      </c>
      <c r="BS12" t="s">
        <v>481</v>
      </c>
      <c r="BT12">
        <v>4.7310489295057099E-27</v>
      </c>
      <c r="BU12" s="18">
        <f t="shared" si="14"/>
        <v>4.8347012348521102E-27</v>
      </c>
      <c r="BV12" s="18"/>
      <c r="BW12">
        <v>1</v>
      </c>
      <c r="BX12">
        <v>0</v>
      </c>
      <c r="BY12" s="18">
        <f t="shared" si="15"/>
        <v>1</v>
      </c>
      <c r="BZ12" s="3">
        <v>0.16200000000000001</v>
      </c>
      <c r="CA12">
        <v>0.10666666666666667</v>
      </c>
      <c r="CB12">
        <v>0.11333333333333333</v>
      </c>
      <c r="CC12">
        <v>7.0000000000000007E-2</v>
      </c>
      <c r="CD12">
        <v>0.67333333333333334</v>
      </c>
      <c r="CE12">
        <v>0.63428571428571423</v>
      </c>
      <c r="CF12">
        <v>0.25333333333333335</v>
      </c>
      <c r="CG12">
        <v>0.42333333333333334</v>
      </c>
      <c r="CH12">
        <v>0.96333333333333326</v>
      </c>
      <c r="CI12">
        <v>0.03</v>
      </c>
      <c r="CJ12">
        <v>0.15666666666666665</v>
      </c>
      <c r="CK12" s="296" t="s">
        <v>530</v>
      </c>
      <c r="CL12" s="18">
        <v>1.0856230659999999</v>
      </c>
      <c r="CM12" s="18">
        <v>-1.202560635</v>
      </c>
      <c r="CN12" s="18">
        <v>-0.73623574599999997</v>
      </c>
      <c r="CO12" s="18">
        <v>-0.46553508230000001</v>
      </c>
      <c r="CP12" s="18">
        <v>-0.54200883030000002</v>
      </c>
      <c r="CQ12" s="18">
        <v>-0.29437390720000001</v>
      </c>
      <c r="CR12" s="18">
        <v>-0.40736839229999999</v>
      </c>
      <c r="CS12" s="18">
        <v>-6.0932764340000001E-2</v>
      </c>
      <c r="CT12" s="18">
        <v>-0.47228327040000001</v>
      </c>
      <c r="CU12" s="296" t="s">
        <v>530</v>
      </c>
      <c r="CV12" s="18">
        <v>13.627632589999999</v>
      </c>
      <c r="CW12" s="18">
        <v>11.987173200000001</v>
      </c>
      <c r="CX12" s="18">
        <v>18.56488328</v>
      </c>
      <c r="CY12" s="292">
        <f>AVERAGE(CV12,CX12)</f>
        <v>16.096257935000001</v>
      </c>
      <c r="CZ12" s="18">
        <v>8.5172163310000002</v>
      </c>
      <c r="DA12" s="18">
        <v>8.3996779470000007</v>
      </c>
      <c r="DB12" s="18">
        <v>9.2746390099999996</v>
      </c>
      <c r="DC12" s="292">
        <f>AVERAGE(CZ12,DB12)</f>
        <v>8.8959276705000008</v>
      </c>
      <c r="DD12" s="24">
        <f t="shared" si="17"/>
        <v>-5.1104162589999991</v>
      </c>
      <c r="DE12" s="24">
        <f t="shared" si="17"/>
        <v>-3.5874952530000002</v>
      </c>
      <c r="DF12" s="294">
        <f t="shared" si="17"/>
        <v>-9.2902442700000005</v>
      </c>
      <c r="DG12" s="294">
        <f t="shared" si="17"/>
        <v>-7.2003302644999998</v>
      </c>
      <c r="DH12" s="297" t="s">
        <v>530</v>
      </c>
      <c r="DI12" s="18">
        <v>3.7475685470000002</v>
      </c>
      <c r="DJ12" s="18">
        <v>3.83344628</v>
      </c>
      <c r="DK12" s="18">
        <v>5.5062615959999999</v>
      </c>
      <c r="DL12" s="3">
        <f>AVERAGE(DI12,DK12)</f>
        <v>4.6269150715</v>
      </c>
      <c r="DM12" s="18">
        <v>4.5413385499999999</v>
      </c>
      <c r="DN12" s="18">
        <v>3.2617624919999999</v>
      </c>
      <c r="DO12" s="18">
        <v>4.6758254570000002</v>
      </c>
      <c r="DP12" s="3">
        <f>AVERAGE(DM12,DO12)</f>
        <v>4.6085820035000005</v>
      </c>
      <c r="DQ12" s="24">
        <f t="shared" si="18"/>
        <v>0.79377000299999967</v>
      </c>
      <c r="DR12" s="24">
        <f t="shared" si="18"/>
        <v>-0.57168378800000008</v>
      </c>
      <c r="DS12" s="24">
        <f t="shared" si="18"/>
        <v>-0.83043613899999968</v>
      </c>
      <c r="DT12" s="188">
        <f t="shared" si="18"/>
        <v>-1.8333067999999564E-2</v>
      </c>
      <c r="DU12" s="297" t="s">
        <v>530</v>
      </c>
      <c r="DV12" s="18">
        <v>15.535241170000001</v>
      </c>
      <c r="DW12" s="18">
        <v>16.482100549999998</v>
      </c>
      <c r="DX12" s="18">
        <v>23.365291450000001</v>
      </c>
      <c r="DY12" s="3">
        <f>AVERAGE(DV12,DX12)</f>
        <v>19.45026631</v>
      </c>
      <c r="DZ12" s="18">
        <v>11.51627193</v>
      </c>
      <c r="EA12" s="18">
        <v>11.135217730000001</v>
      </c>
      <c r="EB12" s="18">
        <v>10.210541600000001</v>
      </c>
      <c r="EC12" s="3">
        <f>AVERAGE(DZ12,EB12)</f>
        <v>10.863406765000001</v>
      </c>
      <c r="ED12" s="24">
        <f t="shared" si="19"/>
        <v>-4.0189692400000006</v>
      </c>
      <c r="EE12" s="24">
        <f t="shared" si="19"/>
        <v>-5.3468828199999976</v>
      </c>
      <c r="EF12" s="24">
        <f t="shared" si="19"/>
        <v>-13.15474985</v>
      </c>
      <c r="EG12" s="188">
        <f t="shared" si="19"/>
        <v>-8.5868595449999994</v>
      </c>
      <c r="EH12" s="297" t="s">
        <v>530</v>
      </c>
      <c r="EI12" t="s">
        <v>480</v>
      </c>
      <c r="EJ12">
        <v>128.777100966365</v>
      </c>
      <c r="EK12" t="s">
        <v>481</v>
      </c>
      <c r="EL12">
        <v>124.65199171866399</v>
      </c>
      <c r="EM12" s="3">
        <f t="shared" si="16"/>
        <v>126.7145463425145</v>
      </c>
      <c r="EN12">
        <v>2</v>
      </c>
      <c r="EO12">
        <v>7</v>
      </c>
      <c r="EP12">
        <v>22</v>
      </c>
      <c r="EQ12">
        <v>-4</v>
      </c>
      <c r="ER12">
        <v>8</v>
      </c>
      <c r="ES12">
        <v>2</v>
      </c>
      <c r="ET12">
        <v>37</v>
      </c>
      <c r="EU12" s="5">
        <v>-1.202560635</v>
      </c>
      <c r="EV12">
        <v>-49.416843312340902</v>
      </c>
      <c r="EW12" s="310">
        <v>10</v>
      </c>
      <c r="EX12" s="5">
        <v>19</v>
      </c>
      <c r="EY12" s="18">
        <v>40</v>
      </c>
      <c r="FA12" s="18">
        <v>0.16200000000000001</v>
      </c>
      <c r="FB12" s="18">
        <v>0.10666666666666667</v>
      </c>
      <c r="FC12" s="18">
        <v>0.11333333333333333</v>
      </c>
      <c r="FD12" s="18">
        <v>7.0000000000000007E-2</v>
      </c>
      <c r="FE12" s="18">
        <v>0.67333333333333334</v>
      </c>
      <c r="FF12" s="18">
        <v>0.63428571428571423</v>
      </c>
      <c r="FG12" s="18">
        <v>0.25333333333333335</v>
      </c>
      <c r="FH12" s="18">
        <v>0.42333333333333334</v>
      </c>
      <c r="FI12" s="18">
        <v>0.96333333333333326</v>
      </c>
      <c r="FJ12" s="18">
        <v>0.03</v>
      </c>
      <c r="FK12" s="18">
        <v>0.15666666666666665</v>
      </c>
      <c r="FL12" s="5">
        <v>2</v>
      </c>
      <c r="FM12" s="5">
        <v>-2</v>
      </c>
      <c r="FN12" s="5">
        <v>10</v>
      </c>
      <c r="FO12" s="259">
        <v>0.16200000000000001</v>
      </c>
      <c r="FP12" s="72">
        <v>0.10666666666666667</v>
      </c>
      <c r="FQ12" s="260">
        <v>0.11333333333333333</v>
      </c>
      <c r="FR12" s="261">
        <v>7.0000000000000007E-2</v>
      </c>
      <c r="FS12" s="154">
        <v>0.67333333333333334</v>
      </c>
      <c r="FT12" s="262">
        <v>0.63428571428571423</v>
      </c>
      <c r="FU12" s="263">
        <v>0.25333333333333335</v>
      </c>
      <c r="FV12" s="264">
        <v>0.42333333333333334</v>
      </c>
      <c r="FW12" s="265">
        <v>0.96333333333333326</v>
      </c>
      <c r="FX12" s="266">
        <v>0.03</v>
      </c>
      <c r="FY12" s="267">
        <v>0.15666666666666665</v>
      </c>
      <c r="FZ12" s="5">
        <v>-1.202560635</v>
      </c>
      <c r="GA12">
        <v>2</v>
      </c>
      <c r="GB12">
        <v>7</v>
      </c>
      <c r="GC12">
        <v>22</v>
      </c>
      <c r="GD12">
        <v>-4</v>
      </c>
      <c r="GE12">
        <v>8</v>
      </c>
      <c r="GF12">
        <v>2</v>
      </c>
      <c r="GG12">
        <v>37</v>
      </c>
      <c r="GH12" s="144">
        <v>0</v>
      </c>
    </row>
    <row r="13" spans="1:190" ht="16" x14ac:dyDescent="0.2">
      <c r="A13" s="3" t="s">
        <v>10</v>
      </c>
      <c r="B13" s="5">
        <v>0</v>
      </c>
      <c r="C13" s="5">
        <v>8</v>
      </c>
      <c r="D13" s="5">
        <v>28</v>
      </c>
      <c r="E13" s="5">
        <v>75</v>
      </c>
      <c r="F13" s="5">
        <v>49</v>
      </c>
      <c r="G13" s="5">
        <v>52</v>
      </c>
      <c r="H13" s="5">
        <v>171</v>
      </c>
      <c r="I13" s="5">
        <v>18</v>
      </c>
      <c r="J13" s="5">
        <v>124</v>
      </c>
      <c r="K13" s="5">
        <v>123</v>
      </c>
      <c r="L13" s="5">
        <v>108</v>
      </c>
      <c r="M13" s="5">
        <v>82</v>
      </c>
      <c r="N13" s="5">
        <v>135</v>
      </c>
      <c r="O13" s="5">
        <v>0.5</v>
      </c>
      <c r="P13" s="5">
        <v>-1</v>
      </c>
      <c r="Q13" s="5">
        <v>2</v>
      </c>
      <c r="R13" s="5">
        <v>1</v>
      </c>
      <c r="S13" s="5">
        <v>9</v>
      </c>
      <c r="T13">
        <v>9</v>
      </c>
      <c r="U13" s="5">
        <v>-1</v>
      </c>
      <c r="V13" s="5">
        <v>4</v>
      </c>
      <c r="W13" s="5">
        <v>0</v>
      </c>
      <c r="X13" s="5">
        <v>-1</v>
      </c>
      <c r="Y13" s="5">
        <v>1</v>
      </c>
      <c r="Z13" s="92">
        <v>-2.6179147368421002E-2</v>
      </c>
      <c r="AA13" s="88">
        <v>8.5</v>
      </c>
      <c r="AB13" s="68">
        <v>100</v>
      </c>
      <c r="AC13" s="5">
        <v>87</v>
      </c>
      <c r="AD13" s="5">
        <v>115</v>
      </c>
      <c r="AE13" s="80">
        <v>101</v>
      </c>
      <c r="AF13" s="179">
        <v>11</v>
      </c>
      <c r="AG13" s="154">
        <v>15</v>
      </c>
      <c r="AH13" s="154">
        <v>11</v>
      </c>
      <c r="AI13" s="154">
        <v>12</v>
      </c>
      <c r="AJ13" s="68">
        <v>111</v>
      </c>
      <c r="AK13" s="5">
        <v>102</v>
      </c>
      <c r="AL13" s="5">
        <v>126</v>
      </c>
      <c r="AM13" s="80">
        <v>113</v>
      </c>
      <c r="AN13" s="68">
        <v>100</v>
      </c>
      <c r="AO13" s="5">
        <v>87</v>
      </c>
      <c r="AP13" s="5">
        <v>115</v>
      </c>
      <c r="AQ13" s="80">
        <v>101</v>
      </c>
      <c r="AR13" s="68">
        <v>111</v>
      </c>
      <c r="AS13" s="5">
        <v>102</v>
      </c>
      <c r="AT13" s="5">
        <v>126</v>
      </c>
      <c r="AU13" s="80">
        <v>113</v>
      </c>
      <c r="AV13" s="179">
        <f t="shared" si="10"/>
        <v>11</v>
      </c>
      <c r="AW13" s="154">
        <f t="shared" si="11"/>
        <v>15</v>
      </c>
      <c r="AX13" s="154">
        <f t="shared" si="12"/>
        <v>11</v>
      </c>
      <c r="AY13" s="185">
        <f t="shared" si="13"/>
        <v>12</v>
      </c>
      <c r="AZ13" s="9">
        <v>1.1499999999999999</v>
      </c>
      <c r="BA13" s="77">
        <v>1.4864864864864824E-2</v>
      </c>
      <c r="BB13">
        <v>0.87</v>
      </c>
      <c r="BC13" s="77">
        <v>-4.8918918918918974E-2</v>
      </c>
      <c r="BD13" s="154">
        <v>0.28999999165500001</v>
      </c>
      <c r="BE13" s="144">
        <v>0.10000000149</v>
      </c>
      <c r="BF13" s="5">
        <v>2</v>
      </c>
      <c r="BG13" s="5">
        <v>-1</v>
      </c>
      <c r="BK13" t="s">
        <v>10</v>
      </c>
      <c r="BL13">
        <v>-5</v>
      </c>
      <c r="BM13" s="221">
        <v>-10</v>
      </c>
      <c r="BN13" s="21">
        <v>-8</v>
      </c>
      <c r="BO13">
        <v>-8</v>
      </c>
      <c r="BP13">
        <v>-26</v>
      </c>
      <c r="BR13" s="222"/>
      <c r="BS13" s="222"/>
      <c r="BT13" s="222"/>
      <c r="BU13" s="222"/>
      <c r="BV13" s="222"/>
      <c r="BW13">
        <v>0.47999998927100002</v>
      </c>
      <c r="BX13">
        <v>0.109999999404</v>
      </c>
      <c r="BY13" s="18">
        <f t="shared" si="15"/>
        <v>0.369999989867</v>
      </c>
      <c r="BZ13" s="3">
        <v>8.7999998400000001E-2</v>
      </c>
      <c r="CA13">
        <v>0.16999999933333335</v>
      </c>
      <c r="CB13">
        <v>0.19333333266666666</v>
      </c>
      <c r="CC13">
        <v>5.0000000999999995E-2</v>
      </c>
      <c r="CD13">
        <v>0</v>
      </c>
      <c r="CE13">
        <v>0.11000000057142857</v>
      </c>
      <c r="CF13">
        <v>2.4999999666666672E-2</v>
      </c>
      <c r="CG13">
        <v>0.1766666733333333</v>
      </c>
      <c r="CH13">
        <v>0.56000000233333325</v>
      </c>
      <c r="CI13">
        <v>5.9999999333333331E-2</v>
      </c>
      <c r="CJ13">
        <v>4.3333333666666668E-2</v>
      </c>
      <c r="CK13" s="285" t="s">
        <v>531</v>
      </c>
      <c r="CL13" s="18">
        <v>1.03214019</v>
      </c>
      <c r="CM13" s="18">
        <v>-0.80597653049999995</v>
      </c>
      <c r="CN13" s="18">
        <v>-0.17369222500000001</v>
      </c>
      <c r="CO13" s="18">
        <v>-2.4710641420000001E-3</v>
      </c>
      <c r="CP13" s="18">
        <v>-0.42972363419999998</v>
      </c>
      <c r="CQ13" s="18">
        <v>-0.68886163560000002</v>
      </c>
      <c r="CR13" s="18">
        <v>-0.21420504679999999</v>
      </c>
      <c r="CS13" s="18">
        <v>-0.57120965339999996</v>
      </c>
      <c r="CT13" s="18">
        <v>-0.51399470059999997</v>
      </c>
      <c r="CU13" s="285" t="s">
        <v>531</v>
      </c>
      <c r="CV13" s="18">
        <v>15.19973283</v>
      </c>
      <c r="CW13" s="18">
        <v>15.39336215</v>
      </c>
      <c r="CX13" s="18">
        <v>14.24500184</v>
      </c>
      <c r="CY13" s="292">
        <f>AVERAGE(CV13,CX13)</f>
        <v>14.722367335000001</v>
      </c>
      <c r="CZ13" s="18">
        <v>9.5187383039999993</v>
      </c>
      <c r="DA13" s="18">
        <v>8.6606581499999997</v>
      </c>
      <c r="DB13" s="18">
        <v>8.7751716399999999</v>
      </c>
      <c r="DC13" s="292">
        <f>AVERAGE(CZ13,DB13)</f>
        <v>9.1469549719999996</v>
      </c>
      <c r="DD13" s="24">
        <f t="shared" si="17"/>
        <v>-5.680994526000001</v>
      </c>
      <c r="DE13" s="24">
        <f t="shared" si="17"/>
        <v>-6.732704</v>
      </c>
      <c r="DF13" s="294">
        <f t="shared" si="17"/>
        <v>-5.4698302000000005</v>
      </c>
      <c r="DG13" s="294">
        <f t="shared" si="17"/>
        <v>-5.5754123630000016</v>
      </c>
      <c r="DH13" s="295" t="s">
        <v>531</v>
      </c>
      <c r="DI13" s="18">
        <v>4.7950903079999998</v>
      </c>
      <c r="DJ13" s="18">
        <v>5.8539388929999996</v>
      </c>
      <c r="DK13" s="18">
        <v>5.3245884830000003</v>
      </c>
      <c r="DL13" s="3">
        <f>AVERAGE(DI13,DK13)</f>
        <v>5.0598393955000001</v>
      </c>
      <c r="DM13" s="18">
        <v>3.922202972</v>
      </c>
      <c r="DN13" s="18">
        <v>4.8116416150000001</v>
      </c>
      <c r="DO13" s="18">
        <v>4.2326210809999996</v>
      </c>
      <c r="DP13" s="3">
        <f>AVERAGE(DM13,DO13)</f>
        <v>4.0774120264999993</v>
      </c>
      <c r="DQ13" s="24">
        <f t="shared" si="18"/>
        <v>-0.87288733599999979</v>
      </c>
      <c r="DR13" s="24">
        <f t="shared" si="18"/>
        <v>-1.0422972779999995</v>
      </c>
      <c r="DS13" s="24">
        <f t="shared" si="18"/>
        <v>-1.0919674020000008</v>
      </c>
      <c r="DT13" s="188">
        <f t="shared" si="18"/>
        <v>-0.98242736900000072</v>
      </c>
      <c r="DU13" s="295" t="s">
        <v>531</v>
      </c>
      <c r="DV13" s="18">
        <v>18.190954219999998</v>
      </c>
      <c r="DW13" s="18">
        <v>11.709819489999999</v>
      </c>
      <c r="DX13" s="18">
        <v>13.89472219</v>
      </c>
      <c r="DY13" s="3">
        <f>AVERAGE(DV13,DX13)</f>
        <v>16.042838204999999</v>
      </c>
      <c r="DZ13" s="18">
        <v>4.3374135530000002</v>
      </c>
      <c r="EA13" s="18">
        <v>5.6419672380000003</v>
      </c>
      <c r="EB13" s="18">
        <v>4.022873658</v>
      </c>
      <c r="EC13" s="3">
        <f>AVERAGE(DZ13,EB13)</f>
        <v>4.1801436054999996</v>
      </c>
      <c r="ED13" s="24">
        <f t="shared" si="19"/>
        <v>-13.853540666999997</v>
      </c>
      <c r="EE13" s="24">
        <f t="shared" si="19"/>
        <v>-6.0678522519999989</v>
      </c>
      <c r="EF13" s="24">
        <f t="shared" si="19"/>
        <v>-9.8718485319999996</v>
      </c>
      <c r="EG13" s="188">
        <f t="shared" si="19"/>
        <v>-11.862694599499999</v>
      </c>
      <c r="EH13" s="295" t="s">
        <v>531</v>
      </c>
      <c r="EM13" s="3"/>
      <c r="EN13">
        <v>3</v>
      </c>
      <c r="EO13">
        <v>4</v>
      </c>
      <c r="EP13">
        <v>9</v>
      </c>
      <c r="EQ13">
        <v>-1</v>
      </c>
      <c r="ER13">
        <v>0</v>
      </c>
      <c r="ES13">
        <v>1</v>
      </c>
      <c r="ET13">
        <v>16</v>
      </c>
      <c r="EU13" s="5">
        <v>-0.80597653049999995</v>
      </c>
      <c r="EV13">
        <v>-15.737834870417045</v>
      </c>
      <c r="EW13" s="310">
        <v>11</v>
      </c>
      <c r="EX13" s="5">
        <v>75</v>
      </c>
      <c r="EY13" s="18">
        <v>52</v>
      </c>
      <c r="FA13" s="18">
        <v>8.7999998400000001E-2</v>
      </c>
      <c r="FB13" s="18">
        <v>0.16999999933333335</v>
      </c>
      <c r="FC13" s="18">
        <v>0.18666666600000001</v>
      </c>
      <c r="FD13" s="18">
        <v>5.0000000999999995E-2</v>
      </c>
      <c r="FE13" s="18">
        <v>0</v>
      </c>
      <c r="FF13" s="18">
        <v>0.11000000057142857</v>
      </c>
      <c r="FG13" s="18">
        <v>2.4999999666666672E-2</v>
      </c>
      <c r="FH13" s="18">
        <v>0.17333333999999997</v>
      </c>
      <c r="FI13" s="18">
        <v>0.56000000233333325</v>
      </c>
      <c r="FJ13" s="18">
        <v>5.9999999333333331E-2</v>
      </c>
      <c r="FK13" s="18">
        <v>4.3333333666666668E-2</v>
      </c>
      <c r="FL13" s="5">
        <v>2</v>
      </c>
      <c r="FM13" s="5">
        <v>-1</v>
      </c>
      <c r="FN13" s="5">
        <v>1</v>
      </c>
      <c r="FO13" s="259">
        <v>8.7999998400000001E-2</v>
      </c>
      <c r="FP13" s="72">
        <v>0.16999999933333335</v>
      </c>
      <c r="FQ13" s="260">
        <v>0.19333333266666666</v>
      </c>
      <c r="FR13" s="261">
        <v>5.0000000999999995E-2</v>
      </c>
      <c r="FS13" s="154">
        <v>0</v>
      </c>
      <c r="FT13" s="262">
        <v>0.11000000057142857</v>
      </c>
      <c r="FU13" s="263">
        <v>2.4999999666666672E-2</v>
      </c>
      <c r="FV13" s="264">
        <v>0.1766666733333333</v>
      </c>
      <c r="FW13" s="265">
        <v>0.56000000233333325</v>
      </c>
      <c r="FX13" s="266">
        <v>5.9999999333333331E-2</v>
      </c>
      <c r="FY13" s="267">
        <v>4.3333333666666668E-2</v>
      </c>
      <c r="FZ13" s="5">
        <v>-0.80597653049999995</v>
      </c>
      <c r="GA13">
        <v>3</v>
      </c>
      <c r="GB13">
        <v>4</v>
      </c>
      <c r="GC13">
        <v>9</v>
      </c>
      <c r="GD13">
        <v>-1</v>
      </c>
      <c r="GE13">
        <v>0</v>
      </c>
      <c r="GF13">
        <v>1</v>
      </c>
      <c r="GG13">
        <v>16</v>
      </c>
      <c r="GH13" s="144">
        <v>0.10000000149</v>
      </c>
    </row>
    <row r="14" spans="1:190" ht="16" x14ac:dyDescent="0.2">
      <c r="A14" s="3" t="s">
        <v>11</v>
      </c>
      <c r="B14" s="79" t="s">
        <v>275</v>
      </c>
      <c r="C14" s="5">
        <v>3</v>
      </c>
      <c r="D14" s="5">
        <v>23</v>
      </c>
      <c r="E14" s="5">
        <v>49</v>
      </c>
      <c r="F14" s="5">
        <v>56</v>
      </c>
      <c r="G14" s="5">
        <v>30</v>
      </c>
      <c r="H14" s="5">
        <v>177</v>
      </c>
      <c r="I14" s="5">
        <v>21</v>
      </c>
      <c r="J14" s="5">
        <v>126</v>
      </c>
      <c r="K14" s="5">
        <v>121</v>
      </c>
      <c r="L14" s="5">
        <v>142</v>
      </c>
      <c r="M14" s="5">
        <v>79</v>
      </c>
      <c r="N14" s="5">
        <v>148</v>
      </c>
      <c r="O14" s="5">
        <v>0</v>
      </c>
      <c r="P14" s="5">
        <v>-2</v>
      </c>
      <c r="Q14" s="5">
        <v>0</v>
      </c>
      <c r="R14" s="5">
        <v>-8</v>
      </c>
      <c r="S14" s="5">
        <v>12</v>
      </c>
      <c r="T14">
        <v>10</v>
      </c>
      <c r="U14" s="5">
        <v>8</v>
      </c>
      <c r="V14" s="5">
        <v>-14</v>
      </c>
      <c r="W14" s="5">
        <v>4</v>
      </c>
      <c r="X14" s="5">
        <v>-14</v>
      </c>
      <c r="Y14" s="5">
        <v>2</v>
      </c>
      <c r="Z14" s="92">
        <v>-4.0417647368421003E-2</v>
      </c>
      <c r="AA14" s="88">
        <v>4</v>
      </c>
      <c r="AB14" s="68">
        <v>84</v>
      </c>
      <c r="AC14" s="5">
        <v>84</v>
      </c>
      <c r="AD14" s="5">
        <v>88</v>
      </c>
      <c r="AE14" s="80">
        <v>85</v>
      </c>
      <c r="AF14" s="179">
        <v>-5</v>
      </c>
      <c r="AG14" s="154">
        <v>-2</v>
      </c>
      <c r="AH14" s="154">
        <v>7</v>
      </c>
      <c r="AI14" s="154">
        <v>0</v>
      </c>
      <c r="AJ14" s="68">
        <v>79</v>
      </c>
      <c r="AK14" s="5">
        <v>82</v>
      </c>
      <c r="AL14" s="5">
        <v>95</v>
      </c>
      <c r="AM14" s="80">
        <v>85</v>
      </c>
      <c r="AN14" s="68">
        <v>84</v>
      </c>
      <c r="AO14" s="5">
        <v>84</v>
      </c>
      <c r="AP14" s="5">
        <v>88</v>
      </c>
      <c r="AQ14" s="80">
        <v>85</v>
      </c>
      <c r="AR14" s="68">
        <v>79</v>
      </c>
      <c r="AS14" s="5">
        <v>82</v>
      </c>
      <c r="AT14" s="5">
        <v>95</v>
      </c>
      <c r="AU14" s="80">
        <v>85</v>
      </c>
      <c r="AV14" s="179">
        <f t="shared" si="10"/>
        <v>-5</v>
      </c>
      <c r="AW14" s="154">
        <f t="shared" si="11"/>
        <v>-2</v>
      </c>
      <c r="AX14" s="154">
        <f t="shared" si="12"/>
        <v>7</v>
      </c>
      <c r="AY14" s="185">
        <f t="shared" si="13"/>
        <v>0</v>
      </c>
      <c r="AZ14" s="9">
        <v>1.0476190476190477</v>
      </c>
      <c r="BA14" s="77">
        <v>-0.15491259795057255</v>
      </c>
      <c r="BB14">
        <v>1</v>
      </c>
      <c r="BC14" s="77">
        <v>-3.7974683544303778E-2</v>
      </c>
      <c r="BD14" s="154">
        <v>0.68</v>
      </c>
      <c r="BE14" s="144">
        <v>0.11</v>
      </c>
      <c r="BF14" s="5">
        <v>0</v>
      </c>
      <c r="BG14" s="5">
        <v>-2</v>
      </c>
      <c r="BK14" t="s">
        <v>11</v>
      </c>
      <c r="BL14">
        <v>0</v>
      </c>
      <c r="BM14">
        <v>0</v>
      </c>
      <c r="BN14">
        <v>-2</v>
      </c>
      <c r="BO14">
        <v>0</v>
      </c>
      <c r="BP14">
        <v>-2</v>
      </c>
      <c r="BQ14" t="s">
        <v>482</v>
      </c>
      <c r="BR14">
        <v>-7.34009615125169E-27</v>
      </c>
      <c r="BS14" t="s">
        <v>483</v>
      </c>
      <c r="BT14">
        <v>-9.3468631265256302E-27</v>
      </c>
      <c r="BU14" s="18">
        <f t="shared" si="14"/>
        <v>-8.3434796388886608E-27</v>
      </c>
      <c r="BV14" s="18"/>
      <c r="BW14">
        <v>0.28000000000000003</v>
      </c>
      <c r="BX14">
        <v>0.18</v>
      </c>
      <c r="BY14" s="18">
        <f t="shared" si="15"/>
        <v>0.10000000000000003</v>
      </c>
      <c r="BZ14" s="3">
        <v>0.16799999999999998</v>
      </c>
      <c r="CA14">
        <v>0</v>
      </c>
      <c r="CB14">
        <v>0</v>
      </c>
      <c r="CC14">
        <v>1.3333333333333334E-2</v>
      </c>
      <c r="CD14">
        <v>0</v>
      </c>
      <c r="CE14">
        <v>9.4285714285714278E-2</v>
      </c>
      <c r="CF14">
        <v>0</v>
      </c>
      <c r="CG14">
        <v>0.48</v>
      </c>
      <c r="CH14">
        <v>1</v>
      </c>
      <c r="CI14">
        <v>1</v>
      </c>
      <c r="CJ14">
        <v>0</v>
      </c>
      <c r="CK14" s="285" t="s">
        <v>532</v>
      </c>
      <c r="CL14" s="18">
        <v>1.9248468110000001</v>
      </c>
      <c r="CM14" s="18">
        <v>-1.464961551</v>
      </c>
      <c r="CN14" s="18">
        <v>-0.5096687862</v>
      </c>
      <c r="CO14" s="18">
        <v>-0.61029177369999998</v>
      </c>
      <c r="CP14" s="18">
        <v>-0.39863949970000001</v>
      </c>
      <c r="CQ14" s="18">
        <v>-0.32027882969999999</v>
      </c>
      <c r="CR14" s="18">
        <v>-0.42942973109999999</v>
      </c>
      <c r="CS14" s="18">
        <v>-0.33995394410000002</v>
      </c>
      <c r="CT14" s="18">
        <v>-0.56519255069999996</v>
      </c>
      <c r="CU14" s="285" t="s">
        <v>532</v>
      </c>
      <c r="CV14" s="18">
        <v>16.638373130000002</v>
      </c>
      <c r="CW14" s="18">
        <v>16.247323260000002</v>
      </c>
      <c r="CX14" s="18">
        <v>20.983431530000001</v>
      </c>
      <c r="CY14" s="292">
        <f>AVERAGE(CV14,CX14)</f>
        <v>18.810902330000001</v>
      </c>
      <c r="CZ14" s="18">
        <v>10.54526188</v>
      </c>
      <c r="DA14" s="18">
        <v>11.107842229999999</v>
      </c>
      <c r="DB14" s="18">
        <v>10.993757349999999</v>
      </c>
      <c r="DC14" s="292">
        <f>AVERAGE(CZ14,DB14)</f>
        <v>10.769509615</v>
      </c>
      <c r="DD14" s="24">
        <f t="shared" si="17"/>
        <v>-6.0931112500000015</v>
      </c>
      <c r="DE14" s="298">
        <f t="shared" si="17"/>
        <v>-5.1394810300000024</v>
      </c>
      <c r="DF14" s="294">
        <f t="shared" si="17"/>
        <v>-9.9896741800000015</v>
      </c>
      <c r="DG14" s="294">
        <f t="shared" si="17"/>
        <v>-8.0413927150000006</v>
      </c>
      <c r="DH14" s="295" t="s">
        <v>532</v>
      </c>
      <c r="DI14" s="18">
        <v>6.8954525990000004</v>
      </c>
      <c r="DJ14" s="18">
        <v>4.7858671680000002</v>
      </c>
      <c r="DK14" s="18">
        <v>6.94477469</v>
      </c>
      <c r="DL14" s="3">
        <f>AVERAGE(DI14,DK14)</f>
        <v>6.9201136445000007</v>
      </c>
      <c r="DM14" s="18">
        <v>2.7998925699999999</v>
      </c>
      <c r="DN14" s="18">
        <v>2.6797561820000002</v>
      </c>
      <c r="DO14" s="18">
        <v>2.964048069</v>
      </c>
      <c r="DP14" s="3">
        <f>AVERAGE(DM14,DO14)</f>
        <v>2.8819703194999997</v>
      </c>
      <c r="DQ14" s="24">
        <f t="shared" si="18"/>
        <v>-4.0955600290000005</v>
      </c>
      <c r="DR14" s="298">
        <f t="shared" si="18"/>
        <v>-2.106110986</v>
      </c>
      <c r="DS14" s="24">
        <f t="shared" si="18"/>
        <v>-3.9807266210000001</v>
      </c>
      <c r="DT14" s="188">
        <f t="shared" si="18"/>
        <v>-4.0381433250000009</v>
      </c>
      <c r="DU14" s="295" t="s">
        <v>532</v>
      </c>
      <c r="DV14" s="18">
        <v>11.63639622</v>
      </c>
      <c r="DW14" s="18">
        <v>10.41976618</v>
      </c>
      <c r="DX14" s="18">
        <v>11.610182760000001</v>
      </c>
      <c r="DY14" s="3">
        <f>AVERAGE(DV14,DX14)</f>
        <v>11.623289490000001</v>
      </c>
      <c r="DZ14" s="18">
        <v>4.0648692430000004</v>
      </c>
      <c r="EA14" s="18">
        <v>4.0911439679999999</v>
      </c>
      <c r="EB14" s="18">
        <v>3.382114375</v>
      </c>
      <c r="EC14" s="3">
        <f>AVERAGE(DZ14,EB14)</f>
        <v>3.7234918090000004</v>
      </c>
      <c r="ED14" s="24">
        <f t="shared" si="19"/>
        <v>-7.5715269769999995</v>
      </c>
      <c r="EE14" s="298">
        <f t="shared" si="19"/>
        <v>-6.328622212</v>
      </c>
      <c r="EF14" s="24">
        <f t="shared" si="19"/>
        <v>-8.2280683850000003</v>
      </c>
      <c r="EG14" s="188">
        <f t="shared" si="19"/>
        <v>-7.8997976810000008</v>
      </c>
      <c r="EH14" s="295" t="s">
        <v>532</v>
      </c>
      <c r="EI14" t="s">
        <v>482</v>
      </c>
      <c r="EJ14">
        <v>39.902176146699702</v>
      </c>
      <c r="EK14" t="s">
        <v>483</v>
      </c>
      <c r="EL14">
        <v>27.929237024576199</v>
      </c>
      <c r="EM14" s="3">
        <f t="shared" si="16"/>
        <v>33.915706585637949</v>
      </c>
      <c r="EN14">
        <v>-2</v>
      </c>
      <c r="EO14">
        <v>1</v>
      </c>
      <c r="EP14">
        <v>4</v>
      </c>
      <c r="EQ14">
        <v>1</v>
      </c>
      <c r="ER14">
        <v>2</v>
      </c>
      <c r="ES14">
        <v>0</v>
      </c>
      <c r="ET14">
        <v>6</v>
      </c>
      <c r="EU14" s="5">
        <v>-1.464961551</v>
      </c>
      <c r="EV14">
        <v>-44.743404562670186</v>
      </c>
      <c r="EW14" s="310">
        <v>12</v>
      </c>
      <c r="EX14" s="5">
        <v>49</v>
      </c>
      <c r="EY14" s="18">
        <v>30</v>
      </c>
      <c r="FA14" s="18">
        <v>0.16799999999999998</v>
      </c>
      <c r="FB14" s="18">
        <v>0</v>
      </c>
      <c r="FC14" s="18">
        <v>0</v>
      </c>
      <c r="FD14" s="18">
        <v>1.3333333333333334E-2</v>
      </c>
      <c r="FE14" s="18">
        <v>0</v>
      </c>
      <c r="FF14" s="18">
        <v>9.1428571428571415E-2</v>
      </c>
      <c r="FG14" s="18">
        <v>0</v>
      </c>
      <c r="FH14" s="18">
        <v>0.48</v>
      </c>
      <c r="FI14" s="18">
        <v>0.98666666666666669</v>
      </c>
      <c r="FJ14" s="18">
        <v>0.97666666666666668</v>
      </c>
      <c r="FK14" s="18">
        <v>0</v>
      </c>
      <c r="FL14" s="5">
        <v>0</v>
      </c>
      <c r="FM14" s="5">
        <v>8</v>
      </c>
      <c r="FN14" s="5">
        <v>2</v>
      </c>
      <c r="FO14" s="259">
        <v>0.16799999999999998</v>
      </c>
      <c r="FP14" s="72">
        <v>0</v>
      </c>
      <c r="FQ14" s="260">
        <v>0</v>
      </c>
      <c r="FR14" s="261">
        <v>1.3333333333333334E-2</v>
      </c>
      <c r="FS14" s="154">
        <v>0</v>
      </c>
      <c r="FT14" s="262">
        <v>9.4285714285714278E-2</v>
      </c>
      <c r="FU14" s="263">
        <v>0</v>
      </c>
      <c r="FV14" s="264">
        <v>0.48</v>
      </c>
      <c r="FW14" s="265">
        <v>1</v>
      </c>
      <c r="FX14" s="266">
        <v>1</v>
      </c>
      <c r="FY14" s="267">
        <v>0</v>
      </c>
      <c r="FZ14" s="5">
        <v>-1.464961551</v>
      </c>
      <c r="GA14">
        <v>-2</v>
      </c>
      <c r="GB14">
        <v>1</v>
      </c>
      <c r="GC14">
        <v>4</v>
      </c>
      <c r="GD14">
        <v>1</v>
      </c>
      <c r="GE14">
        <v>2</v>
      </c>
      <c r="GF14">
        <v>0</v>
      </c>
      <c r="GG14">
        <v>6</v>
      </c>
      <c r="GH14" s="144">
        <v>0.11</v>
      </c>
    </row>
    <row r="15" spans="1:190" ht="17" thickBot="1" x14ac:dyDescent="0.25">
      <c r="A15" s="3" t="s">
        <v>12</v>
      </c>
      <c r="B15" s="5">
        <v>0</v>
      </c>
      <c r="C15" s="5">
        <v>6</v>
      </c>
      <c r="D15" s="5">
        <v>29</v>
      </c>
      <c r="E15" s="5">
        <v>56</v>
      </c>
      <c r="F15" s="5">
        <v>48</v>
      </c>
      <c r="G15" s="5">
        <v>32</v>
      </c>
      <c r="H15" s="5">
        <v>181</v>
      </c>
      <c r="I15" s="5">
        <v>12</v>
      </c>
      <c r="J15" s="5">
        <v>110</v>
      </c>
      <c r="K15" s="5">
        <v>106</v>
      </c>
      <c r="L15" s="5">
        <v>110</v>
      </c>
      <c r="M15" s="5">
        <v>94</v>
      </c>
      <c r="N15" s="5">
        <v>130</v>
      </c>
      <c r="O15" s="5">
        <v>0</v>
      </c>
      <c r="P15" s="5">
        <v>1</v>
      </c>
      <c r="Q15" s="5">
        <v>2</v>
      </c>
      <c r="R15" s="5">
        <v>-4</v>
      </c>
      <c r="S15" s="5">
        <v>17</v>
      </c>
      <c r="T15">
        <v>5</v>
      </c>
      <c r="U15" s="5">
        <v>4</v>
      </c>
      <c r="V15" s="5">
        <v>4</v>
      </c>
      <c r="W15" s="5">
        <v>0</v>
      </c>
      <c r="X15" s="5">
        <v>-10</v>
      </c>
      <c r="Y15" s="5">
        <v>-1</v>
      </c>
      <c r="Z15" s="92">
        <v>3.2763402631579001E-2</v>
      </c>
      <c r="AA15" s="88">
        <v>13</v>
      </c>
      <c r="AB15" s="68"/>
      <c r="AC15" s="5"/>
      <c r="AD15" s="5"/>
      <c r="AE15" s="80"/>
      <c r="AF15" s="179"/>
      <c r="AG15" s="154"/>
      <c r="AH15" s="154"/>
      <c r="AI15" s="154"/>
      <c r="AJ15" s="68"/>
      <c r="AK15" s="5"/>
      <c r="AL15" s="5"/>
      <c r="AM15" s="80"/>
      <c r="AN15" s="127">
        <v>72</v>
      </c>
      <c r="AO15" s="79">
        <v>69</v>
      </c>
      <c r="AP15" s="79">
        <v>80</v>
      </c>
      <c r="AQ15" s="128">
        <v>74</v>
      </c>
      <c r="AR15" s="127">
        <v>84</v>
      </c>
      <c r="AS15" s="79">
        <v>81</v>
      </c>
      <c r="AT15" s="79">
        <v>89</v>
      </c>
      <c r="AU15" s="128">
        <v>85</v>
      </c>
      <c r="AV15" s="179">
        <f t="shared" si="10"/>
        <v>12</v>
      </c>
      <c r="AW15" s="154">
        <f t="shared" si="11"/>
        <v>12</v>
      </c>
      <c r="AX15" s="154">
        <f t="shared" si="12"/>
        <v>9</v>
      </c>
      <c r="AY15" s="185">
        <f t="shared" si="13"/>
        <v>11</v>
      </c>
      <c r="AZ15" s="9"/>
      <c r="BA15" s="77"/>
      <c r="BC15" s="77"/>
      <c r="BD15" s="154">
        <v>0.17000000178800001</v>
      </c>
      <c r="BE15" s="144">
        <v>0</v>
      </c>
      <c r="BF15" s="5">
        <v>2</v>
      </c>
      <c r="BG15" s="5">
        <v>1</v>
      </c>
      <c r="BK15" t="s">
        <v>12</v>
      </c>
      <c r="BL15">
        <v>-7</v>
      </c>
      <c r="BM15" s="221">
        <v>-20</v>
      </c>
      <c r="BN15" s="21">
        <v>-21</v>
      </c>
      <c r="BO15">
        <v>-15</v>
      </c>
      <c r="BP15">
        <v>-56</v>
      </c>
      <c r="BQ15" t="s">
        <v>484</v>
      </c>
      <c r="BR15">
        <v>-9.0182271931635306E-27</v>
      </c>
      <c r="BS15" t="s">
        <v>485</v>
      </c>
      <c r="BT15">
        <v>-8.7769157560261197E-27</v>
      </c>
      <c r="BU15" s="18">
        <f t="shared" si="14"/>
        <v>-8.8975714745948245E-27</v>
      </c>
      <c r="BV15" s="18"/>
      <c r="BW15">
        <v>0</v>
      </c>
      <c r="BX15">
        <v>0.33000001311299998</v>
      </c>
      <c r="BY15" s="18">
        <f t="shared" si="15"/>
        <v>-0.33000001311299998</v>
      </c>
      <c r="BZ15" s="3">
        <v>0.22399999722841998</v>
      </c>
      <c r="CA15">
        <v>0.34333332690082669</v>
      </c>
      <c r="CB15">
        <v>0.23666665578900001</v>
      </c>
      <c r="CC15">
        <v>0.45999999841066669</v>
      </c>
      <c r="CD15">
        <v>0</v>
      </c>
      <c r="CE15">
        <v>0.32714286313521146</v>
      </c>
      <c r="CF15">
        <v>0.26333333024150002</v>
      </c>
      <c r="CG15">
        <v>0.78666667143500002</v>
      </c>
      <c r="CH15">
        <v>0.85666666428233329</v>
      </c>
      <c r="CI15">
        <v>0.91666664679833332</v>
      </c>
      <c r="CJ15">
        <v>0.26000000039733334</v>
      </c>
      <c r="CK15" s="296" t="s">
        <v>533</v>
      </c>
      <c r="CL15" s="18">
        <v>2.5291545759999998</v>
      </c>
      <c r="CM15" s="18">
        <v>-2.4568252099999999</v>
      </c>
      <c r="CN15" s="18">
        <v>-0.16142878090000001</v>
      </c>
      <c r="CO15" s="18">
        <v>-0.1936849632</v>
      </c>
      <c r="CP15" s="18">
        <v>-0.14744812900000001</v>
      </c>
      <c r="CQ15" s="18">
        <v>-0.12919013200000001</v>
      </c>
      <c r="CR15" s="18">
        <v>-9.5423213189999995E-2</v>
      </c>
      <c r="CS15" s="18">
        <v>1.8204501389999999E-2</v>
      </c>
      <c r="CT15" s="18">
        <v>0.13647798799999999</v>
      </c>
      <c r="CU15" s="296" t="s">
        <v>533</v>
      </c>
      <c r="CV15" s="18">
        <v>11.15136846</v>
      </c>
      <c r="CW15" s="18">
        <v>11.704502509999999</v>
      </c>
      <c r="CX15" s="18">
        <v>9.2459522819999993</v>
      </c>
      <c r="CY15" s="292">
        <f>AVERAGE(CV15,CX15)</f>
        <v>10.198660370999999</v>
      </c>
      <c r="CZ15" s="18">
        <v>14.551470180000001</v>
      </c>
      <c r="DA15" s="18">
        <v>11.138767359999999</v>
      </c>
      <c r="DB15" s="18">
        <v>11.34871231</v>
      </c>
      <c r="DC15" s="292">
        <f>AVERAGE(CZ15,DB15)</f>
        <v>12.950091244999999</v>
      </c>
      <c r="DD15" s="24">
        <f t="shared" si="17"/>
        <v>3.4001017200000003</v>
      </c>
      <c r="DE15" s="24">
        <f t="shared" si="17"/>
        <v>-0.56573515000000008</v>
      </c>
      <c r="DF15" s="294">
        <f t="shared" si="17"/>
        <v>2.1027600280000005</v>
      </c>
      <c r="DG15" s="294">
        <f t="shared" si="17"/>
        <v>2.7514308740000004</v>
      </c>
      <c r="DH15" s="297" t="s">
        <v>533</v>
      </c>
      <c r="DI15" s="18">
        <v>2.3970312109999998</v>
      </c>
      <c r="DJ15" s="18">
        <v>2.7319091819999999</v>
      </c>
      <c r="DK15" s="18">
        <v>2.4690295199999999</v>
      </c>
      <c r="DL15" s="3">
        <f>AVERAGE(DI15,DK15)</f>
        <v>2.4330303654999996</v>
      </c>
      <c r="DM15" s="18">
        <v>8.6300701390000008</v>
      </c>
      <c r="DN15" s="18">
        <v>8.9645766990000002</v>
      </c>
      <c r="DO15" s="18">
        <v>8.2010395220000003</v>
      </c>
      <c r="DP15" s="3">
        <f>AVERAGE(DM15,DO15)</f>
        <v>8.4155548304999996</v>
      </c>
      <c r="DQ15" s="24">
        <f t="shared" si="18"/>
        <v>6.2330389280000009</v>
      </c>
      <c r="DR15" s="24">
        <f t="shared" si="18"/>
        <v>6.2326675170000003</v>
      </c>
      <c r="DS15" s="24">
        <f t="shared" si="18"/>
        <v>5.7320100020000009</v>
      </c>
      <c r="DT15" s="188">
        <f t="shared" si="18"/>
        <v>5.982524465</v>
      </c>
      <c r="DU15" s="297" t="s">
        <v>533</v>
      </c>
      <c r="DV15" s="18">
        <v>3.4608413090000001</v>
      </c>
      <c r="DW15" s="18">
        <v>3.8564063709999998</v>
      </c>
      <c r="DX15" s="18">
        <v>4.2031446350000001</v>
      </c>
      <c r="DY15" s="3">
        <f>AVERAGE(DV15,DX15)</f>
        <v>3.8319929720000001</v>
      </c>
      <c r="DZ15" s="18">
        <v>5.7949181449999996</v>
      </c>
      <c r="EA15" s="18">
        <v>4.793611855</v>
      </c>
      <c r="EB15" s="18">
        <v>5.2584251130000004</v>
      </c>
      <c r="EC15" s="3">
        <f>AVERAGE(DZ15,EB15)</f>
        <v>5.526671629</v>
      </c>
      <c r="ED15" s="24">
        <f t="shared" si="19"/>
        <v>2.3340768359999995</v>
      </c>
      <c r="EE15" s="24">
        <f t="shared" si="19"/>
        <v>0.93720548400000014</v>
      </c>
      <c r="EF15" s="24">
        <f t="shared" si="19"/>
        <v>1.0552804780000002</v>
      </c>
      <c r="EG15" s="188">
        <f t="shared" si="19"/>
        <v>1.6946786569999999</v>
      </c>
      <c r="EH15" s="297" t="s">
        <v>533</v>
      </c>
      <c r="EI15" t="s">
        <v>484</v>
      </c>
      <c r="EJ15">
        <v>33.449927609530803</v>
      </c>
      <c r="EK15" t="s">
        <v>485</v>
      </c>
      <c r="EL15">
        <v>27.466217800960798</v>
      </c>
      <c r="EM15" s="3">
        <f t="shared" si="16"/>
        <v>30.458072705245801</v>
      </c>
      <c r="EN15">
        <v>9</v>
      </c>
      <c r="EO15">
        <v>12</v>
      </c>
      <c r="EP15">
        <v>14</v>
      </c>
      <c r="EQ15">
        <v>0</v>
      </c>
      <c r="ER15">
        <v>10</v>
      </c>
      <c r="ES15">
        <v>8</v>
      </c>
      <c r="ET15">
        <v>53</v>
      </c>
      <c r="EU15" s="5">
        <v>-2.4568252099999999</v>
      </c>
      <c r="EV15">
        <v>-14.171700224610195</v>
      </c>
      <c r="EW15" s="310">
        <v>13</v>
      </c>
      <c r="EX15" s="5">
        <v>56</v>
      </c>
      <c r="EY15" s="18">
        <v>32</v>
      </c>
      <c r="FA15" s="18">
        <v>0.21599999740722797</v>
      </c>
      <c r="FB15" s="18">
        <v>0.33333332712433333</v>
      </c>
      <c r="FC15" s="18">
        <v>0.23333332253017333</v>
      </c>
      <c r="FD15" s="18">
        <v>0.45666666515184001</v>
      </c>
      <c r="FE15" s="18">
        <v>0</v>
      </c>
      <c r="FF15" s="18">
        <v>0.20142857836814859</v>
      </c>
      <c r="FG15" s="18">
        <v>0.25666666372384667</v>
      </c>
      <c r="FH15" s="18">
        <v>0.77333333839970664</v>
      </c>
      <c r="FI15" s="18">
        <v>0.84999999776467994</v>
      </c>
      <c r="FJ15" s="18">
        <v>0.90666664702183997</v>
      </c>
      <c r="FK15" s="18">
        <v>0.25333333387967999</v>
      </c>
      <c r="FL15" s="5">
        <v>2</v>
      </c>
      <c r="FM15" s="5">
        <v>4</v>
      </c>
      <c r="FN15" s="5">
        <v>-1</v>
      </c>
      <c r="FO15" s="259">
        <v>0.22399999722841998</v>
      </c>
      <c r="FP15" s="72">
        <v>0.34333332690082669</v>
      </c>
      <c r="FQ15" s="260">
        <v>0.23666665578900001</v>
      </c>
      <c r="FR15" s="261">
        <v>0.45999999841066669</v>
      </c>
      <c r="FS15" s="154">
        <v>0</v>
      </c>
      <c r="FT15" s="262">
        <v>0.32714286313521146</v>
      </c>
      <c r="FU15" s="263">
        <v>0.26333333024150002</v>
      </c>
      <c r="FV15" s="264">
        <v>0.78666667143500002</v>
      </c>
      <c r="FW15" s="265">
        <v>0.85666666428233329</v>
      </c>
      <c r="FX15" s="266">
        <v>0.91666664679833332</v>
      </c>
      <c r="FY15" s="267">
        <v>0.26000000039733334</v>
      </c>
      <c r="FZ15" s="5">
        <v>-2.4568252099999999</v>
      </c>
      <c r="GA15">
        <v>9</v>
      </c>
      <c r="GB15">
        <v>12</v>
      </c>
      <c r="GC15">
        <v>14</v>
      </c>
      <c r="GD15">
        <v>0</v>
      </c>
      <c r="GE15">
        <v>10</v>
      </c>
      <c r="GF15">
        <v>8</v>
      </c>
      <c r="GG15">
        <v>53</v>
      </c>
      <c r="GH15" s="144">
        <v>0</v>
      </c>
    </row>
    <row r="16" spans="1:190" ht="16" thickBot="1" x14ac:dyDescent="0.25">
      <c r="A16" s="3" t="s">
        <v>13</v>
      </c>
      <c r="B16" s="5">
        <v>3</v>
      </c>
      <c r="C16" s="5">
        <v>1</v>
      </c>
      <c r="D16" s="5">
        <v>26</v>
      </c>
      <c r="E16" s="5">
        <v>44</v>
      </c>
      <c r="F16" s="5">
        <v>43</v>
      </c>
      <c r="G16" s="5">
        <v>34</v>
      </c>
      <c r="H16" s="5">
        <v>197</v>
      </c>
      <c r="I16" s="5">
        <v>19</v>
      </c>
      <c r="J16" s="5">
        <v>121</v>
      </c>
      <c r="K16" s="5">
        <v>109</v>
      </c>
      <c r="L16" s="5">
        <v>111</v>
      </c>
      <c r="M16" s="5">
        <v>49</v>
      </c>
      <c r="N16" s="5">
        <v>156</v>
      </c>
      <c r="O16" s="5">
        <v>16.5</v>
      </c>
      <c r="P16" s="5">
        <v>6</v>
      </c>
      <c r="Q16" s="5">
        <v>1</v>
      </c>
      <c r="R16" s="5">
        <v>-12</v>
      </c>
      <c r="S16" s="5">
        <v>8</v>
      </c>
      <c r="T16">
        <v>6</v>
      </c>
      <c r="U16" s="5">
        <v>12</v>
      </c>
      <c r="V16" s="5">
        <v>14</v>
      </c>
      <c r="W16" s="5">
        <v>3</v>
      </c>
      <c r="X16" s="5">
        <v>-10</v>
      </c>
      <c r="Y16" s="5">
        <v>-6</v>
      </c>
      <c r="Z16" s="93">
        <v>0.47624340263157905</v>
      </c>
      <c r="AA16" s="88">
        <v>14.5</v>
      </c>
      <c r="AB16" s="68">
        <v>84</v>
      </c>
      <c r="AC16" s="5">
        <v>86</v>
      </c>
      <c r="AD16" s="5">
        <v>92</v>
      </c>
      <c r="AE16" s="80">
        <v>87</v>
      </c>
      <c r="AF16" s="179">
        <v>-4</v>
      </c>
      <c r="AG16" s="154">
        <v>-2</v>
      </c>
      <c r="AH16" s="154">
        <v>7</v>
      </c>
      <c r="AI16" s="154">
        <v>1</v>
      </c>
      <c r="AJ16" s="68">
        <v>80</v>
      </c>
      <c r="AK16" s="5">
        <v>84</v>
      </c>
      <c r="AL16" s="5">
        <v>99</v>
      </c>
      <c r="AM16" s="80">
        <v>88</v>
      </c>
      <c r="AN16" s="68">
        <v>84</v>
      </c>
      <c r="AO16" s="5">
        <v>86</v>
      </c>
      <c r="AP16" s="5">
        <v>92</v>
      </c>
      <c r="AQ16" s="80">
        <v>87</v>
      </c>
      <c r="AR16" s="68">
        <v>80</v>
      </c>
      <c r="AS16" s="5">
        <v>84</v>
      </c>
      <c r="AT16" s="5">
        <v>99</v>
      </c>
      <c r="AU16" s="80">
        <v>88</v>
      </c>
      <c r="AV16" s="179">
        <f t="shared" si="10"/>
        <v>-4</v>
      </c>
      <c r="AW16" s="154">
        <f t="shared" si="11"/>
        <v>-2</v>
      </c>
      <c r="AX16" s="154">
        <f t="shared" si="12"/>
        <v>7</v>
      </c>
      <c r="AY16" s="185">
        <f t="shared" si="13"/>
        <v>1</v>
      </c>
      <c r="AZ16" s="9">
        <v>1.0952380952380953</v>
      </c>
      <c r="BA16" s="77">
        <v>-0.1422619047619047</v>
      </c>
      <c r="BB16">
        <v>1.0238095238095237</v>
      </c>
      <c r="BC16" s="77">
        <v>-2.6190476190476319E-2</v>
      </c>
      <c r="BD16" s="154">
        <v>0.95999997854200003</v>
      </c>
      <c r="BE16" s="144">
        <v>1</v>
      </c>
      <c r="BF16" s="5">
        <v>1</v>
      </c>
      <c r="BG16" s="5">
        <v>6</v>
      </c>
      <c r="BK16" t="s">
        <v>13</v>
      </c>
      <c r="BL16">
        <v>0</v>
      </c>
      <c r="BM16">
        <v>2</v>
      </c>
      <c r="BN16">
        <v>1</v>
      </c>
      <c r="BO16">
        <v>5</v>
      </c>
      <c r="BP16">
        <v>8</v>
      </c>
      <c r="BQ16" t="s">
        <v>486</v>
      </c>
      <c r="BR16">
        <v>-6.8131676363072699E-27</v>
      </c>
      <c r="BS16" t="s">
        <v>487</v>
      </c>
      <c r="BT16">
        <v>-5.2982299163640803E-27</v>
      </c>
      <c r="BU16" s="18">
        <f t="shared" si="14"/>
        <v>-6.0556987763356754E-27</v>
      </c>
      <c r="BV16" s="18"/>
      <c r="BW16">
        <v>0.97000002861000001</v>
      </c>
      <c r="BX16">
        <v>0</v>
      </c>
      <c r="BY16" s="18">
        <f t="shared" si="15"/>
        <v>0.97000002861000001</v>
      </c>
      <c r="BZ16" s="3">
        <v>0.83199999928480006</v>
      </c>
      <c r="CA16">
        <v>0.82666665315633336</v>
      </c>
      <c r="CB16">
        <v>0.85333331425966674</v>
      </c>
      <c r="CC16">
        <v>0.71999998887399996</v>
      </c>
      <c r="CD16">
        <v>0.41666666666666669</v>
      </c>
      <c r="CE16">
        <v>0.11428571439214287</v>
      </c>
      <c r="CF16">
        <v>0.1899999997889</v>
      </c>
      <c r="CG16">
        <v>0.47000000377500001</v>
      </c>
      <c r="CH16">
        <v>0.98666667938233343</v>
      </c>
      <c r="CI16">
        <v>0.98000001907333323</v>
      </c>
      <c r="CJ16">
        <v>0.44000001003329997</v>
      </c>
      <c r="DL16" s="3"/>
      <c r="DP16" s="3"/>
      <c r="DT16" s="3"/>
      <c r="DY16" s="3"/>
      <c r="EC16" s="3"/>
      <c r="EG16" s="3"/>
      <c r="EI16" s="6" t="s">
        <v>486</v>
      </c>
      <c r="EJ16" s="6">
        <v>6.5481608328281897</v>
      </c>
      <c r="EK16" t="s">
        <v>487</v>
      </c>
      <c r="EL16">
        <v>9.1808162528898904</v>
      </c>
      <c r="EM16" s="3">
        <f t="shared" si="16"/>
        <v>7.8644885428590401</v>
      </c>
      <c r="EN16">
        <v>9</v>
      </c>
      <c r="EO16">
        <v>18</v>
      </c>
      <c r="EP16">
        <v>11</v>
      </c>
      <c r="EQ16">
        <v>-1</v>
      </c>
      <c r="ER16">
        <v>8</v>
      </c>
      <c r="ES16">
        <v>1</v>
      </c>
      <c r="ET16">
        <v>46</v>
      </c>
      <c r="EU16" s="222"/>
      <c r="EV16" s="222"/>
      <c r="EW16" s="310">
        <v>14</v>
      </c>
      <c r="EX16" s="5">
        <v>44</v>
      </c>
      <c r="EY16" s="18">
        <v>34</v>
      </c>
      <c r="FA16" s="18">
        <v>0.83199999928480006</v>
      </c>
      <c r="FB16" s="18">
        <v>0.82333331989750669</v>
      </c>
      <c r="FC16" s="18">
        <v>0.84999998100084007</v>
      </c>
      <c r="FD16" s="18">
        <v>0.71999998887399996</v>
      </c>
      <c r="FE16" s="18">
        <v>0.41666666666666669</v>
      </c>
      <c r="FF16" s="18">
        <v>0.11428571439214287</v>
      </c>
      <c r="FG16" s="18">
        <v>0.18833333315948667</v>
      </c>
      <c r="FH16" s="18">
        <v>0.47000000377500001</v>
      </c>
      <c r="FI16" s="18">
        <v>0.98666667938233343</v>
      </c>
      <c r="FJ16" s="18">
        <v>0.98000001907333323</v>
      </c>
      <c r="FK16" s="18">
        <v>0.44000001003329997</v>
      </c>
      <c r="FL16" s="5">
        <v>1</v>
      </c>
      <c r="FM16" s="5">
        <v>12</v>
      </c>
      <c r="FN16" s="5">
        <v>-6</v>
      </c>
      <c r="FO16" s="259">
        <v>0.83199999928480006</v>
      </c>
      <c r="FP16" s="72">
        <v>0.82666665315633336</v>
      </c>
      <c r="FQ16" s="260">
        <v>0.85333331425966674</v>
      </c>
      <c r="FR16" s="261">
        <v>0.71999998887399996</v>
      </c>
      <c r="FS16" s="154">
        <v>0.41666666666666669</v>
      </c>
      <c r="FT16" s="262">
        <v>0.11428571439214287</v>
      </c>
      <c r="FU16" s="263">
        <v>0.1899999997889</v>
      </c>
      <c r="FV16" s="264">
        <v>0.47000000377500001</v>
      </c>
      <c r="FW16" s="265">
        <v>0.98666667938233343</v>
      </c>
      <c r="FX16" s="266">
        <v>0.98000001907333323</v>
      </c>
      <c r="FY16" s="267">
        <v>0.44000001003329997</v>
      </c>
      <c r="FZ16" s="222"/>
      <c r="GA16">
        <v>9</v>
      </c>
      <c r="GB16">
        <v>18</v>
      </c>
      <c r="GC16">
        <v>11</v>
      </c>
      <c r="GD16">
        <v>-1</v>
      </c>
      <c r="GE16">
        <v>8</v>
      </c>
      <c r="GF16">
        <v>1</v>
      </c>
      <c r="GG16">
        <v>46</v>
      </c>
      <c r="GH16" s="144">
        <v>1</v>
      </c>
    </row>
    <row r="17" spans="1:190" ht="16" x14ac:dyDescent="0.2">
      <c r="A17" s="3" t="s">
        <v>14</v>
      </c>
      <c r="B17" s="79" t="s">
        <v>275</v>
      </c>
      <c r="C17" s="5">
        <v>6</v>
      </c>
      <c r="D17" s="5">
        <v>38</v>
      </c>
      <c r="E17" s="5">
        <v>63</v>
      </c>
      <c r="F17" s="5">
        <v>44</v>
      </c>
      <c r="G17" s="5">
        <v>35</v>
      </c>
      <c r="H17" s="5">
        <v>168</v>
      </c>
      <c r="I17" s="5">
        <v>11</v>
      </c>
      <c r="J17" s="5">
        <v>127</v>
      </c>
      <c r="K17" s="5">
        <v>128</v>
      </c>
      <c r="L17" s="5">
        <v>115</v>
      </c>
      <c r="M17" s="5">
        <v>93</v>
      </c>
      <c r="N17" s="5">
        <v>130</v>
      </c>
      <c r="O17" s="5">
        <v>3.5</v>
      </c>
      <c r="P17" s="5">
        <v>-12</v>
      </c>
      <c r="Q17" s="5">
        <v>4</v>
      </c>
      <c r="R17" s="5">
        <v>2</v>
      </c>
      <c r="S17" s="5">
        <v>17</v>
      </c>
      <c r="T17">
        <v>8</v>
      </c>
      <c r="U17" s="5">
        <v>-2</v>
      </c>
      <c r="V17" s="5">
        <v>-2</v>
      </c>
      <c r="W17" s="5">
        <v>1</v>
      </c>
      <c r="X17" s="5">
        <v>0</v>
      </c>
      <c r="Y17" s="5">
        <v>12</v>
      </c>
      <c r="Z17" s="92">
        <v>-1.866409736842102E-2</v>
      </c>
      <c r="AA17" s="88">
        <v>10.5</v>
      </c>
      <c r="AB17" s="68">
        <v>84</v>
      </c>
      <c r="AC17" s="5">
        <v>84</v>
      </c>
      <c r="AD17" s="5">
        <v>89</v>
      </c>
      <c r="AE17" s="80">
        <v>86</v>
      </c>
      <c r="AF17" s="179">
        <v>0</v>
      </c>
      <c r="AG17" s="154">
        <v>-2</v>
      </c>
      <c r="AH17" s="154">
        <v>9</v>
      </c>
      <c r="AI17" s="154">
        <v>2</v>
      </c>
      <c r="AJ17" s="68">
        <v>84</v>
      </c>
      <c r="AK17" s="5">
        <v>82</v>
      </c>
      <c r="AL17" s="5">
        <v>98</v>
      </c>
      <c r="AM17" s="80">
        <v>88</v>
      </c>
      <c r="AN17" s="68">
        <v>84</v>
      </c>
      <c r="AO17" s="5">
        <v>84</v>
      </c>
      <c r="AP17" s="5">
        <v>89</v>
      </c>
      <c r="AQ17" s="80">
        <v>86</v>
      </c>
      <c r="AR17" s="68">
        <v>84</v>
      </c>
      <c r="AS17" s="5">
        <v>82</v>
      </c>
      <c r="AT17" s="5">
        <v>98</v>
      </c>
      <c r="AU17" s="80">
        <v>88</v>
      </c>
      <c r="AV17" s="179">
        <f t="shared" si="10"/>
        <v>0</v>
      </c>
      <c r="AW17" s="154">
        <f t="shared" si="11"/>
        <v>-2</v>
      </c>
      <c r="AX17" s="154">
        <f t="shared" si="12"/>
        <v>9</v>
      </c>
      <c r="AY17" s="185">
        <f t="shared" si="13"/>
        <v>2</v>
      </c>
      <c r="AZ17" s="9">
        <v>1.0595238095238095</v>
      </c>
      <c r="BA17" s="77">
        <v>-0.10714285714285721</v>
      </c>
      <c r="BB17">
        <v>1</v>
      </c>
      <c r="BC17" s="77">
        <v>2.3809523809523836E-2</v>
      </c>
      <c r="BD17" s="154">
        <v>0.69999998807899999</v>
      </c>
      <c r="BE17" s="144">
        <v>0.119999997318</v>
      </c>
      <c r="BF17" s="5">
        <v>4</v>
      </c>
      <c r="BG17" s="5">
        <v>-12</v>
      </c>
      <c r="BK17" t="s">
        <v>14</v>
      </c>
      <c r="BL17">
        <v>2</v>
      </c>
      <c r="BM17">
        <v>-1</v>
      </c>
      <c r="BN17">
        <v>-1</v>
      </c>
      <c r="BO17">
        <v>-1</v>
      </c>
      <c r="BP17">
        <v>-3</v>
      </c>
      <c r="BR17" s="222"/>
      <c r="BS17" s="222"/>
      <c r="BT17" s="222"/>
      <c r="BU17" s="222"/>
      <c r="BV17" s="222"/>
      <c r="BW17">
        <v>0.76999998092699995</v>
      </c>
      <c r="BX17">
        <v>7.99999982119E-2</v>
      </c>
      <c r="BY17" s="18">
        <f t="shared" si="15"/>
        <v>0.68999998271509999</v>
      </c>
      <c r="BZ17" s="3">
        <v>0.24000000159999998</v>
      </c>
      <c r="CA17">
        <v>9.6666668999999997E-2</v>
      </c>
      <c r="CB17">
        <v>0.249999999</v>
      </c>
      <c r="CC17">
        <v>0.24666666733333331</v>
      </c>
      <c r="CD17">
        <v>0.50333332999999991</v>
      </c>
      <c r="CE17">
        <v>0.34571428385714287</v>
      </c>
      <c r="CF17">
        <v>0.14166666983333334</v>
      </c>
      <c r="CG17">
        <v>0.45000000299999998</v>
      </c>
      <c r="CH17">
        <v>0.61333334433333331</v>
      </c>
      <c r="CI17">
        <v>0.34000000866666663</v>
      </c>
      <c r="CJ17">
        <v>0.15666666600000001</v>
      </c>
      <c r="CK17" s="285" t="s">
        <v>534</v>
      </c>
      <c r="CL17" s="18">
        <v>1.3882512170000001</v>
      </c>
      <c r="CM17" s="18">
        <v>-1.0380202569999999</v>
      </c>
      <c r="CN17" s="18">
        <v>-0.2362861718</v>
      </c>
      <c r="CO17" s="18">
        <v>2.1932579319999999E-2</v>
      </c>
      <c r="CP17" s="18">
        <v>1.037390843E-2</v>
      </c>
      <c r="CQ17" s="18">
        <v>-0.1017831725</v>
      </c>
      <c r="CR17" s="18">
        <v>-0.27230852290000002</v>
      </c>
      <c r="CS17" s="18">
        <v>-3.9106451440000002E-2</v>
      </c>
      <c r="CT17" s="18">
        <v>-0.23104913360000001</v>
      </c>
      <c r="CU17" s="285" t="s">
        <v>534</v>
      </c>
      <c r="CV17" s="18">
        <v>18.15889469</v>
      </c>
      <c r="CW17" s="18">
        <v>20.04946356</v>
      </c>
      <c r="CX17" s="18">
        <v>16.55728096</v>
      </c>
      <c r="CY17" s="292">
        <f>AVERAGE(CV17,CX17)</f>
        <v>17.358087824999998</v>
      </c>
      <c r="CZ17" s="18">
        <v>21.83163132</v>
      </c>
      <c r="DA17" s="18">
        <v>22.44596812</v>
      </c>
      <c r="DB17" s="18">
        <v>20.226681660000001</v>
      </c>
      <c r="DC17" s="292">
        <f>AVERAGE(CZ17,DB17)</f>
        <v>21.029156489999998</v>
      </c>
      <c r="DD17" s="24">
        <f>CZ17-CV17</f>
        <v>3.6727366299999993</v>
      </c>
      <c r="DE17" s="298">
        <f>DA17-CW17</f>
        <v>2.3965045600000003</v>
      </c>
      <c r="DF17" s="294">
        <f>DB17-CX17</f>
        <v>3.6694007000000006</v>
      </c>
      <c r="DG17" s="294">
        <f>DC17-CY17</f>
        <v>3.671068665</v>
      </c>
      <c r="DH17" s="295" t="s">
        <v>534</v>
      </c>
      <c r="DI17" s="18">
        <v>3.2649478869999999</v>
      </c>
      <c r="DJ17" s="18">
        <v>4.5316817</v>
      </c>
      <c r="DK17" s="18">
        <v>4.168603075</v>
      </c>
      <c r="DL17" s="3">
        <f>AVERAGE(DI17,DK17)</f>
        <v>3.716775481</v>
      </c>
      <c r="DM17" s="18">
        <v>8.3921747579999995</v>
      </c>
      <c r="DN17" s="18">
        <v>9.1209061190000007</v>
      </c>
      <c r="DO17" s="18">
        <v>9.9370600759999999</v>
      </c>
      <c r="DP17" s="3">
        <f>AVERAGE(DM17,DO17)</f>
        <v>9.1646174169999988</v>
      </c>
      <c r="DQ17" s="24">
        <f>DM17-DI17</f>
        <v>5.1272268709999995</v>
      </c>
      <c r="DR17" s="298">
        <f>DN17-DJ17</f>
        <v>4.5892244190000007</v>
      </c>
      <c r="DS17" s="24">
        <f>DO17-DK17</f>
        <v>5.7684570009999998</v>
      </c>
      <c r="DT17" s="188">
        <f>DP17-DL17</f>
        <v>5.4478419359999988</v>
      </c>
      <c r="DU17" s="295" t="s">
        <v>534</v>
      </c>
      <c r="DV17" s="18">
        <v>8.8694863270000006</v>
      </c>
      <c r="DW17" s="18">
        <v>9.0768014560000001</v>
      </c>
      <c r="DX17" s="18">
        <v>9.4826658179999992</v>
      </c>
      <c r="DY17" s="3">
        <f>AVERAGE(DV17,DX17)</f>
        <v>9.176076072499999</v>
      </c>
      <c r="DZ17" s="18">
        <v>10.61285166</v>
      </c>
      <c r="EA17" s="18">
        <v>15.0244576</v>
      </c>
      <c r="EB17" s="18">
        <v>11.04089065</v>
      </c>
      <c r="EC17" s="3">
        <f>AVERAGE(DZ17,EB17)</f>
        <v>10.826871154999999</v>
      </c>
      <c r="ED17" s="24">
        <f>DZ17-DV17</f>
        <v>1.7433653329999999</v>
      </c>
      <c r="EE17" s="298">
        <f>EA17-DW17</f>
        <v>5.9476561439999998</v>
      </c>
      <c r="EF17" s="24">
        <f>EB17-DX17</f>
        <v>1.5582248320000005</v>
      </c>
      <c r="EG17" s="188">
        <f>EC17-DY17</f>
        <v>1.6507950825000002</v>
      </c>
      <c r="EH17" s="295" t="s">
        <v>534</v>
      </c>
      <c r="EM17" s="3"/>
      <c r="EN17">
        <v>7</v>
      </c>
      <c r="EO17">
        <v>6</v>
      </c>
      <c r="EP17">
        <v>22</v>
      </c>
      <c r="EQ17">
        <v>1</v>
      </c>
      <c r="ER17">
        <v>3</v>
      </c>
      <c r="ES17">
        <v>14</v>
      </c>
      <c r="ET17">
        <v>53</v>
      </c>
      <c r="EU17" s="5">
        <v>-1.0380202569999999</v>
      </c>
      <c r="EV17">
        <v>-13.588911120727094</v>
      </c>
      <c r="EW17" s="310">
        <v>15</v>
      </c>
      <c r="EX17" s="5">
        <v>63</v>
      </c>
      <c r="EY17" s="18">
        <v>35</v>
      </c>
      <c r="FA17" s="18">
        <v>0.24000000159999998</v>
      </c>
      <c r="FB17" s="18">
        <v>9.6666668999999997E-2</v>
      </c>
      <c r="FC17" s="18">
        <v>0.249999999</v>
      </c>
      <c r="FD17" s="18">
        <v>0.21666666599999998</v>
      </c>
      <c r="FE17" s="18">
        <v>0.50333332999999991</v>
      </c>
      <c r="FF17" s="18">
        <v>0.33142856942857146</v>
      </c>
      <c r="FG17" s="18">
        <v>0.11166666866666668</v>
      </c>
      <c r="FH17" s="18">
        <v>0.37333333499999999</v>
      </c>
      <c r="FI17" s="18">
        <v>0.58333334299999995</v>
      </c>
      <c r="FJ17" s="18">
        <v>0.34000000866666663</v>
      </c>
      <c r="FK17" s="18">
        <v>0.15666666600000001</v>
      </c>
      <c r="FL17" s="5">
        <v>4</v>
      </c>
      <c r="FM17" s="5">
        <v>-2</v>
      </c>
      <c r="FN17" s="5">
        <v>12</v>
      </c>
      <c r="FO17" s="259">
        <v>0.24000000159999998</v>
      </c>
      <c r="FP17" s="72">
        <v>9.6666668999999997E-2</v>
      </c>
      <c r="FQ17" s="260">
        <v>0.249999999</v>
      </c>
      <c r="FR17" s="261">
        <v>0.24666666733333331</v>
      </c>
      <c r="FS17" s="154">
        <v>0.50333332999999991</v>
      </c>
      <c r="FT17" s="262">
        <v>0.34571428385714287</v>
      </c>
      <c r="FU17" s="263">
        <v>0.14166666983333334</v>
      </c>
      <c r="FV17" s="264">
        <v>0.45000000299999998</v>
      </c>
      <c r="FW17" s="265">
        <v>0.61333334433333331</v>
      </c>
      <c r="FX17" s="266">
        <v>0.34000000866666663</v>
      </c>
      <c r="FY17" s="267">
        <v>0.15666666600000001</v>
      </c>
      <c r="FZ17" s="5">
        <v>-1.0380202569999999</v>
      </c>
      <c r="GA17">
        <v>7</v>
      </c>
      <c r="GB17">
        <v>6</v>
      </c>
      <c r="GC17">
        <v>22</v>
      </c>
      <c r="GD17">
        <v>1</v>
      </c>
      <c r="GE17">
        <v>3</v>
      </c>
      <c r="GF17">
        <v>14</v>
      </c>
      <c r="GG17">
        <v>53</v>
      </c>
      <c r="GH17" s="144">
        <v>0.119999997318</v>
      </c>
    </row>
    <row r="18" spans="1:190" x14ac:dyDescent="0.2">
      <c r="A18" s="3" t="s">
        <v>15</v>
      </c>
      <c r="B18" s="5">
        <v>0</v>
      </c>
      <c r="C18" s="5">
        <v>0</v>
      </c>
      <c r="D18" s="5">
        <v>24</v>
      </c>
      <c r="E18" s="5">
        <v>55</v>
      </c>
      <c r="F18" s="5">
        <v>42</v>
      </c>
      <c r="G18" s="5">
        <v>27</v>
      </c>
      <c r="H18" s="5">
        <v>215</v>
      </c>
      <c r="I18" s="5">
        <v>18</v>
      </c>
      <c r="J18" s="5">
        <v>103</v>
      </c>
      <c r="K18" s="5">
        <v>90</v>
      </c>
      <c r="L18" s="5">
        <v>127</v>
      </c>
      <c r="M18" s="5">
        <v>52</v>
      </c>
      <c r="N18" s="5">
        <v>128</v>
      </c>
      <c r="O18" s="82">
        <v>10</v>
      </c>
      <c r="P18" s="82">
        <v>16</v>
      </c>
      <c r="Q18" s="5">
        <v>0</v>
      </c>
      <c r="R18" s="5">
        <v>4</v>
      </c>
      <c r="S18" s="5">
        <v>9</v>
      </c>
      <c r="T18">
        <v>10</v>
      </c>
      <c r="U18" s="5">
        <v>-4</v>
      </c>
      <c r="V18" s="5">
        <v>-13</v>
      </c>
      <c r="W18" s="5">
        <v>-2</v>
      </c>
      <c r="X18" s="5">
        <v>19</v>
      </c>
      <c r="Y18" s="5">
        <v>-16</v>
      </c>
      <c r="Z18" s="92">
        <v>6.3246402631578991E-2</v>
      </c>
      <c r="AA18" s="88">
        <v>10</v>
      </c>
      <c r="AB18" s="68">
        <v>90</v>
      </c>
      <c r="AC18" s="5">
        <v>91</v>
      </c>
      <c r="AD18" s="5">
        <v>112</v>
      </c>
      <c r="AE18" s="80">
        <v>98</v>
      </c>
      <c r="AF18" s="179">
        <v>14</v>
      </c>
      <c r="AG18" s="154">
        <v>8</v>
      </c>
      <c r="AH18" s="154">
        <v>0</v>
      </c>
      <c r="AI18" s="154">
        <v>7</v>
      </c>
      <c r="AJ18" s="68">
        <v>104</v>
      </c>
      <c r="AK18" s="5">
        <v>99</v>
      </c>
      <c r="AL18" s="5">
        <v>112</v>
      </c>
      <c r="AM18" s="80">
        <v>105</v>
      </c>
      <c r="AN18" s="68">
        <v>90</v>
      </c>
      <c r="AO18" s="5">
        <v>91</v>
      </c>
      <c r="AP18" s="5">
        <v>112</v>
      </c>
      <c r="AQ18" s="80">
        <v>98</v>
      </c>
      <c r="AR18" s="68">
        <v>104</v>
      </c>
      <c r="AS18" s="5">
        <v>99</v>
      </c>
      <c r="AT18" s="5">
        <v>112</v>
      </c>
      <c r="AU18" s="80">
        <v>105</v>
      </c>
      <c r="AV18" s="179">
        <f t="shared" si="10"/>
        <v>14</v>
      </c>
      <c r="AW18" s="154">
        <f t="shared" si="11"/>
        <v>8</v>
      </c>
      <c r="AX18" s="154">
        <f t="shared" si="12"/>
        <v>0</v>
      </c>
      <c r="AY18" s="185">
        <f t="shared" si="13"/>
        <v>7</v>
      </c>
      <c r="AZ18" s="9">
        <v>1.2444444444444445</v>
      </c>
      <c r="BA18" s="77">
        <v>0.16752136752136759</v>
      </c>
      <c r="BB18">
        <v>1.0111111111111111</v>
      </c>
      <c r="BC18" s="77">
        <v>5.91880341880342E-2</v>
      </c>
      <c r="BD18" s="154">
        <v>0.85000002384200002</v>
      </c>
      <c r="BE18" s="144">
        <v>0.83999997377400004</v>
      </c>
      <c r="BF18" s="5">
        <v>0</v>
      </c>
      <c r="BG18" s="82">
        <v>16</v>
      </c>
      <c r="BK18" t="s">
        <v>15</v>
      </c>
      <c r="BL18">
        <v>1</v>
      </c>
      <c r="BM18">
        <v>3</v>
      </c>
      <c r="BN18">
        <v>1</v>
      </c>
      <c r="BO18">
        <v>1</v>
      </c>
      <c r="BP18">
        <v>5</v>
      </c>
      <c r="BQ18" t="s">
        <v>488</v>
      </c>
      <c r="BR18">
        <v>-4.08233938552074E-27</v>
      </c>
      <c r="BS18" t="s">
        <v>489</v>
      </c>
      <c r="BT18">
        <v>-5.0657280423725797E-27</v>
      </c>
      <c r="BU18" s="18">
        <f t="shared" si="14"/>
        <v>-4.5740337139466598E-27</v>
      </c>
      <c r="BV18" s="18"/>
      <c r="BW18">
        <v>0.670000016689</v>
      </c>
      <c r="BX18">
        <v>0</v>
      </c>
      <c r="BY18" s="18">
        <f t="shared" si="15"/>
        <v>0.670000016689</v>
      </c>
      <c r="BZ18" s="3">
        <v>0.28999999459999998</v>
      </c>
      <c r="CA18">
        <v>0.25</v>
      </c>
      <c r="CB18">
        <v>0.33333333333333331</v>
      </c>
      <c r="CC18">
        <v>0.52333333133333337</v>
      </c>
      <c r="CD18">
        <v>0.21333334100000001</v>
      </c>
      <c r="CE18">
        <v>0.13714286042857141</v>
      </c>
      <c r="CF18">
        <v>0.141666667</v>
      </c>
      <c r="CG18">
        <v>0.60333332433333331</v>
      </c>
      <c r="CH18">
        <v>0.5666666726666667</v>
      </c>
      <c r="CI18">
        <v>0.42333333333333334</v>
      </c>
      <c r="CJ18">
        <v>0.36999999499999997</v>
      </c>
      <c r="DL18" s="3"/>
      <c r="DP18" s="3"/>
      <c r="DT18" s="3"/>
      <c r="DY18" s="3"/>
      <c r="EC18" s="3"/>
      <c r="EG18" s="3"/>
      <c r="EI18" t="s">
        <v>488</v>
      </c>
      <c r="EJ18">
        <v>44.309809346982398</v>
      </c>
      <c r="EK18" t="s">
        <v>489</v>
      </c>
      <c r="EL18">
        <v>35.161408252035898</v>
      </c>
      <c r="EM18" s="3">
        <f t="shared" si="16"/>
        <v>39.735608799509151</v>
      </c>
      <c r="EN18">
        <v>2</v>
      </c>
      <c r="EO18">
        <v>7</v>
      </c>
      <c r="EP18">
        <v>9</v>
      </c>
      <c r="EQ18">
        <v>-4</v>
      </c>
      <c r="ER18">
        <v>1</v>
      </c>
      <c r="ES18">
        <v>0</v>
      </c>
      <c r="ET18">
        <v>15</v>
      </c>
      <c r="EU18" s="222"/>
      <c r="EV18" s="222"/>
      <c r="EW18" s="310">
        <v>16</v>
      </c>
      <c r="EX18" s="5">
        <v>55</v>
      </c>
      <c r="EY18" s="18">
        <v>27</v>
      </c>
      <c r="FA18" s="18">
        <v>0.28999999459999998</v>
      </c>
      <c r="FB18" s="18">
        <v>0.24666666666666667</v>
      </c>
      <c r="FC18" s="18">
        <v>0.33333333333333331</v>
      </c>
      <c r="FD18" s="18">
        <v>0.52333333133333337</v>
      </c>
      <c r="FE18" s="18">
        <v>0.21333334100000001</v>
      </c>
      <c r="FF18" s="18">
        <v>0.13714286042857141</v>
      </c>
      <c r="FG18" s="18">
        <v>0.141666667</v>
      </c>
      <c r="FH18" s="18">
        <v>0.60333332433333331</v>
      </c>
      <c r="FI18" s="18">
        <v>0.5666666726666667</v>
      </c>
      <c r="FJ18" s="18">
        <v>0.42333333333333334</v>
      </c>
      <c r="FK18" s="18">
        <v>0.36999999499999997</v>
      </c>
      <c r="FL18" s="5">
        <v>0</v>
      </c>
      <c r="FM18" s="5">
        <v>-4</v>
      </c>
      <c r="FN18" s="5">
        <v>-16</v>
      </c>
      <c r="FO18" s="259">
        <v>0.28999999459999998</v>
      </c>
      <c r="FP18" s="72">
        <v>0.25</v>
      </c>
      <c r="FQ18" s="260">
        <v>0.33333333333333331</v>
      </c>
      <c r="FR18" s="261">
        <v>0.52333333133333337</v>
      </c>
      <c r="FS18" s="154">
        <v>0.21333334100000001</v>
      </c>
      <c r="FT18" s="262">
        <v>0.13714286042857141</v>
      </c>
      <c r="FU18" s="263">
        <v>0.141666667</v>
      </c>
      <c r="FV18" s="264">
        <v>0.60333332433333331</v>
      </c>
      <c r="FW18" s="265">
        <v>0.5666666726666667</v>
      </c>
      <c r="FX18" s="266">
        <v>0.42333333333333334</v>
      </c>
      <c r="FY18" s="267">
        <v>0.36999999499999997</v>
      </c>
      <c r="FZ18" s="222"/>
      <c r="GA18">
        <v>2</v>
      </c>
      <c r="GB18">
        <v>7</v>
      </c>
      <c r="GC18">
        <v>9</v>
      </c>
      <c r="GD18">
        <v>-4</v>
      </c>
      <c r="GE18">
        <v>1</v>
      </c>
      <c r="GF18">
        <v>0</v>
      </c>
      <c r="GG18">
        <v>15</v>
      </c>
      <c r="GH18" s="144">
        <v>0.83999997377400004</v>
      </c>
    </row>
    <row r="19" spans="1:190" ht="16" x14ac:dyDescent="0.2">
      <c r="A19" s="3" t="s">
        <v>16</v>
      </c>
      <c r="B19" s="5">
        <v>1</v>
      </c>
      <c r="C19" s="5">
        <v>1</v>
      </c>
      <c r="D19" s="5">
        <v>27</v>
      </c>
      <c r="E19" s="5">
        <v>89</v>
      </c>
      <c r="F19" s="5">
        <v>48</v>
      </c>
      <c r="G19" s="5">
        <v>31</v>
      </c>
      <c r="H19" s="5">
        <v>215</v>
      </c>
      <c r="I19" s="5">
        <v>19</v>
      </c>
      <c r="J19" s="5">
        <v>120</v>
      </c>
      <c r="K19" s="5">
        <v>121</v>
      </c>
      <c r="L19" s="5">
        <v>125</v>
      </c>
      <c r="M19" s="5">
        <v>58</v>
      </c>
      <c r="N19" s="5">
        <v>152</v>
      </c>
      <c r="O19" s="5">
        <v>20</v>
      </c>
      <c r="P19" s="5">
        <v>0</v>
      </c>
      <c r="Q19" s="5">
        <v>4</v>
      </c>
      <c r="R19" s="5">
        <v>0</v>
      </c>
      <c r="S19" s="5">
        <v>5</v>
      </c>
      <c r="T19">
        <v>8</v>
      </c>
      <c r="U19" s="5">
        <v>0</v>
      </c>
      <c r="V19" s="5">
        <v>-1</v>
      </c>
      <c r="W19" s="5">
        <v>0</v>
      </c>
      <c r="X19" s="5">
        <v>0</v>
      </c>
      <c r="Y19" s="5">
        <v>0</v>
      </c>
      <c r="Z19" s="92">
        <v>6.6691526315789855E-3</v>
      </c>
      <c r="AA19" s="88">
        <v>18.5</v>
      </c>
      <c r="AB19" s="68"/>
      <c r="AC19" s="5"/>
      <c r="AD19" s="5"/>
      <c r="AE19" s="80"/>
      <c r="AF19" s="179"/>
      <c r="AG19" s="154"/>
      <c r="AH19" s="154"/>
      <c r="AI19" s="154"/>
      <c r="AJ19" s="68"/>
      <c r="AK19" s="5"/>
      <c r="AL19" s="5"/>
      <c r="AM19" s="80"/>
      <c r="AN19" s="127">
        <v>77</v>
      </c>
      <c r="AO19" s="79">
        <v>74</v>
      </c>
      <c r="AP19" s="79">
        <v>90</v>
      </c>
      <c r="AQ19" s="128">
        <v>80</v>
      </c>
      <c r="AR19" s="127">
        <v>85</v>
      </c>
      <c r="AS19" s="79">
        <v>84</v>
      </c>
      <c r="AT19" s="79">
        <v>93</v>
      </c>
      <c r="AU19" s="128">
        <v>87</v>
      </c>
      <c r="AV19" s="179">
        <f t="shared" si="10"/>
        <v>8</v>
      </c>
      <c r="AW19" s="154">
        <f t="shared" si="11"/>
        <v>10</v>
      </c>
      <c r="AX19" s="154">
        <f t="shared" si="12"/>
        <v>3</v>
      </c>
      <c r="AY19" s="185">
        <f t="shared" si="13"/>
        <v>7</v>
      </c>
      <c r="AZ19" s="9"/>
      <c r="BA19" s="77"/>
      <c r="BC19" s="77"/>
      <c r="BD19" s="154">
        <v>1</v>
      </c>
      <c r="BE19" s="144">
        <v>1</v>
      </c>
      <c r="BF19" s="5">
        <v>4</v>
      </c>
      <c r="BG19" s="5">
        <v>0</v>
      </c>
      <c r="BK19" t="s">
        <v>16</v>
      </c>
      <c r="BL19">
        <v>-1</v>
      </c>
      <c r="BM19">
        <v>-1</v>
      </c>
      <c r="BN19">
        <v>-1</v>
      </c>
      <c r="BO19">
        <v>-2</v>
      </c>
      <c r="BP19">
        <v>-4</v>
      </c>
      <c r="BR19" s="222"/>
      <c r="BS19" s="222"/>
      <c r="BT19" s="222"/>
      <c r="BU19" s="222"/>
      <c r="BV19" s="222"/>
      <c r="BW19">
        <v>0.49000000953700001</v>
      </c>
      <c r="BX19">
        <v>1.9999999553000001E-2</v>
      </c>
      <c r="BY19" s="18">
        <f t="shared" si="15"/>
        <v>0.47000000998399999</v>
      </c>
      <c r="BZ19" s="3">
        <v>0.76000000219999997</v>
      </c>
      <c r="CA19">
        <v>0.75666667033333335</v>
      </c>
      <c r="CB19">
        <v>1</v>
      </c>
      <c r="CC19">
        <v>0.58666665833333331</v>
      </c>
      <c r="CD19">
        <v>0.43666666633333334</v>
      </c>
      <c r="CE19">
        <v>0.20428571428571426</v>
      </c>
      <c r="CF19">
        <v>1.9999999666666667E-2</v>
      </c>
      <c r="CG19">
        <v>0.81333333266666674</v>
      </c>
      <c r="CH19">
        <v>1</v>
      </c>
      <c r="CI19">
        <v>0.82000000266666662</v>
      </c>
      <c r="CJ19">
        <v>0.65999999133333331</v>
      </c>
      <c r="CK19" s="296" t="s">
        <v>535</v>
      </c>
      <c r="CL19" s="18">
        <v>1.9359505480000001</v>
      </c>
      <c r="CM19" s="18">
        <v>-2.7068470590000002</v>
      </c>
      <c r="CN19" s="18">
        <v>-0.67649976499999998</v>
      </c>
      <c r="CO19" s="18">
        <v>-1.5287844950000001E-2</v>
      </c>
      <c r="CP19" s="18">
        <v>-0.34223544379999998</v>
      </c>
      <c r="CQ19" s="18">
        <v>-0.63179311019999995</v>
      </c>
      <c r="CR19" s="18">
        <v>-0.42971111299999998</v>
      </c>
      <c r="CS19" s="18">
        <v>-0.1475830165</v>
      </c>
      <c r="CT19" s="18">
        <v>-0.67822281240000004</v>
      </c>
      <c r="CU19" s="296" t="s">
        <v>535</v>
      </c>
      <c r="CV19" s="18">
        <v>28.825896620000002</v>
      </c>
      <c r="CW19" s="18">
        <v>24.80795148</v>
      </c>
      <c r="CX19" s="18">
        <v>26.206632389999999</v>
      </c>
      <c r="CY19" s="292">
        <f>AVERAGE(CV19,CX19)</f>
        <v>27.516264505000002</v>
      </c>
      <c r="CZ19" s="18">
        <v>22.982507680000001</v>
      </c>
      <c r="DA19" s="18">
        <v>27.009913099999999</v>
      </c>
      <c r="DB19" s="18">
        <v>22.240975649999999</v>
      </c>
      <c r="DC19" s="292">
        <f>AVERAGE(CZ19,DB19)</f>
        <v>22.611741665</v>
      </c>
      <c r="DD19" s="24">
        <f t="shared" ref="DD19:DG22" si="20">CZ19-CV19</f>
        <v>-5.8433889400000005</v>
      </c>
      <c r="DE19" s="24">
        <f t="shared" si="20"/>
        <v>2.2019616199999987</v>
      </c>
      <c r="DF19" s="294">
        <f t="shared" si="20"/>
        <v>-3.96565674</v>
      </c>
      <c r="DG19" s="294">
        <f t="shared" si="20"/>
        <v>-4.904522840000002</v>
      </c>
      <c r="DH19" s="297" t="s">
        <v>535</v>
      </c>
      <c r="DI19" s="18">
        <v>4.9414054350000001</v>
      </c>
      <c r="DJ19" s="18">
        <v>4.3662860950000004</v>
      </c>
      <c r="DK19" s="18">
        <v>5.6494851019999999</v>
      </c>
      <c r="DL19" s="3">
        <f>AVERAGE(DI19,DK19)</f>
        <v>5.2954452685</v>
      </c>
      <c r="DM19" s="18">
        <v>6.356784534</v>
      </c>
      <c r="DN19" s="18">
        <v>6.0814861410000001</v>
      </c>
      <c r="DO19" s="18">
        <v>5.8412807229999997</v>
      </c>
      <c r="DP19" s="3">
        <f>AVERAGE(DM19,DO19)</f>
        <v>6.0990326284999998</v>
      </c>
      <c r="DQ19" s="24">
        <f t="shared" ref="DQ19:DT22" si="21">DM19-DI19</f>
        <v>1.4153790989999999</v>
      </c>
      <c r="DR19" s="24">
        <f t="shared" si="21"/>
        <v>1.7152000459999996</v>
      </c>
      <c r="DS19" s="24">
        <f t="shared" si="21"/>
        <v>0.19179562099999981</v>
      </c>
      <c r="DT19" s="188">
        <f t="shared" si="21"/>
        <v>0.80358735999999986</v>
      </c>
      <c r="DU19" s="297" t="s">
        <v>535</v>
      </c>
      <c r="DV19" s="18">
        <v>35.417729459999997</v>
      </c>
      <c r="DW19" s="18">
        <v>13.14274438</v>
      </c>
      <c r="DX19" s="18">
        <v>16.174543289999999</v>
      </c>
      <c r="DY19" s="3">
        <f>AVERAGE(DV19,DX19)</f>
        <v>25.796136374999996</v>
      </c>
      <c r="DZ19" s="18">
        <v>10.71398954</v>
      </c>
      <c r="EA19" s="18">
        <v>14.38832161</v>
      </c>
      <c r="EB19" s="18">
        <v>11.85521443</v>
      </c>
      <c r="EC19" s="3">
        <f>AVERAGE(DZ19,EB19)</f>
        <v>11.284601985</v>
      </c>
      <c r="ED19" s="24">
        <f t="shared" ref="ED19:EG22" si="22">DZ19-DV19</f>
        <v>-24.703739919999997</v>
      </c>
      <c r="EE19" s="24">
        <f t="shared" si="22"/>
        <v>1.2455772300000003</v>
      </c>
      <c r="EF19" s="24">
        <f t="shared" si="22"/>
        <v>-4.3193288599999988</v>
      </c>
      <c r="EG19" s="188">
        <f t="shared" si="22"/>
        <v>-14.511534389999996</v>
      </c>
      <c r="EH19" s="297" t="s">
        <v>535</v>
      </c>
      <c r="EM19" s="3"/>
      <c r="EN19">
        <v>8</v>
      </c>
      <c r="EO19">
        <v>9</v>
      </c>
      <c r="EP19">
        <v>19</v>
      </c>
      <c r="EQ19">
        <v>2</v>
      </c>
      <c r="ER19">
        <v>8</v>
      </c>
      <c r="ES19">
        <v>0</v>
      </c>
      <c r="ET19">
        <v>46</v>
      </c>
      <c r="EU19" s="5">
        <v>-2.7068470590000002</v>
      </c>
      <c r="EV19">
        <v>-34.232210553106704</v>
      </c>
      <c r="EW19" s="310">
        <v>17</v>
      </c>
      <c r="EX19" s="5">
        <v>89</v>
      </c>
      <c r="EY19" s="18">
        <v>31</v>
      </c>
      <c r="FA19" s="18">
        <v>0.69200000219999991</v>
      </c>
      <c r="FB19" s="18">
        <v>0.55333333699999998</v>
      </c>
      <c r="FC19" s="18">
        <v>0.47333333333333327</v>
      </c>
      <c r="FD19" s="18">
        <v>0.3266666583333333</v>
      </c>
      <c r="FE19" s="18">
        <v>0.32999999966666665</v>
      </c>
      <c r="FF19" s="18">
        <v>-2.2857142857142854E-2</v>
      </c>
      <c r="FG19" s="18">
        <v>-9.8333333666666661E-2</v>
      </c>
      <c r="FH19" s="18">
        <v>0.5299999993333333</v>
      </c>
      <c r="FI19" s="18">
        <v>0.24333333333333329</v>
      </c>
      <c r="FJ19" s="18">
        <v>3.0000002666666581E-2</v>
      </c>
      <c r="FK19" s="18">
        <v>0.65999999133333331</v>
      </c>
      <c r="FL19" s="5">
        <v>4</v>
      </c>
      <c r="FM19" s="5">
        <v>0</v>
      </c>
      <c r="FN19" s="5">
        <v>0</v>
      </c>
      <c r="FO19" s="259">
        <v>0.76000000219999997</v>
      </c>
      <c r="FP19" s="72">
        <v>0.75666667033333335</v>
      </c>
      <c r="FQ19" s="260">
        <v>1</v>
      </c>
      <c r="FR19" s="261">
        <v>0.58666665833333331</v>
      </c>
      <c r="FS19" s="154">
        <v>0.43666666633333334</v>
      </c>
      <c r="FT19" s="262">
        <v>0.20428571428571426</v>
      </c>
      <c r="FU19" s="263">
        <v>1.9999999666666667E-2</v>
      </c>
      <c r="FV19" s="264">
        <v>0.81333333266666674</v>
      </c>
      <c r="FW19" s="265">
        <v>1</v>
      </c>
      <c r="FX19" s="266">
        <v>0.82000000266666662</v>
      </c>
      <c r="FY19" s="267">
        <v>0.65999999133333331</v>
      </c>
      <c r="FZ19" s="5">
        <v>-2.7068470590000002</v>
      </c>
      <c r="GA19">
        <v>8</v>
      </c>
      <c r="GB19">
        <v>9</v>
      </c>
      <c r="GC19">
        <v>19</v>
      </c>
      <c r="GD19">
        <v>2</v>
      </c>
      <c r="GE19">
        <v>8</v>
      </c>
      <c r="GF19">
        <v>0</v>
      </c>
      <c r="GG19">
        <v>46</v>
      </c>
      <c r="GH19" s="144">
        <v>1</v>
      </c>
    </row>
    <row r="20" spans="1:190" ht="16" x14ac:dyDescent="0.2">
      <c r="A20" s="3" t="s">
        <v>17</v>
      </c>
      <c r="B20" s="5">
        <v>2</v>
      </c>
      <c r="C20" s="5">
        <v>8</v>
      </c>
      <c r="D20" s="5">
        <v>33</v>
      </c>
      <c r="E20" s="5">
        <v>76</v>
      </c>
      <c r="F20" s="5">
        <v>43</v>
      </c>
      <c r="G20" s="5">
        <v>43</v>
      </c>
      <c r="H20" s="5">
        <v>175</v>
      </c>
      <c r="I20" s="5">
        <v>15</v>
      </c>
      <c r="J20" s="5">
        <v>113</v>
      </c>
      <c r="K20" s="5">
        <v>106</v>
      </c>
      <c r="L20" s="5">
        <v>122</v>
      </c>
      <c r="M20" s="5">
        <v>86</v>
      </c>
      <c r="N20" s="5">
        <v>128</v>
      </c>
      <c r="O20" s="5">
        <v>6</v>
      </c>
      <c r="P20" s="5">
        <v>-1</v>
      </c>
      <c r="Q20" s="5">
        <v>7</v>
      </c>
      <c r="R20" s="5">
        <v>-10</v>
      </c>
      <c r="S20" s="5">
        <v>13</v>
      </c>
      <c r="T20">
        <v>11</v>
      </c>
      <c r="U20" s="5">
        <v>10</v>
      </c>
      <c r="V20" s="5">
        <v>-1</v>
      </c>
      <c r="W20" s="5">
        <v>-9</v>
      </c>
      <c r="X20" s="5">
        <v>-19</v>
      </c>
      <c r="Y20" s="5">
        <v>1</v>
      </c>
      <c r="Z20" s="92">
        <v>-2.7838047368421E-2</v>
      </c>
      <c r="AA20" s="88">
        <v>14.5</v>
      </c>
      <c r="AB20" s="68">
        <v>88</v>
      </c>
      <c r="AC20" s="5">
        <v>89</v>
      </c>
      <c r="AD20" s="5">
        <v>100</v>
      </c>
      <c r="AE20" s="80">
        <v>92</v>
      </c>
      <c r="AF20" s="179">
        <v>-4</v>
      </c>
      <c r="AG20" s="154">
        <v>-6</v>
      </c>
      <c r="AH20" s="154">
        <v>7</v>
      </c>
      <c r="AI20" s="154">
        <v>-1</v>
      </c>
      <c r="AJ20" s="68">
        <v>84</v>
      </c>
      <c r="AK20" s="5">
        <v>83</v>
      </c>
      <c r="AL20" s="5">
        <v>107</v>
      </c>
      <c r="AM20" s="80">
        <v>91</v>
      </c>
      <c r="AN20" s="68">
        <v>88</v>
      </c>
      <c r="AO20" s="5">
        <v>89</v>
      </c>
      <c r="AP20" s="5">
        <v>100</v>
      </c>
      <c r="AQ20" s="80">
        <v>92</v>
      </c>
      <c r="AR20" s="68">
        <v>84</v>
      </c>
      <c r="AS20" s="5">
        <v>83</v>
      </c>
      <c r="AT20" s="5">
        <v>107</v>
      </c>
      <c r="AU20" s="80">
        <v>91</v>
      </c>
      <c r="AV20" s="179">
        <f t="shared" si="10"/>
        <v>-4</v>
      </c>
      <c r="AW20" s="154">
        <f t="shared" si="11"/>
        <v>-6</v>
      </c>
      <c r="AX20" s="154">
        <f t="shared" si="12"/>
        <v>7</v>
      </c>
      <c r="AY20" s="185">
        <f t="shared" si="13"/>
        <v>-1</v>
      </c>
      <c r="AZ20" s="9">
        <v>1.1363636363636365</v>
      </c>
      <c r="BA20" s="77">
        <v>-0.13744588744588726</v>
      </c>
      <c r="BB20">
        <v>1.0113636363636365</v>
      </c>
      <c r="BC20" s="77">
        <v>2.3268398268398327E-2</v>
      </c>
      <c r="BD20" s="154">
        <v>0.76999998092699995</v>
      </c>
      <c r="BE20" s="144">
        <v>0.83999997377400004</v>
      </c>
      <c r="BF20" s="5">
        <v>7</v>
      </c>
      <c r="BG20" s="5">
        <v>-1</v>
      </c>
      <c r="BK20" t="s">
        <v>17</v>
      </c>
      <c r="BL20">
        <v>-10</v>
      </c>
      <c r="BM20" s="221">
        <v>-16</v>
      </c>
      <c r="BN20" s="21">
        <v>-17</v>
      </c>
      <c r="BO20">
        <v>-34</v>
      </c>
      <c r="BP20">
        <v>-67</v>
      </c>
      <c r="BQ20" t="s">
        <v>490</v>
      </c>
      <c r="BR20">
        <v>4.2323659582691703E-28</v>
      </c>
      <c r="BS20" t="s">
        <v>491</v>
      </c>
      <c r="BT20">
        <v>-1.71345022949556E-27</v>
      </c>
      <c r="BU20" s="18">
        <f t="shared" si="14"/>
        <v>-6.4510681683432144E-28</v>
      </c>
      <c r="BV20" s="18"/>
      <c r="BW20">
        <v>0.5</v>
      </c>
      <c r="BX20">
        <v>0.12999999523200001</v>
      </c>
      <c r="BY20" s="18">
        <f t="shared" si="15"/>
        <v>0.37000000476799999</v>
      </c>
      <c r="BZ20" s="3">
        <v>0.35799999840000002</v>
      </c>
      <c r="CA20">
        <v>0.3166666726666667</v>
      </c>
      <c r="CB20">
        <v>0.31666666766666668</v>
      </c>
      <c r="CC20">
        <v>0.18333333366666668</v>
      </c>
      <c r="CD20">
        <v>0.33000000666666662</v>
      </c>
      <c r="CE20">
        <v>0.16142857342857142</v>
      </c>
      <c r="CF20">
        <v>5.0000000000000001E-3</v>
      </c>
      <c r="CG20">
        <v>0.176666667</v>
      </c>
      <c r="CH20">
        <v>0.46666665899999998</v>
      </c>
      <c r="CI20">
        <v>0.57999998333333336</v>
      </c>
      <c r="CJ20">
        <v>0.51000001033333331</v>
      </c>
      <c r="CK20" s="285" t="s">
        <v>536</v>
      </c>
      <c r="CL20" s="18">
        <v>1.8900219229999999</v>
      </c>
      <c r="CM20" s="18">
        <v>-4.1567060470000001</v>
      </c>
      <c r="CN20" s="18">
        <v>-0.71777224539999995</v>
      </c>
      <c r="CO20" s="18">
        <v>-0.3631437475</v>
      </c>
      <c r="CP20" s="18">
        <v>-0.43654978840000003</v>
      </c>
      <c r="CQ20" s="18">
        <v>-0.34623590459999998</v>
      </c>
      <c r="CR20" s="18">
        <v>-0.47770460920000002</v>
      </c>
      <c r="CS20" s="18">
        <v>-0.238764752</v>
      </c>
      <c r="CT20" s="18">
        <v>-0.25477671340000002</v>
      </c>
      <c r="CU20" s="285" t="s">
        <v>536</v>
      </c>
      <c r="CV20" s="18">
        <v>16.429920899999999</v>
      </c>
      <c r="CW20" s="18">
        <v>15.47131422</v>
      </c>
      <c r="CX20" s="18">
        <v>13.33761456</v>
      </c>
      <c r="CY20" s="292">
        <f>AVERAGE(CV20,CX20)</f>
        <v>14.883767729999999</v>
      </c>
      <c r="CZ20" s="18">
        <v>6.1993915849999999</v>
      </c>
      <c r="DA20" s="18">
        <v>7.0648990649999996</v>
      </c>
      <c r="DB20" s="18">
        <v>6.5786088210000004</v>
      </c>
      <c r="DC20" s="292">
        <f>AVERAGE(CZ20,DB20)</f>
        <v>6.3890002030000002</v>
      </c>
      <c r="DD20" s="24">
        <f t="shared" si="20"/>
        <v>-10.230529314999998</v>
      </c>
      <c r="DE20" s="24">
        <f t="shared" si="20"/>
        <v>-8.4064151550000012</v>
      </c>
      <c r="DF20" s="294">
        <f t="shared" si="20"/>
        <v>-6.759005739</v>
      </c>
      <c r="DG20" s="294">
        <f t="shared" si="20"/>
        <v>-8.4947675269999987</v>
      </c>
      <c r="DH20" s="295" t="s">
        <v>536</v>
      </c>
      <c r="DI20" s="18">
        <v>2.5670949269999999</v>
      </c>
      <c r="DJ20" s="18">
        <v>2.7467536799999999</v>
      </c>
      <c r="DK20" s="18">
        <v>2.4138939239999999</v>
      </c>
      <c r="DL20" s="3">
        <f>AVERAGE(DI20,DK20)</f>
        <v>2.4904944254999997</v>
      </c>
      <c r="DM20" s="18">
        <v>1.515023029</v>
      </c>
      <c r="DN20" s="18">
        <v>1.6848409049999999</v>
      </c>
      <c r="DO20" s="18">
        <v>1.522191407</v>
      </c>
      <c r="DP20" s="3">
        <f>AVERAGE(DM20,DO20)</f>
        <v>1.5186072180000001</v>
      </c>
      <c r="DQ20" s="24">
        <f t="shared" si="21"/>
        <v>-1.0520718979999999</v>
      </c>
      <c r="DR20" s="24">
        <f t="shared" si="21"/>
        <v>-1.0619127749999999</v>
      </c>
      <c r="DS20" s="24">
        <f t="shared" si="21"/>
        <v>-0.89170251699999992</v>
      </c>
      <c r="DT20" s="188">
        <f t="shared" si="21"/>
        <v>-0.97188720749999957</v>
      </c>
      <c r="DU20" s="295" t="s">
        <v>536</v>
      </c>
      <c r="DV20" s="18">
        <v>18.826740740000002</v>
      </c>
      <c r="DW20" s="18">
        <v>32.315442930000003</v>
      </c>
      <c r="DX20" s="18">
        <v>11.17975429</v>
      </c>
      <c r="DY20" s="3">
        <f>AVERAGE(DV20,DX20)</f>
        <v>15.003247515000002</v>
      </c>
      <c r="DZ20" s="18">
        <v>5.7493962449999998</v>
      </c>
      <c r="EA20" s="18">
        <v>4.394662115</v>
      </c>
      <c r="EB20" s="18">
        <v>5.855131031</v>
      </c>
      <c r="EC20" s="3">
        <f>AVERAGE(DZ20,EB20)</f>
        <v>5.8022636379999994</v>
      </c>
      <c r="ED20" s="24">
        <f t="shared" si="22"/>
        <v>-13.077344495000002</v>
      </c>
      <c r="EE20" s="24">
        <f t="shared" si="22"/>
        <v>-27.920780815000004</v>
      </c>
      <c r="EF20" s="24">
        <f t="shared" si="22"/>
        <v>-5.324623259</v>
      </c>
      <c r="EG20" s="188">
        <f t="shared" si="22"/>
        <v>-9.2009838770000023</v>
      </c>
      <c r="EH20" s="295" t="s">
        <v>536</v>
      </c>
      <c r="EI20" t="s">
        <v>490</v>
      </c>
      <c r="EJ20">
        <v>84.735555548497302</v>
      </c>
      <c r="EK20" t="s">
        <v>491</v>
      </c>
      <c r="EL20">
        <v>42.655997857338598</v>
      </c>
      <c r="EM20" s="3">
        <f t="shared" si="16"/>
        <v>63.695776702917954</v>
      </c>
      <c r="EN20">
        <v>3</v>
      </c>
      <c r="EO20">
        <v>12</v>
      </c>
      <c r="EP20">
        <v>13</v>
      </c>
      <c r="EQ20">
        <v>-3</v>
      </c>
      <c r="ER20">
        <v>4</v>
      </c>
      <c r="ES20">
        <v>0</v>
      </c>
      <c r="ET20">
        <v>29</v>
      </c>
      <c r="EU20" s="5">
        <v>-4.1567060470000001</v>
      </c>
      <c r="EV20">
        <v>-52.427600977815047</v>
      </c>
      <c r="EW20" s="310">
        <v>18</v>
      </c>
      <c r="EX20" s="5">
        <v>76</v>
      </c>
      <c r="EY20" s="18">
        <v>43</v>
      </c>
      <c r="FA20" s="18">
        <v>0.35599999840000002</v>
      </c>
      <c r="FB20" s="18">
        <v>0.3066666726666667</v>
      </c>
      <c r="FC20" s="18">
        <v>0.30666666766666667</v>
      </c>
      <c r="FD20" s="18">
        <v>0.18333333366666668</v>
      </c>
      <c r="FE20" s="18">
        <v>0.33000000666666662</v>
      </c>
      <c r="FF20" s="18">
        <v>0.15857143057142856</v>
      </c>
      <c r="FG20" s="18">
        <v>3.3333333333333331E-3</v>
      </c>
      <c r="FH20" s="18">
        <v>0.176666667</v>
      </c>
      <c r="FI20" s="18">
        <v>0.46333332566666663</v>
      </c>
      <c r="FJ20" s="18">
        <v>0.57999998333333336</v>
      </c>
      <c r="FK20" s="18">
        <v>0.51000001033333331</v>
      </c>
      <c r="FL20" s="5">
        <v>7</v>
      </c>
      <c r="FM20" s="5">
        <v>10</v>
      </c>
      <c r="FN20" s="5">
        <v>1</v>
      </c>
      <c r="FO20" s="259">
        <v>0.35799999840000002</v>
      </c>
      <c r="FP20" s="72">
        <v>0.3166666726666667</v>
      </c>
      <c r="FQ20" s="260">
        <v>0.31666666766666668</v>
      </c>
      <c r="FR20" s="261">
        <v>0.18333333366666668</v>
      </c>
      <c r="FS20" s="154">
        <v>0.33000000666666662</v>
      </c>
      <c r="FT20" s="262">
        <v>0.16142857342857142</v>
      </c>
      <c r="FU20" s="263">
        <v>5.0000000000000001E-3</v>
      </c>
      <c r="FV20" s="264">
        <v>0.176666667</v>
      </c>
      <c r="FW20" s="265">
        <v>0.46666665899999998</v>
      </c>
      <c r="FX20" s="266">
        <v>0.57999998333333336</v>
      </c>
      <c r="FY20" s="267">
        <v>0.51000001033333331</v>
      </c>
      <c r="FZ20" s="5">
        <v>-4.1567060470000001</v>
      </c>
      <c r="GA20">
        <v>3</v>
      </c>
      <c r="GB20">
        <v>12</v>
      </c>
      <c r="GC20">
        <v>13</v>
      </c>
      <c r="GD20">
        <v>-3</v>
      </c>
      <c r="GE20">
        <v>4</v>
      </c>
      <c r="GF20">
        <v>0</v>
      </c>
      <c r="GG20">
        <v>29</v>
      </c>
      <c r="GH20" s="144">
        <v>0.83999997377400004</v>
      </c>
    </row>
    <row r="21" spans="1:190" ht="16" x14ac:dyDescent="0.2">
      <c r="A21" s="3" t="s">
        <v>18</v>
      </c>
      <c r="B21" s="5">
        <v>0</v>
      </c>
      <c r="C21" s="5">
        <v>8</v>
      </c>
      <c r="D21" s="5">
        <v>27</v>
      </c>
      <c r="E21" s="5">
        <v>18</v>
      </c>
      <c r="F21" s="5">
        <v>41</v>
      </c>
      <c r="G21" s="5">
        <v>33</v>
      </c>
      <c r="H21" s="5">
        <v>196</v>
      </c>
      <c r="I21" s="5">
        <v>15</v>
      </c>
      <c r="J21" s="5">
        <v>104</v>
      </c>
      <c r="K21" s="5">
        <v>127</v>
      </c>
      <c r="L21" s="5">
        <v>106</v>
      </c>
      <c r="M21" s="5">
        <v>58</v>
      </c>
      <c r="N21" s="5">
        <v>89</v>
      </c>
      <c r="O21" s="5">
        <v>13</v>
      </c>
      <c r="P21" s="5">
        <v>-8</v>
      </c>
      <c r="Q21" s="5">
        <v>3</v>
      </c>
      <c r="R21" s="5">
        <v>-12</v>
      </c>
      <c r="S21" s="5">
        <v>9</v>
      </c>
      <c r="T21">
        <v>4</v>
      </c>
      <c r="U21" s="5">
        <v>12</v>
      </c>
      <c r="V21" s="5">
        <v>10</v>
      </c>
      <c r="W21" s="5">
        <v>5</v>
      </c>
      <c r="X21" s="5">
        <v>-7</v>
      </c>
      <c r="Y21" s="5">
        <v>8</v>
      </c>
      <c r="Z21" s="92">
        <v>5.7188526315789792E-3</v>
      </c>
      <c r="AA21" s="88">
        <v>18.5</v>
      </c>
      <c r="AB21" s="68">
        <v>107</v>
      </c>
      <c r="AC21" s="5">
        <v>97</v>
      </c>
      <c r="AD21" s="5">
        <v>118</v>
      </c>
      <c r="AE21" s="80">
        <v>107</v>
      </c>
      <c r="AF21" s="179">
        <v>-8</v>
      </c>
      <c r="AG21" s="154">
        <v>1</v>
      </c>
      <c r="AH21" s="154">
        <v>-4</v>
      </c>
      <c r="AI21" s="154">
        <v>-3</v>
      </c>
      <c r="AJ21" s="68">
        <v>99</v>
      </c>
      <c r="AK21" s="5">
        <v>98</v>
      </c>
      <c r="AL21" s="5">
        <v>114</v>
      </c>
      <c r="AM21" s="80">
        <v>104</v>
      </c>
      <c r="AN21" s="68">
        <v>107</v>
      </c>
      <c r="AO21" s="5">
        <v>97</v>
      </c>
      <c r="AP21" s="5">
        <v>118</v>
      </c>
      <c r="AQ21" s="80">
        <v>107</v>
      </c>
      <c r="AR21" s="68">
        <v>99</v>
      </c>
      <c r="AS21" s="5">
        <v>98</v>
      </c>
      <c r="AT21" s="5">
        <v>114</v>
      </c>
      <c r="AU21" s="80">
        <v>104</v>
      </c>
      <c r="AV21" s="179">
        <f t="shared" si="10"/>
        <v>-8</v>
      </c>
      <c r="AW21" s="154">
        <f t="shared" si="11"/>
        <v>1</v>
      </c>
      <c r="AX21" s="154">
        <f t="shared" si="12"/>
        <v>-4</v>
      </c>
      <c r="AY21" s="185">
        <f t="shared" si="13"/>
        <v>-3</v>
      </c>
      <c r="AZ21" s="9">
        <v>1.1028037383177569</v>
      </c>
      <c r="BA21" s="77">
        <v>-4.8711413197394693E-2</v>
      </c>
      <c r="BB21">
        <v>0.90654205607476634</v>
      </c>
      <c r="BC21" s="77">
        <v>-8.33569338242236E-2</v>
      </c>
      <c r="BD21" s="154">
        <v>1</v>
      </c>
      <c r="BE21" s="144">
        <v>0.94</v>
      </c>
      <c r="BF21" s="5">
        <v>3</v>
      </c>
      <c r="BG21" s="5">
        <v>-8</v>
      </c>
      <c r="BK21" t="s">
        <v>18</v>
      </c>
      <c r="BL21">
        <v>-1</v>
      </c>
      <c r="BM21">
        <v>-2</v>
      </c>
      <c r="BN21">
        <v>-1</v>
      </c>
      <c r="BO21" t="s">
        <v>464</v>
      </c>
      <c r="BP21">
        <v>-2</v>
      </c>
      <c r="BQ21" t="s">
        <v>492</v>
      </c>
      <c r="BR21">
        <v>-9.5479527085217599E-27</v>
      </c>
      <c r="BS21" t="s">
        <v>493</v>
      </c>
      <c r="BT21">
        <v>-6.1842943333621997E-27</v>
      </c>
      <c r="BU21" s="18">
        <f t="shared" si="14"/>
        <v>-7.8661235209419795E-27</v>
      </c>
      <c r="BV21" s="18"/>
      <c r="BW21">
        <v>0.98</v>
      </c>
      <c r="BX21">
        <v>0</v>
      </c>
      <c r="BY21" s="18">
        <f t="shared" si="15"/>
        <v>0.98</v>
      </c>
      <c r="BZ21" s="3">
        <v>0.37200000000000005</v>
      </c>
      <c r="CA21">
        <v>0.25666666666666665</v>
      </c>
      <c r="CB21">
        <v>0.35000000000000003</v>
      </c>
      <c r="CC21">
        <v>0.30333333333333329</v>
      </c>
      <c r="CD21">
        <v>0.46666666666666662</v>
      </c>
      <c r="CE21">
        <v>0.48999999999999994</v>
      </c>
      <c r="CF21">
        <v>0.22166666666666668</v>
      </c>
      <c r="CG21">
        <v>0.96333333333333337</v>
      </c>
      <c r="CH21">
        <v>1</v>
      </c>
      <c r="CI21">
        <v>1</v>
      </c>
      <c r="CJ21">
        <v>0.92666666666666664</v>
      </c>
      <c r="CK21" s="296" t="s">
        <v>537</v>
      </c>
      <c r="CL21" s="18">
        <v>2.4828542040000001</v>
      </c>
      <c r="CM21" s="18">
        <v>-4.8432809280000004</v>
      </c>
      <c r="CN21" s="18">
        <v>-0.39722959629999999</v>
      </c>
      <c r="CO21" s="18">
        <v>-0.29031800009999997</v>
      </c>
      <c r="CP21" s="18">
        <v>-0.25623491679999999</v>
      </c>
      <c r="CQ21" s="18">
        <v>-0.82528387999999997</v>
      </c>
      <c r="CR21" s="18">
        <v>-0.2251880869</v>
      </c>
      <c r="CS21" s="18">
        <v>-0.1112616293</v>
      </c>
      <c r="CT21" s="18">
        <v>-0.54346753859999997</v>
      </c>
      <c r="CU21" s="296" t="s">
        <v>537</v>
      </c>
      <c r="CV21" s="18">
        <v>11.66663857</v>
      </c>
      <c r="CW21" s="18">
        <v>14.43422086</v>
      </c>
      <c r="CX21" s="18">
        <v>16.559401170000001</v>
      </c>
      <c r="CY21" s="292">
        <f>AVERAGE(CV21,CX21)</f>
        <v>14.11301987</v>
      </c>
      <c r="CZ21" s="18">
        <v>9.4100835669999991</v>
      </c>
      <c r="DA21" s="18">
        <v>9.8063255609999995</v>
      </c>
      <c r="DB21" s="18">
        <v>9.5482687310000003</v>
      </c>
      <c r="DC21" s="292">
        <f>AVERAGE(CZ21,DB21)</f>
        <v>9.4791761490000006</v>
      </c>
      <c r="DD21" s="24">
        <f t="shared" si="20"/>
        <v>-2.2565550030000008</v>
      </c>
      <c r="DE21" s="24">
        <f t="shared" si="20"/>
        <v>-4.6278952990000004</v>
      </c>
      <c r="DF21" s="294">
        <f t="shared" si="20"/>
        <v>-7.0111324390000007</v>
      </c>
      <c r="DG21" s="294">
        <f t="shared" si="20"/>
        <v>-4.6338437209999999</v>
      </c>
      <c r="DH21" s="297" t="s">
        <v>537</v>
      </c>
      <c r="DI21" s="18">
        <v>4.3731607950000004</v>
      </c>
      <c r="DJ21" s="18">
        <v>4.5552137779999997</v>
      </c>
      <c r="DK21" s="18">
        <v>4.851935675</v>
      </c>
      <c r="DL21" s="3">
        <f>AVERAGE(DI21,DK21)</f>
        <v>4.6125482350000002</v>
      </c>
      <c r="DM21" s="18">
        <v>4.9944964030000003</v>
      </c>
      <c r="DN21" s="18">
        <v>4.4875176760000004</v>
      </c>
      <c r="DO21" s="18">
        <v>5.7322021559999996</v>
      </c>
      <c r="DP21" s="3">
        <f>AVERAGE(DM21,DO21)</f>
        <v>5.3633492794999995</v>
      </c>
      <c r="DQ21" s="24">
        <f t="shared" si="21"/>
        <v>0.62133560799999987</v>
      </c>
      <c r="DR21" s="24">
        <f t="shared" si="21"/>
        <v>-6.7696101999999314E-2</v>
      </c>
      <c r="DS21" s="24">
        <f t="shared" si="21"/>
        <v>0.8802664809999996</v>
      </c>
      <c r="DT21" s="188">
        <f t="shared" si="21"/>
        <v>0.75080104449999929</v>
      </c>
      <c r="DU21" s="297" t="s">
        <v>537</v>
      </c>
      <c r="DV21" s="18">
        <v>26.215618509999999</v>
      </c>
      <c r="DW21" s="18">
        <v>33.648569680000001</v>
      </c>
      <c r="DX21" s="18">
        <v>7.6932284849999997</v>
      </c>
      <c r="DY21" s="3">
        <f>AVERAGE(DV21,DX21)</f>
        <v>16.954423497499999</v>
      </c>
      <c r="DZ21" s="18">
        <v>5.6682492299999998</v>
      </c>
      <c r="EA21" s="18">
        <v>5.4094926149999996</v>
      </c>
      <c r="EB21" s="18">
        <v>5.6699870130000001</v>
      </c>
      <c r="EC21" s="3">
        <f>AVERAGE(DZ21,EB21)</f>
        <v>5.6691181215000004</v>
      </c>
      <c r="ED21" s="24">
        <f t="shared" si="22"/>
        <v>-20.547369279999998</v>
      </c>
      <c r="EE21" s="24">
        <f t="shared" si="22"/>
        <v>-28.239077065000004</v>
      </c>
      <c r="EF21" s="24">
        <f t="shared" si="22"/>
        <v>-2.0232414719999996</v>
      </c>
      <c r="EG21" s="188">
        <f t="shared" si="22"/>
        <v>-11.285305375999998</v>
      </c>
      <c r="EH21" s="297" t="s">
        <v>537</v>
      </c>
      <c r="EI21" t="s">
        <v>492</v>
      </c>
      <c r="EJ21">
        <v>19.182420940002299</v>
      </c>
      <c r="EK21" t="s">
        <v>493</v>
      </c>
      <c r="EL21">
        <v>21.0115488131744</v>
      </c>
      <c r="EM21" s="3">
        <f t="shared" si="16"/>
        <v>20.096984876588351</v>
      </c>
      <c r="EN21">
        <v>3</v>
      </c>
      <c r="EO21">
        <v>15</v>
      </c>
      <c r="EP21">
        <v>17</v>
      </c>
      <c r="EQ21">
        <v>0</v>
      </c>
      <c r="ER21">
        <v>4</v>
      </c>
      <c r="ES21">
        <v>1</v>
      </c>
      <c r="ET21">
        <v>40</v>
      </c>
      <c r="EU21" s="5">
        <v>-4.8432809280000004</v>
      </c>
      <c r="EV21">
        <v>-29.784019266137442</v>
      </c>
      <c r="EW21" s="310">
        <v>19</v>
      </c>
      <c r="EX21" s="5">
        <v>18</v>
      </c>
      <c r="EY21" s="18">
        <v>33</v>
      </c>
      <c r="FA21" s="18">
        <v>0.37200000000000005</v>
      </c>
      <c r="FB21" s="18">
        <v>0.25666666666666665</v>
      </c>
      <c r="FC21" s="18">
        <v>0.31333333353200005</v>
      </c>
      <c r="FD21" s="18">
        <v>0.30333333333333329</v>
      </c>
      <c r="FE21" s="18">
        <v>0.46666666666666662</v>
      </c>
      <c r="FF21" s="18">
        <v>0.48999999999999994</v>
      </c>
      <c r="FG21" s="18">
        <v>0.22166666666666668</v>
      </c>
      <c r="FH21" s="18">
        <v>0.96333333333333337</v>
      </c>
      <c r="FI21" s="18">
        <v>1</v>
      </c>
      <c r="FJ21" s="18">
        <v>1</v>
      </c>
      <c r="FK21" s="18">
        <v>0.92666666666666664</v>
      </c>
      <c r="FL21" s="5">
        <v>3</v>
      </c>
      <c r="FM21" s="5">
        <v>12</v>
      </c>
      <c r="FN21" s="5">
        <v>8</v>
      </c>
      <c r="FO21" s="259">
        <v>0.37200000000000005</v>
      </c>
      <c r="FP21" s="72">
        <v>0.25666666666666665</v>
      </c>
      <c r="FQ21" s="260">
        <v>0.35000000000000003</v>
      </c>
      <c r="FR21" s="261">
        <v>0.30333333333333329</v>
      </c>
      <c r="FS21" s="154">
        <v>0.46666666666666662</v>
      </c>
      <c r="FT21" s="262">
        <v>0.48999999999999994</v>
      </c>
      <c r="FU21" s="263">
        <v>0.22166666666666668</v>
      </c>
      <c r="FV21" s="264">
        <v>0.96333333333333337</v>
      </c>
      <c r="FW21" s="265">
        <v>1</v>
      </c>
      <c r="FX21" s="266">
        <v>1</v>
      </c>
      <c r="FY21" s="267">
        <v>0.92666666666666664</v>
      </c>
      <c r="FZ21" s="5">
        <v>-4.8432809280000004</v>
      </c>
      <c r="GA21">
        <v>3</v>
      </c>
      <c r="GB21">
        <v>15</v>
      </c>
      <c r="GC21">
        <v>17</v>
      </c>
      <c r="GD21">
        <v>0</v>
      </c>
      <c r="GE21">
        <v>4</v>
      </c>
      <c r="GF21">
        <v>1</v>
      </c>
      <c r="GG21">
        <v>40</v>
      </c>
      <c r="GH21" s="144">
        <v>0.94</v>
      </c>
    </row>
    <row r="22" spans="1:190" ht="17" thickBot="1" x14ac:dyDescent="0.25">
      <c r="A22" s="3" t="s">
        <v>19</v>
      </c>
      <c r="B22" s="5">
        <v>1</v>
      </c>
      <c r="C22" s="5">
        <v>5</v>
      </c>
      <c r="D22" s="5">
        <v>29</v>
      </c>
      <c r="E22" s="5">
        <v>65</v>
      </c>
      <c r="F22" s="5">
        <v>39</v>
      </c>
      <c r="G22" s="5">
        <v>41</v>
      </c>
      <c r="H22" s="5">
        <v>164</v>
      </c>
      <c r="I22" s="5">
        <v>17</v>
      </c>
      <c r="J22" s="5">
        <v>115</v>
      </c>
      <c r="K22" s="5">
        <v>148</v>
      </c>
      <c r="L22" s="5">
        <v>126</v>
      </c>
      <c r="M22" s="5">
        <v>53</v>
      </c>
      <c r="N22" s="5">
        <v>132</v>
      </c>
      <c r="O22" s="5">
        <v>3.5</v>
      </c>
      <c r="P22" s="5">
        <v>-5</v>
      </c>
      <c r="Q22" s="5">
        <v>3</v>
      </c>
      <c r="R22" s="5">
        <v>-14</v>
      </c>
      <c r="S22" s="5">
        <v>13</v>
      </c>
      <c r="T22" s="5">
        <v>8</v>
      </c>
      <c r="U22" s="5">
        <v>14</v>
      </c>
      <c r="V22" s="5">
        <v>-18</v>
      </c>
      <c r="W22" s="5">
        <v>-13</v>
      </c>
      <c r="X22" s="5">
        <v>11</v>
      </c>
      <c r="Y22" s="5">
        <v>5</v>
      </c>
      <c r="Z22" s="92">
        <v>-4.0302947368421001E-2</v>
      </c>
      <c r="AA22" s="88">
        <v>15.5</v>
      </c>
      <c r="AB22" s="68">
        <v>97</v>
      </c>
      <c r="AC22" s="5">
        <v>98</v>
      </c>
      <c r="AD22" s="5">
        <v>112</v>
      </c>
      <c r="AE22" s="80">
        <v>102</v>
      </c>
      <c r="AF22" s="179">
        <v>3</v>
      </c>
      <c r="AG22" s="154">
        <v>0</v>
      </c>
      <c r="AH22" s="154">
        <v>-4</v>
      </c>
      <c r="AI22" s="154">
        <v>0</v>
      </c>
      <c r="AJ22" s="68">
        <v>100</v>
      </c>
      <c r="AK22" s="5">
        <v>98</v>
      </c>
      <c r="AL22" s="5">
        <v>108</v>
      </c>
      <c r="AM22" s="80">
        <v>102</v>
      </c>
      <c r="AN22" s="68">
        <v>97</v>
      </c>
      <c r="AO22" s="5">
        <v>98</v>
      </c>
      <c r="AP22" s="5">
        <v>112</v>
      </c>
      <c r="AQ22" s="80">
        <v>102</v>
      </c>
      <c r="AR22" s="68">
        <v>100</v>
      </c>
      <c r="AS22" s="5">
        <v>98</v>
      </c>
      <c r="AT22" s="5">
        <v>108</v>
      </c>
      <c r="AU22" s="80">
        <v>102</v>
      </c>
      <c r="AV22" s="179">
        <f t="shared" si="10"/>
        <v>3</v>
      </c>
      <c r="AW22" s="154">
        <f t="shared" si="11"/>
        <v>0</v>
      </c>
      <c r="AX22" s="154">
        <f t="shared" si="12"/>
        <v>-4</v>
      </c>
      <c r="AY22" s="185">
        <f t="shared" si="13"/>
        <v>0</v>
      </c>
      <c r="AZ22" s="9">
        <v>1.1546391752577319</v>
      </c>
      <c r="BA22" s="77">
        <v>7.4639175257731782E-2</v>
      </c>
      <c r="BB22">
        <v>1.0103092783505154</v>
      </c>
      <c r="BC22" s="77">
        <v>3.0309278350515445E-2</v>
      </c>
      <c r="BD22" s="154">
        <v>0.88999998569500005</v>
      </c>
      <c r="BE22" s="144">
        <v>0.58999997377400004</v>
      </c>
      <c r="BF22" s="5">
        <v>3</v>
      </c>
      <c r="BG22" s="5">
        <v>-5</v>
      </c>
      <c r="BK22" t="s">
        <v>19</v>
      </c>
      <c r="BL22">
        <v>-5</v>
      </c>
      <c r="BM22">
        <v>-5</v>
      </c>
      <c r="BN22">
        <v>-8</v>
      </c>
      <c r="BO22">
        <v>-9</v>
      </c>
      <c r="BP22">
        <v>-22</v>
      </c>
      <c r="BQ22" t="s">
        <v>494</v>
      </c>
      <c r="BR22">
        <v>-2.4215087851312799E-27</v>
      </c>
      <c r="BS22" t="s">
        <v>495</v>
      </c>
      <c r="BT22">
        <v>-2.0138982010566E-27</v>
      </c>
      <c r="BU22" s="18">
        <f t="shared" si="14"/>
        <v>-2.2177034930939399E-27</v>
      </c>
      <c r="BV22" s="18"/>
      <c r="BW22">
        <v>0.56999999284699998</v>
      </c>
      <c r="BX22">
        <v>2.99999993294E-2</v>
      </c>
      <c r="BY22" s="18">
        <f t="shared" si="15"/>
        <v>0.53999999351759997</v>
      </c>
      <c r="BZ22" s="32">
        <v>0.48000000119199998</v>
      </c>
      <c r="CA22">
        <v>0.48666666944833326</v>
      </c>
      <c r="CB22">
        <v>0.58999999364199995</v>
      </c>
      <c r="CC22">
        <v>0.5466666718326666</v>
      </c>
      <c r="CD22">
        <v>0.41999999682100003</v>
      </c>
      <c r="CE22">
        <v>0.37857142756035428</v>
      </c>
      <c r="CF22">
        <v>9.8333332066699988E-2</v>
      </c>
      <c r="CG22">
        <v>0.52000000079499997</v>
      </c>
      <c r="CH22">
        <v>0.4133333315453333</v>
      </c>
      <c r="CI22">
        <v>0.91666668653466665</v>
      </c>
      <c r="CJ22">
        <v>0.68000000715266662</v>
      </c>
      <c r="CK22" s="302" t="s">
        <v>538</v>
      </c>
      <c r="CL22" s="5">
        <v>0.89118661769999996</v>
      </c>
      <c r="CM22" s="5">
        <v>-3.2443840150000001</v>
      </c>
      <c r="CN22" s="5">
        <v>-0.38145985230000001</v>
      </c>
      <c r="CO22" s="5">
        <v>3.9731007719999998E-4</v>
      </c>
      <c r="CP22" s="5">
        <v>4.3821065079999999E-2</v>
      </c>
      <c r="CQ22" s="5">
        <v>-4.1918429829999999E-2</v>
      </c>
      <c r="CR22" s="5">
        <v>-0.13935687499999999</v>
      </c>
      <c r="CS22" s="5">
        <v>-7.0307903290000001E-2</v>
      </c>
      <c r="CT22" s="5">
        <v>1.096258074E-2</v>
      </c>
      <c r="CU22" s="302" t="s">
        <v>538</v>
      </c>
      <c r="CV22" s="5">
        <v>22.808162400000001</v>
      </c>
      <c r="CW22" s="5">
        <v>25.804270349999999</v>
      </c>
      <c r="CX22" s="5">
        <v>20.811243390000001</v>
      </c>
      <c r="CY22" s="292">
        <f>AVERAGE(CV22,CX22)</f>
        <v>21.809702895000001</v>
      </c>
      <c r="CZ22" s="5">
        <v>17.320772080000001</v>
      </c>
      <c r="DA22" s="5">
        <v>16.922087179999998</v>
      </c>
      <c r="DB22" s="5">
        <v>19.782613550000001</v>
      </c>
      <c r="DC22" s="292">
        <f>AVERAGE(CZ22,DB22)</f>
        <v>18.551692815000003</v>
      </c>
      <c r="DD22" s="24">
        <f t="shared" si="20"/>
        <v>-5.4873903199999994</v>
      </c>
      <c r="DE22" s="24">
        <f t="shared" si="20"/>
        <v>-8.8821831700000011</v>
      </c>
      <c r="DF22" s="294">
        <f t="shared" si="20"/>
        <v>-1.0286298400000007</v>
      </c>
      <c r="DG22" s="294">
        <f t="shared" si="20"/>
        <v>-3.2580100799999983</v>
      </c>
      <c r="DH22" s="303" t="s">
        <v>538</v>
      </c>
      <c r="DI22" s="5">
        <v>13.8431844</v>
      </c>
      <c r="DJ22" s="5">
        <v>10.518221179999999</v>
      </c>
      <c r="DK22" s="5">
        <v>11.63398183</v>
      </c>
      <c r="DL22" s="3">
        <f>AVERAGE(DI22,DK22)</f>
        <v>12.738583115000001</v>
      </c>
      <c r="DM22" s="5">
        <v>11.40620103</v>
      </c>
      <c r="DN22" s="5">
        <v>7.7425146910000002</v>
      </c>
      <c r="DO22" s="5">
        <v>6.7082883190000002</v>
      </c>
      <c r="DP22" s="3">
        <f>AVERAGE(DM22,DO22)</f>
        <v>9.0572446744999997</v>
      </c>
      <c r="DQ22" s="24">
        <f t="shared" si="21"/>
        <v>-2.4369833700000001</v>
      </c>
      <c r="DR22" s="24">
        <f t="shared" si="21"/>
        <v>-2.7757064889999992</v>
      </c>
      <c r="DS22" s="24">
        <f t="shared" si="21"/>
        <v>-4.9256935109999995</v>
      </c>
      <c r="DT22" s="188">
        <f t="shared" si="21"/>
        <v>-3.6813384405000011</v>
      </c>
      <c r="DU22" s="303" t="s">
        <v>538</v>
      </c>
      <c r="DV22" s="5">
        <v>7.3308301079999998</v>
      </c>
      <c r="DW22" s="5">
        <v>7.2743262580000003</v>
      </c>
      <c r="DX22" s="5">
        <v>6.7980196490000004</v>
      </c>
      <c r="DY22" s="3">
        <f>AVERAGE(DV22,DX22)</f>
        <v>7.0644248785000006</v>
      </c>
      <c r="DZ22" s="5">
        <v>7.9150840569999996</v>
      </c>
      <c r="EA22" s="5">
        <v>7.9987494000000003</v>
      </c>
      <c r="EB22" s="5">
        <v>8.5536987940000007</v>
      </c>
      <c r="EC22" s="3">
        <f>AVERAGE(DZ22,EB22)</f>
        <v>8.2343914255000001</v>
      </c>
      <c r="ED22" s="24">
        <f t="shared" si="22"/>
        <v>0.58425394899999983</v>
      </c>
      <c r="EE22" s="24">
        <f t="shared" si="22"/>
        <v>0.72442314200000002</v>
      </c>
      <c r="EF22" s="24">
        <f t="shared" si="22"/>
        <v>1.7556791450000002</v>
      </c>
      <c r="EG22" s="188">
        <f t="shared" si="22"/>
        <v>1.1699665469999996</v>
      </c>
      <c r="EH22" s="303" t="s">
        <v>538</v>
      </c>
      <c r="EI22" t="s">
        <v>494</v>
      </c>
      <c r="EJ22">
        <v>79.535345828256098</v>
      </c>
      <c r="EK22" t="s">
        <v>495</v>
      </c>
      <c r="EL22">
        <v>82.701264871827206</v>
      </c>
      <c r="EM22" s="32">
        <f t="shared" si="16"/>
        <v>81.118305350041652</v>
      </c>
      <c r="EN22">
        <v>6</v>
      </c>
      <c r="EO22">
        <v>11</v>
      </c>
      <c r="EP22">
        <v>14</v>
      </c>
      <c r="EQ22">
        <v>-3</v>
      </c>
      <c r="ER22">
        <v>6</v>
      </c>
      <c r="ES22">
        <v>2</v>
      </c>
      <c r="ET22">
        <v>36</v>
      </c>
      <c r="EU22" s="5">
        <v>-3.2443840150000001</v>
      </c>
      <c r="EV22">
        <v>-20.856505662224723</v>
      </c>
      <c r="EW22" s="311">
        <v>20</v>
      </c>
      <c r="EX22" s="83">
        <v>65</v>
      </c>
      <c r="EY22" s="18">
        <v>41</v>
      </c>
      <c r="FA22" s="18">
        <v>0.47800000119199998</v>
      </c>
      <c r="FB22" s="18">
        <v>0.4833333361149999</v>
      </c>
      <c r="FC22" s="18">
        <v>0.5733333273086666</v>
      </c>
      <c r="FD22" s="18">
        <v>0.53333333883266665</v>
      </c>
      <c r="FE22" s="18">
        <v>0.34666666515433336</v>
      </c>
      <c r="FF22" s="18">
        <v>0.37285714198892572</v>
      </c>
      <c r="FG22" s="18">
        <v>9.8333332066699988E-2</v>
      </c>
      <c r="FH22" s="18">
        <v>0.51000000112833332</v>
      </c>
      <c r="FI22" s="18">
        <v>0.37666666487866662</v>
      </c>
      <c r="FJ22" s="18">
        <v>0.91666668653466665</v>
      </c>
      <c r="FK22" s="18">
        <v>0.66333334081933326</v>
      </c>
      <c r="FL22" s="5">
        <v>3</v>
      </c>
      <c r="FM22" s="5">
        <v>14</v>
      </c>
      <c r="FN22" s="5">
        <v>5</v>
      </c>
      <c r="FO22" s="268">
        <v>0.48000000119199998</v>
      </c>
      <c r="FP22" s="269">
        <v>0.48666666944833326</v>
      </c>
      <c r="FQ22" s="270">
        <v>0.58999999364199995</v>
      </c>
      <c r="FR22" s="271">
        <v>0.5466666718326666</v>
      </c>
      <c r="FS22" s="162">
        <v>0.41999999682100003</v>
      </c>
      <c r="FT22" s="272">
        <v>0.37857142756035428</v>
      </c>
      <c r="FU22" s="273">
        <v>9.8333332066699988E-2</v>
      </c>
      <c r="FV22" s="274">
        <v>0.52000000079499997</v>
      </c>
      <c r="FW22" s="275">
        <v>0.4133333315453333</v>
      </c>
      <c r="FX22" s="276">
        <v>0.91666668653466665</v>
      </c>
      <c r="FY22" s="277">
        <v>0.68000000715266662</v>
      </c>
      <c r="FZ22" s="5">
        <v>-3.2443840150000001</v>
      </c>
      <c r="GA22">
        <v>6</v>
      </c>
      <c r="GB22">
        <v>11</v>
      </c>
      <c r="GC22">
        <v>14</v>
      </c>
      <c r="GD22">
        <v>-3</v>
      </c>
      <c r="GE22">
        <v>6</v>
      </c>
      <c r="GF22">
        <v>2</v>
      </c>
      <c r="GG22">
        <v>36</v>
      </c>
      <c r="GH22" s="144">
        <v>0.58999997377400004</v>
      </c>
    </row>
    <row r="23" spans="1:190" s="6" customFormat="1" ht="16" thickBot="1" x14ac:dyDescent="0.25">
      <c r="A23" s="67"/>
      <c r="C23" s="6" t="s">
        <v>217</v>
      </c>
      <c r="U23" s="6">
        <f>AVERAGE(U3:U22)</f>
        <v>3.1</v>
      </c>
      <c r="V23" s="6">
        <f t="shared" ref="V23:Y23" si="23">AVERAGE(V3:V22)</f>
        <v>0.8</v>
      </c>
      <c r="W23" s="6">
        <f t="shared" si="23"/>
        <v>0.55000000000000004</v>
      </c>
      <c r="X23" s="6">
        <f t="shared" si="23"/>
        <v>-0.85</v>
      </c>
      <c r="Y23" s="6">
        <f t="shared" si="23"/>
        <v>2.95</v>
      </c>
      <c r="CM23" s="6" t="s">
        <v>499</v>
      </c>
      <c r="CN23" s="6">
        <f>AVERAGE(CL3:CL22)</f>
        <v>1.4639803461400001</v>
      </c>
      <c r="CO23" s="6">
        <f t="shared" ref="CO23:EI23" si="24">AVERAGE(CM3:CM22)</f>
        <v>-2.4042056269000001</v>
      </c>
      <c r="CP23" s="6">
        <f t="shared" si="24"/>
        <v>-0.37686010071466663</v>
      </c>
      <c r="CQ23" s="6">
        <f t="shared" si="24"/>
        <v>-0.2481890504329867</v>
      </c>
      <c r="CR23" s="6">
        <f t="shared" si="24"/>
        <v>-0.26514099841333327</v>
      </c>
      <c r="CS23" s="6">
        <f t="shared" si="24"/>
        <v>-0.4310436288086667</v>
      </c>
      <c r="CT23" s="6">
        <f t="shared" si="24"/>
        <v>-0.30209760825333337</v>
      </c>
      <c r="CU23" s="6">
        <f t="shared" si="24"/>
        <v>-0.16283138676246664</v>
      </c>
      <c r="CV23" s="6">
        <f t="shared" si="24"/>
        <v>-0.42615136118399999</v>
      </c>
      <c r="CW23" s="6" t="s">
        <v>238</v>
      </c>
      <c r="CX23" s="6">
        <f t="shared" si="24"/>
        <v>16.13083597293333</v>
      </c>
      <c r="CY23" s="6">
        <f t="shared" si="24"/>
        <v>16.965880404733333</v>
      </c>
      <c r="CZ23" s="6">
        <f t="shared" si="24"/>
        <v>16.894401850933335</v>
      </c>
      <c r="DA23" s="6">
        <f t="shared" si="24"/>
        <v>16.51261891193333</v>
      </c>
      <c r="DB23" s="6">
        <f t="shared" si="24"/>
        <v>12.546637470533334</v>
      </c>
      <c r="DC23" s="6">
        <f t="shared" si="24"/>
        <v>12.774199741199999</v>
      </c>
      <c r="DD23" s="6">
        <f t="shared" si="24"/>
        <v>12.549080821266667</v>
      </c>
      <c r="DE23" s="6">
        <f t="shared" si="24"/>
        <v>12.5478591459</v>
      </c>
      <c r="DF23" s="6">
        <f t="shared" si="24"/>
        <v>-3.5841985023999996</v>
      </c>
      <c r="DG23" s="6">
        <f t="shared" si="24"/>
        <v>-4.191680663533333</v>
      </c>
      <c r="DH23" s="6">
        <f t="shared" si="24"/>
        <v>-4.3453210296666667</v>
      </c>
      <c r="DI23" s="6">
        <f t="shared" si="24"/>
        <v>-3.9647597660333336</v>
      </c>
      <c r="DJ23" s="6" t="s">
        <v>238</v>
      </c>
      <c r="DK23" s="6">
        <f t="shared" si="24"/>
        <v>4.7277549383333337</v>
      </c>
      <c r="DL23" s="6">
        <f t="shared" si="24"/>
        <v>4.6956628868666668</v>
      </c>
      <c r="DM23" s="6">
        <f t="shared" si="24"/>
        <v>4.9272389394666662</v>
      </c>
      <c r="DN23" s="4">
        <f t="shared" si="24"/>
        <v>4.8274969389000004</v>
      </c>
      <c r="DO23" s="6">
        <f t="shared" si="24"/>
        <v>5.6736238743333338</v>
      </c>
      <c r="DP23" s="6">
        <f t="shared" si="24"/>
        <v>5.4842697468666666</v>
      </c>
      <c r="DQ23" s="6">
        <f t="shared" si="24"/>
        <v>5.1664899332000003</v>
      </c>
      <c r="DR23" s="4">
        <f t="shared" si="24"/>
        <v>5.4200569037666666</v>
      </c>
      <c r="DS23" s="6">
        <f t="shared" si="24"/>
        <v>0.94586893599999966</v>
      </c>
      <c r="DT23" s="6">
        <f t="shared" si="24"/>
        <v>0.78860686000000024</v>
      </c>
      <c r="DU23" s="6">
        <f t="shared" si="24"/>
        <v>0.23925099373333339</v>
      </c>
      <c r="DV23" s="4">
        <f t="shared" si="24"/>
        <v>0.59255996486666629</v>
      </c>
      <c r="DW23" s="6" t="s">
        <v>238</v>
      </c>
      <c r="DX23" s="6">
        <f t="shared" si="24"/>
        <v>17.916009292666665</v>
      </c>
      <c r="DY23" s="6">
        <f t="shared" si="24"/>
        <v>16.756755451800004</v>
      </c>
      <c r="DZ23" s="6">
        <f t="shared" si="24"/>
        <v>13.462571183933333</v>
      </c>
      <c r="EA23" s="4">
        <f t="shared" si="24"/>
        <v>15.689290238299998</v>
      </c>
      <c r="EB23" s="6">
        <f t="shared" si="24"/>
        <v>7.1891143543333333</v>
      </c>
      <c r="EC23" s="6">
        <f t="shared" si="24"/>
        <v>8.3233059826666675</v>
      </c>
      <c r="ED23" s="6">
        <f t="shared" si="24"/>
        <v>7.1648269625333318</v>
      </c>
      <c r="EE23" s="4">
        <f t="shared" si="24"/>
        <v>7.1769706584333335</v>
      </c>
      <c r="EF23" s="6">
        <f t="shared" si="24"/>
        <v>-10.726894938333336</v>
      </c>
      <c r="EG23" s="6">
        <f t="shared" si="24"/>
        <v>-8.4334494691333308</v>
      </c>
      <c r="EH23" s="6">
        <f t="shared" si="24"/>
        <v>-6.2977442213999995</v>
      </c>
      <c r="EI23" s="4">
        <f t="shared" si="24"/>
        <v>-8.5123195798666664</v>
      </c>
      <c r="EJ23" s="4" t="s">
        <v>238</v>
      </c>
      <c r="EL23" s="6">
        <f>AVERAGE(EJ3:EJ22)</f>
        <v>49.858991227152963</v>
      </c>
      <c r="EN23" s="6">
        <f t="shared" ref="EN23:EO23" si="25">AVERAGE(EL3:EL22)</f>
        <v>47.240683998478339</v>
      </c>
      <c r="EO23" s="6">
        <f t="shared" si="25"/>
        <v>48.549837612815651</v>
      </c>
      <c r="EP23" s="6">
        <v>4.5999999999999996</v>
      </c>
      <c r="EQ23" s="6">
        <v>9.35</v>
      </c>
      <c r="ER23" s="6">
        <v>13.75</v>
      </c>
      <c r="ES23" s="6">
        <v>-0.85</v>
      </c>
      <c r="ET23" s="6">
        <v>4.2</v>
      </c>
      <c r="EU23" s="6">
        <v>3.15</v>
      </c>
      <c r="EV23" s="6">
        <v>34.200000000000003</v>
      </c>
      <c r="FA23" s="242">
        <f>AVERAGE(FA3:FA22)</f>
        <v>0.36429999968149673</v>
      </c>
      <c r="FB23" s="242">
        <f t="shared" ref="FB23:FN23" si="26">AVERAGE(FB3:FB22)</f>
        <v>0.26049999968024135</v>
      </c>
      <c r="FC23" s="242">
        <f t="shared" si="26"/>
        <v>0.37183333141565833</v>
      </c>
      <c r="FD23" s="242">
        <f t="shared" si="26"/>
        <v>0.3383333316968013</v>
      </c>
      <c r="FE23" s="242">
        <f t="shared" si="26"/>
        <v>0.35399999998119436</v>
      </c>
      <c r="FF23" s="242">
        <f t="shared" si="26"/>
        <v>0.22571428630308316</v>
      </c>
      <c r="FG23" s="242">
        <f t="shared" si="26"/>
        <v>0.14908333292178166</v>
      </c>
      <c r="FH23" s="242">
        <f t="shared" si="26"/>
        <v>0.50050000095762548</v>
      </c>
      <c r="FI23" s="242">
        <f t="shared" si="26"/>
        <v>0.67233333438838405</v>
      </c>
      <c r="FJ23" s="242">
        <f t="shared" si="26"/>
        <v>0.53266666665663898</v>
      </c>
      <c r="FK23" s="242">
        <f t="shared" si="26"/>
        <v>0.35183333376408366</v>
      </c>
      <c r="FL23" s="242">
        <f t="shared" si="26"/>
        <v>1.6842105263157894</v>
      </c>
      <c r="FM23" s="242">
        <f t="shared" si="26"/>
        <v>3.1</v>
      </c>
      <c r="FN23" s="242">
        <f t="shared" si="26"/>
        <v>2.95</v>
      </c>
      <c r="FO23" s="242">
        <f t="shared" ref="FO23" si="27">AVERAGE(FO3:FO22)</f>
        <v>0.37479999955691007</v>
      </c>
      <c r="FP23" s="242">
        <f t="shared" ref="FP23" si="28">AVERAGE(FP3:FP22)</f>
        <v>0.27616666635416476</v>
      </c>
      <c r="FQ23" s="242">
        <f t="shared" ref="FQ23" si="29">AVERAGE(FQ3:FQ22)</f>
        <v>0.4051666646721962</v>
      </c>
      <c r="FR23" s="242">
        <f t="shared" ref="FR23" si="30">AVERAGE(FR3:FR22)</f>
        <v>0.35566666503190003</v>
      </c>
      <c r="FS23" s="242">
        <f t="shared" ref="FS23" si="31">AVERAGE(FS3:FS22)</f>
        <v>0.37850000000681666</v>
      </c>
      <c r="FT23" s="242">
        <f t="shared" ref="FT23" si="32">AVERAGE(FT3:FT22)</f>
        <v>0.25357142921892117</v>
      </c>
      <c r="FU23" s="242">
        <f t="shared" ref="FU23" si="33">AVERAGE(FU3:FU22)</f>
        <v>0.16166666638923402</v>
      </c>
      <c r="FV23" s="242">
        <f t="shared" ref="FV23" si="34">AVERAGE(FV3:FV22)</f>
        <v>0.53166666780702287</v>
      </c>
      <c r="FW23" s="242">
        <f t="shared" ref="FW23" si="35">AVERAGE(FW3:FW22)</f>
        <v>0.75233333478093323</v>
      </c>
      <c r="FX23" s="242">
        <f t="shared" ref="FX23" si="36">AVERAGE(FX3:FX22)</f>
        <v>0.59650000006402182</v>
      </c>
      <c r="FY23" s="242">
        <f t="shared" ref="FY23:GG23" si="37">AVERAGE(FY3:FY22)</f>
        <v>0.35433333372506504</v>
      </c>
      <c r="FZ23" s="242">
        <f t="shared" si="37"/>
        <v>-2.4042056269000001</v>
      </c>
      <c r="GA23" s="242">
        <f t="shared" si="37"/>
        <v>4.5999999999999996</v>
      </c>
      <c r="GB23" s="242">
        <f t="shared" si="37"/>
        <v>9.35</v>
      </c>
      <c r="GC23" s="242">
        <f t="shared" si="37"/>
        <v>13.75</v>
      </c>
      <c r="GD23" s="242">
        <f t="shared" si="37"/>
        <v>-0.85</v>
      </c>
      <c r="GE23" s="242">
        <f t="shared" si="37"/>
        <v>4.2</v>
      </c>
      <c r="GF23" s="242">
        <f t="shared" si="37"/>
        <v>3.15</v>
      </c>
      <c r="GG23" s="242">
        <f t="shared" si="37"/>
        <v>34.200000000000003</v>
      </c>
    </row>
    <row r="24" spans="1:190" ht="16" thickBot="1" x14ac:dyDescent="0.25">
      <c r="I24">
        <v>6</v>
      </c>
      <c r="P24" t="s">
        <v>217</v>
      </c>
      <c r="CM24" t="s">
        <v>53</v>
      </c>
      <c r="EJ24" s="1" t="s">
        <v>53</v>
      </c>
      <c r="EK24" s="101"/>
      <c r="EL24" s="101"/>
      <c r="EM24" s="101"/>
      <c r="EN24" s="101"/>
      <c r="EO24" s="1"/>
      <c r="EP24">
        <v>3.9920974568844332</v>
      </c>
      <c r="EQ24">
        <v>4.7158746467872241</v>
      </c>
      <c r="ER24">
        <v>7.7992914657948935</v>
      </c>
      <c r="ES24">
        <v>1.7851728502481652</v>
      </c>
      <c r="ET24">
        <v>2.9486839169543524</v>
      </c>
      <c r="EU24">
        <v>4.8370826353343013</v>
      </c>
      <c r="EV24">
        <v>18.942016788082519</v>
      </c>
      <c r="FA24" s="243"/>
      <c r="FB24" s="243"/>
      <c r="FC24" s="243"/>
      <c r="FD24" s="243"/>
      <c r="FE24" s="243"/>
      <c r="FF24" s="243"/>
      <c r="FG24" s="243"/>
      <c r="FH24" s="243"/>
      <c r="FI24" s="243"/>
      <c r="FJ24" s="243"/>
      <c r="FK24" s="243"/>
    </row>
    <row r="25" spans="1:190" ht="16" thickBot="1" x14ac:dyDescent="0.25">
      <c r="I25">
        <v>8</v>
      </c>
      <c r="X25" t="s">
        <v>217</v>
      </c>
      <c r="AI25" t="s">
        <v>217</v>
      </c>
      <c r="AY25" s="144">
        <v>0</v>
      </c>
      <c r="AZ25" s="5">
        <v>0</v>
      </c>
      <c r="BK25">
        <v>-1.6873948219999999</v>
      </c>
      <c r="BL25">
        <v>0</v>
      </c>
      <c r="EJ25" s="32" t="s">
        <v>54</v>
      </c>
      <c r="EK25" s="83"/>
      <c r="EL25" s="83"/>
      <c r="EM25" s="83"/>
      <c r="EN25" s="83"/>
      <c r="EO25" s="32"/>
      <c r="EP25">
        <v>0.89266012863976285</v>
      </c>
      <c r="EQ25">
        <v>1.0545016283584043</v>
      </c>
      <c r="ER25">
        <v>1.7439745893851357</v>
      </c>
      <c r="ES25">
        <v>0.39917678447419497</v>
      </c>
      <c r="ET25">
        <v>0.65934576824702762</v>
      </c>
      <c r="EU25">
        <v>1.0816045585391323</v>
      </c>
      <c r="EV25">
        <v>4.235563716909474</v>
      </c>
      <c r="FA25" s="248"/>
      <c r="FB25" s="248"/>
      <c r="FC25" s="248"/>
      <c r="FD25" s="248"/>
      <c r="FE25" s="248"/>
      <c r="FF25" s="248"/>
      <c r="FG25" s="248"/>
      <c r="FH25" s="248"/>
      <c r="FI25" s="248"/>
      <c r="FJ25" s="248"/>
      <c r="FK25" s="248"/>
      <c r="FL25" s="5">
        <v>0</v>
      </c>
      <c r="FM25" s="258">
        <v>0</v>
      </c>
    </row>
    <row r="26" spans="1:190" x14ac:dyDescent="0.2">
      <c r="I26">
        <v>7</v>
      </c>
      <c r="AY26" s="144">
        <v>0.93</v>
      </c>
      <c r="AZ26" s="5">
        <v>2</v>
      </c>
      <c r="BK26">
        <v>-3.3545457519999999</v>
      </c>
      <c r="BL26">
        <v>0.34</v>
      </c>
      <c r="FL26" s="5">
        <v>2</v>
      </c>
      <c r="FM26" s="267">
        <v>0.34</v>
      </c>
      <c r="FQ26" t="s">
        <v>217</v>
      </c>
      <c r="GD26" t="s">
        <v>217</v>
      </c>
    </row>
    <row r="27" spans="1:190" x14ac:dyDescent="0.2">
      <c r="I27">
        <v>7</v>
      </c>
      <c r="AY27" s="144">
        <v>0.05</v>
      </c>
      <c r="AZ27" s="5">
        <v>5</v>
      </c>
      <c r="BK27">
        <v>-1.120985176</v>
      </c>
      <c r="BL27">
        <v>0.20333333333333334</v>
      </c>
      <c r="FL27" s="5">
        <v>5</v>
      </c>
      <c r="FM27" s="267">
        <v>0.20333333333333334</v>
      </c>
    </row>
    <row r="28" spans="1:190" x14ac:dyDescent="0.2">
      <c r="I28">
        <v>11</v>
      </c>
      <c r="AY28" s="144">
        <v>7.0000000298000006E-2</v>
      </c>
      <c r="AZ28" s="5">
        <v>-4</v>
      </c>
      <c r="BK28">
        <v>-2.6255046279999998</v>
      </c>
      <c r="BL28">
        <v>0.5499999920526667</v>
      </c>
      <c r="FL28" s="5">
        <v>-4</v>
      </c>
      <c r="FM28" s="267">
        <v>0.5499999920526667</v>
      </c>
    </row>
    <row r="29" spans="1:190" x14ac:dyDescent="0.2">
      <c r="I29">
        <v>6</v>
      </c>
      <c r="AY29" s="144">
        <v>0.23000000417200001</v>
      </c>
      <c r="AZ29" s="5">
        <v>-1</v>
      </c>
      <c r="BK29">
        <v>-2.3296673989999999</v>
      </c>
      <c r="BL29">
        <v>0.02</v>
      </c>
      <c r="FH29" t="s">
        <v>217</v>
      </c>
      <c r="FL29" s="5">
        <v>-1</v>
      </c>
      <c r="FM29" s="267">
        <v>0.29666666686533333</v>
      </c>
    </row>
    <row r="30" spans="1:190" x14ac:dyDescent="0.2">
      <c r="I30">
        <v>7</v>
      </c>
      <c r="AY30" s="144">
        <v>0.08</v>
      </c>
      <c r="AZ30" s="5">
        <v>-1</v>
      </c>
      <c r="BK30">
        <v>-3.0254243939999999</v>
      </c>
      <c r="BL30">
        <v>0.54000000166666673</v>
      </c>
      <c r="EL30" t="s">
        <v>217</v>
      </c>
      <c r="FA30" t="s">
        <v>217</v>
      </c>
      <c r="FL30" s="5">
        <v>-1</v>
      </c>
      <c r="FM30" s="267">
        <v>0.02</v>
      </c>
    </row>
    <row r="31" spans="1:190" x14ac:dyDescent="0.2">
      <c r="I31">
        <v>4</v>
      </c>
      <c r="AY31" s="144">
        <v>0.8</v>
      </c>
      <c r="AZ31" s="5">
        <v>3</v>
      </c>
      <c r="BK31">
        <v>-1.202560635</v>
      </c>
      <c r="BL31">
        <v>0.15666666666666665</v>
      </c>
      <c r="FL31" s="5">
        <v>3</v>
      </c>
      <c r="FM31" s="267">
        <v>0.53333333333333333</v>
      </c>
    </row>
    <row r="32" spans="1:190" x14ac:dyDescent="0.2">
      <c r="I32">
        <v>7</v>
      </c>
      <c r="AY32" s="144">
        <v>0.25</v>
      </c>
      <c r="AZ32" s="5">
        <v>0</v>
      </c>
      <c r="BB32" t="s">
        <v>217</v>
      </c>
      <c r="BK32">
        <v>-0.80597653049999995</v>
      </c>
      <c r="BL32">
        <v>4.3333333666666668E-2</v>
      </c>
      <c r="FL32" s="5">
        <v>0</v>
      </c>
      <c r="FM32" s="267">
        <v>0.54000000166666673</v>
      </c>
    </row>
    <row r="33" spans="9:169" x14ac:dyDescent="0.2">
      <c r="I33">
        <v>2</v>
      </c>
      <c r="AY33" s="144">
        <v>0</v>
      </c>
      <c r="AZ33" s="5">
        <v>2</v>
      </c>
      <c r="BK33">
        <v>-1.464961551</v>
      </c>
      <c r="BL33">
        <v>0</v>
      </c>
      <c r="FL33" s="5">
        <v>2</v>
      </c>
      <c r="FM33" s="267">
        <v>0.15666666666666665</v>
      </c>
    </row>
    <row r="34" spans="9:169" x14ac:dyDescent="0.2">
      <c r="I34">
        <v>9</v>
      </c>
      <c r="AY34" s="144">
        <v>0.10000000149</v>
      </c>
      <c r="AZ34" s="5">
        <v>2</v>
      </c>
      <c r="BK34">
        <v>-2.4568252099999999</v>
      </c>
      <c r="BL34">
        <v>0.26000000039733334</v>
      </c>
      <c r="FL34" s="5">
        <v>2</v>
      </c>
      <c r="FM34" s="267">
        <v>4.3333333666666668E-2</v>
      </c>
    </row>
    <row r="35" spans="9:169" x14ac:dyDescent="0.2">
      <c r="I35">
        <v>10</v>
      </c>
      <c r="AY35" s="144">
        <v>0.11</v>
      </c>
      <c r="AZ35" s="5">
        <v>0</v>
      </c>
      <c r="BK35">
        <v>-1.0380202569999999</v>
      </c>
      <c r="BL35">
        <v>0.15666666600000001</v>
      </c>
      <c r="FL35" s="5">
        <v>0</v>
      </c>
      <c r="FM35" s="267">
        <v>0</v>
      </c>
    </row>
    <row r="36" spans="9:169" x14ac:dyDescent="0.2">
      <c r="I36">
        <v>5</v>
      </c>
      <c r="AY36" s="144">
        <v>0</v>
      </c>
      <c r="AZ36" s="5">
        <v>2</v>
      </c>
      <c r="BK36">
        <v>-2.7068470590000002</v>
      </c>
      <c r="BL36">
        <v>0.65999999133333331</v>
      </c>
      <c r="FL36" s="5">
        <v>2</v>
      </c>
      <c r="FM36" s="267">
        <v>0.26000000039733334</v>
      </c>
    </row>
    <row r="37" spans="9:169" x14ac:dyDescent="0.2">
      <c r="I37">
        <v>6</v>
      </c>
      <c r="AY37" s="144">
        <v>1</v>
      </c>
      <c r="AZ37" s="5">
        <v>1</v>
      </c>
      <c r="BK37">
        <v>-4.1567060470000001</v>
      </c>
      <c r="BL37">
        <v>0.51000001033333331</v>
      </c>
      <c r="FL37" s="5">
        <v>1</v>
      </c>
      <c r="FM37" s="267">
        <v>0.44000001003329997</v>
      </c>
    </row>
    <row r="38" spans="9:169" x14ac:dyDescent="0.2">
      <c r="I38">
        <v>8</v>
      </c>
      <c r="AY38" s="144">
        <v>0.119999997318</v>
      </c>
      <c r="AZ38" s="5">
        <v>4</v>
      </c>
      <c r="BK38">
        <v>-4.8432809280000004</v>
      </c>
      <c r="BL38">
        <v>0.92666666666666664</v>
      </c>
      <c r="FL38" s="5">
        <v>4</v>
      </c>
      <c r="FM38" s="267">
        <v>0.15666666600000001</v>
      </c>
    </row>
    <row r="39" spans="9:169" x14ac:dyDescent="0.2">
      <c r="I39">
        <v>10</v>
      </c>
      <c r="AY39" s="144">
        <v>0.83999997377400004</v>
      </c>
      <c r="AZ39" s="5">
        <v>0</v>
      </c>
      <c r="BK39">
        <v>-3.2443840150000001</v>
      </c>
      <c r="BL39">
        <v>0.68000000715266662</v>
      </c>
      <c r="FL39" s="5">
        <v>0</v>
      </c>
      <c r="FM39" s="267">
        <v>0.36999999499999997</v>
      </c>
    </row>
    <row r="40" spans="9:169" x14ac:dyDescent="0.2">
      <c r="I40">
        <v>8</v>
      </c>
      <c r="AY40" s="144">
        <v>1</v>
      </c>
      <c r="AZ40" s="5">
        <v>4</v>
      </c>
      <c r="FL40" s="5">
        <v>4</v>
      </c>
      <c r="FM40" s="267">
        <v>0.65999999133333331</v>
      </c>
    </row>
    <row r="41" spans="9:169" x14ac:dyDescent="0.2">
      <c r="I41">
        <v>11</v>
      </c>
      <c r="AY41" s="144">
        <v>0.83999997377400004</v>
      </c>
      <c r="AZ41" s="5">
        <v>7</v>
      </c>
      <c r="FL41" s="5">
        <v>7</v>
      </c>
      <c r="FM41" s="267">
        <v>0.51000001033333331</v>
      </c>
    </row>
    <row r="42" spans="9:169" x14ac:dyDescent="0.2">
      <c r="I42">
        <v>4</v>
      </c>
      <c r="AY42" s="144">
        <v>0.94</v>
      </c>
      <c r="AZ42" s="5">
        <v>3</v>
      </c>
      <c r="FL42" s="5">
        <v>3</v>
      </c>
      <c r="FM42" s="267">
        <v>0.92666666666666664</v>
      </c>
    </row>
    <row r="43" spans="9:169" ht="16" thickBot="1" x14ac:dyDescent="0.25">
      <c r="I43">
        <v>8</v>
      </c>
      <c r="AY43" s="144">
        <v>0.58999997377400004</v>
      </c>
      <c r="AZ43" s="83">
        <v>3</v>
      </c>
      <c r="FL43" s="5">
        <v>3</v>
      </c>
      <c r="FM43" s="277">
        <v>0.68000000715266662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enableFormatConditionsCalculation="0"/>
  <dimension ref="A1:MW67"/>
  <sheetViews>
    <sheetView zoomScale="50" zoomScaleNormal="50" zoomScalePageLayoutView="50" workbookViewId="0">
      <pane xSplit="1" topLeftCell="NV1" activePane="topRight" state="frozen"/>
      <selection pane="topRight" activeCell="AX3" sqref="AX3:AX22"/>
    </sheetView>
  </sheetViews>
  <sheetFormatPr baseColWidth="10" defaultColWidth="8.83203125" defaultRowHeight="15" x14ac:dyDescent="0.2"/>
  <cols>
    <col min="116" max="116" width="9.1640625" customWidth="1"/>
    <col min="212" max="212" width="11.6640625" customWidth="1"/>
    <col min="216" max="216" width="14.5" customWidth="1"/>
    <col min="282" max="282" width="8.6640625" customWidth="1"/>
  </cols>
  <sheetData>
    <row r="1" spans="1:361" s="330" customFormat="1" ht="16.5" customHeight="1" thickBot="1" x14ac:dyDescent="0.3">
      <c r="U1" s="330" t="s">
        <v>352</v>
      </c>
      <c r="V1" s="330" t="s">
        <v>352</v>
      </c>
      <c r="W1" s="330" t="s">
        <v>352</v>
      </c>
      <c r="X1" s="330" t="s">
        <v>352</v>
      </c>
      <c r="Y1" s="330" t="s">
        <v>352</v>
      </c>
      <c r="AB1" s="381" t="s">
        <v>351</v>
      </c>
      <c r="AC1" s="381" t="s">
        <v>351</v>
      </c>
      <c r="AD1" s="381" t="s">
        <v>351</v>
      </c>
      <c r="AE1" s="381" t="s">
        <v>351</v>
      </c>
      <c r="AF1" s="382" t="s">
        <v>351</v>
      </c>
      <c r="AG1" s="382" t="s">
        <v>351</v>
      </c>
      <c r="AH1" s="382" t="s">
        <v>351</v>
      </c>
      <c r="AI1" s="382" t="s">
        <v>351</v>
      </c>
      <c r="AJ1" s="330" t="s">
        <v>351</v>
      </c>
      <c r="AK1" s="330" t="s">
        <v>351</v>
      </c>
      <c r="AL1" s="330" t="s">
        <v>351</v>
      </c>
      <c r="AM1" s="330" t="s">
        <v>351</v>
      </c>
      <c r="AN1" s="381" t="s">
        <v>351</v>
      </c>
      <c r="AO1" s="381" t="s">
        <v>351</v>
      </c>
      <c r="AP1" s="381" t="s">
        <v>351</v>
      </c>
      <c r="AQ1" s="381" t="s">
        <v>351</v>
      </c>
      <c r="AR1" s="330" t="s">
        <v>351</v>
      </c>
      <c r="AS1" s="330" t="s">
        <v>351</v>
      </c>
      <c r="AT1" s="330" t="s">
        <v>351</v>
      </c>
      <c r="AU1" s="330" t="s">
        <v>351</v>
      </c>
      <c r="AV1" s="382" t="s">
        <v>351</v>
      </c>
      <c r="AW1" s="382" t="s">
        <v>351</v>
      </c>
      <c r="AX1" s="382" t="s">
        <v>351</v>
      </c>
      <c r="AY1" s="382" t="s">
        <v>351</v>
      </c>
      <c r="BH1" s="330" t="s">
        <v>453</v>
      </c>
      <c r="BN1" s="330" t="s">
        <v>465</v>
      </c>
      <c r="BW1" s="381" t="s">
        <v>55</v>
      </c>
      <c r="BX1" s="330" t="s">
        <v>56</v>
      </c>
      <c r="BY1" s="382" t="s">
        <v>347</v>
      </c>
      <c r="BZ1" s="329" t="s">
        <v>583</v>
      </c>
      <c r="CL1" s="383" t="s">
        <v>501</v>
      </c>
      <c r="CM1" s="384" t="s">
        <v>618</v>
      </c>
      <c r="CN1" s="385" t="s">
        <v>503</v>
      </c>
      <c r="CO1" s="385"/>
      <c r="CP1" s="385"/>
      <c r="CQ1" s="385"/>
      <c r="CR1" s="385"/>
      <c r="CS1" s="385"/>
      <c r="CT1" s="385"/>
      <c r="CZ1" s="386"/>
      <c r="DA1" s="387" t="s">
        <v>504</v>
      </c>
      <c r="DB1" s="388"/>
      <c r="DC1" s="388"/>
      <c r="DD1" s="389"/>
      <c r="DE1" s="390" t="s">
        <v>505</v>
      </c>
      <c r="DF1" s="391"/>
      <c r="DG1" s="391"/>
      <c r="DH1" s="392"/>
      <c r="DI1" s="393" t="s">
        <v>506</v>
      </c>
      <c r="DJ1" s="394"/>
      <c r="DK1" s="394"/>
      <c r="DL1" s="395"/>
      <c r="DM1" s="396"/>
      <c r="DN1" s="387" t="s">
        <v>507</v>
      </c>
      <c r="DO1" s="388"/>
      <c r="DP1" s="388"/>
      <c r="DQ1" s="389"/>
      <c r="DR1" s="390" t="s">
        <v>508</v>
      </c>
      <c r="DS1" s="391"/>
      <c r="DT1" s="391"/>
      <c r="DU1" s="392"/>
      <c r="DV1" s="397" t="s">
        <v>509</v>
      </c>
      <c r="DW1" s="397"/>
      <c r="DX1" s="397"/>
      <c r="DY1" s="397"/>
      <c r="DZ1" s="398"/>
      <c r="EA1" s="399" t="s">
        <v>510</v>
      </c>
      <c r="EB1" s="400"/>
      <c r="EC1" s="400"/>
      <c r="ED1" s="401"/>
      <c r="EE1" s="402" t="s">
        <v>511</v>
      </c>
      <c r="EF1" s="403"/>
      <c r="EG1" s="403"/>
      <c r="EH1" s="404"/>
      <c r="EI1" s="405" t="s">
        <v>512</v>
      </c>
      <c r="EJ1" s="397"/>
      <c r="EK1" s="397"/>
      <c r="EL1" s="397"/>
      <c r="EN1" s="382"/>
      <c r="EO1" s="406"/>
      <c r="EP1" s="382"/>
      <c r="EQ1" s="382"/>
      <c r="ER1" s="382"/>
      <c r="EU1" s="382" t="s">
        <v>544</v>
      </c>
      <c r="EV1" s="382"/>
      <c r="EW1" s="382"/>
      <c r="EX1" s="382"/>
      <c r="EY1" s="382"/>
      <c r="EZ1" s="382"/>
      <c r="FA1" s="382"/>
      <c r="FB1" s="330" t="s">
        <v>248</v>
      </c>
      <c r="FC1" s="330" t="s">
        <v>251</v>
      </c>
      <c r="FD1" s="330" t="s">
        <v>252</v>
      </c>
      <c r="FE1" s="407" t="s">
        <v>608</v>
      </c>
      <c r="FF1" s="408" t="s">
        <v>347</v>
      </c>
      <c r="FG1" s="308"/>
      <c r="FH1" s="308"/>
      <c r="FI1" s="308"/>
      <c r="FJ1" s="308"/>
      <c r="FK1" s="308"/>
      <c r="FL1" s="308"/>
      <c r="FM1" s="308"/>
      <c r="FN1" s="308"/>
      <c r="FO1" s="308"/>
      <c r="FP1" s="308"/>
      <c r="FT1" s="330" t="s">
        <v>583</v>
      </c>
      <c r="GF1" s="382" t="s">
        <v>617</v>
      </c>
      <c r="GG1" s="382"/>
      <c r="GH1" s="382"/>
      <c r="GI1" s="382"/>
      <c r="GJ1" s="382"/>
      <c r="GK1" s="382"/>
      <c r="GL1" s="382"/>
      <c r="GT1" s="331"/>
      <c r="GW1" s="409" t="s">
        <v>666</v>
      </c>
      <c r="HA1" s="409"/>
      <c r="HB1" s="330" t="s">
        <v>667</v>
      </c>
      <c r="HE1" s="409"/>
      <c r="HF1" s="330" t="s">
        <v>668</v>
      </c>
      <c r="HI1" s="409"/>
      <c r="HJ1" s="330" t="s">
        <v>669</v>
      </c>
      <c r="HK1" s="332"/>
      <c r="HM1" s="410"/>
      <c r="HN1" s="409" t="s">
        <v>670</v>
      </c>
      <c r="HR1" s="330" t="s">
        <v>519</v>
      </c>
      <c r="HV1" s="330" t="s">
        <v>518</v>
      </c>
      <c r="HZ1" s="330" t="s">
        <v>653</v>
      </c>
      <c r="ID1" s="330" t="s">
        <v>520</v>
      </c>
      <c r="IH1" s="330" t="s">
        <v>310</v>
      </c>
      <c r="IL1" s="330" t="s">
        <v>654</v>
      </c>
      <c r="IP1" s="330" t="s">
        <v>655</v>
      </c>
      <c r="IT1" s="330" t="s">
        <v>656</v>
      </c>
      <c r="IX1" s="330" t="s">
        <v>671</v>
      </c>
      <c r="JB1" s="330" t="s">
        <v>672</v>
      </c>
      <c r="JC1" s="330" t="s">
        <v>585</v>
      </c>
      <c r="KE1" s="100" t="s">
        <v>613</v>
      </c>
      <c r="KF1" s="411" t="s">
        <v>609</v>
      </c>
      <c r="KG1" s="411"/>
      <c r="KI1" s="411" t="s">
        <v>610</v>
      </c>
      <c r="KJ1" s="411"/>
      <c r="KL1" s="382" t="s">
        <v>347</v>
      </c>
      <c r="KN1" s="412"/>
      <c r="KQ1" s="407" t="s">
        <v>608</v>
      </c>
      <c r="KR1" s="408" t="s">
        <v>347</v>
      </c>
      <c r="KS1" s="308"/>
      <c r="KT1" s="308"/>
      <c r="KU1" s="308"/>
      <c r="KV1" s="308"/>
      <c r="KW1" s="308"/>
      <c r="KX1" s="308"/>
      <c r="KY1" s="308"/>
      <c r="KZ1" s="308"/>
      <c r="LA1" s="308"/>
      <c r="LB1" s="308"/>
      <c r="LK1" s="370" t="s">
        <v>545</v>
      </c>
      <c r="LL1" s="371" t="s">
        <v>643</v>
      </c>
      <c r="LM1" s="372"/>
      <c r="LN1" s="372"/>
      <c r="LO1" s="372"/>
      <c r="LQ1" s="412"/>
      <c r="LR1" s="382" t="s">
        <v>347</v>
      </c>
      <c r="LS1" s="332"/>
      <c r="LT1" s="368" t="s">
        <v>644</v>
      </c>
      <c r="LU1" s="368"/>
      <c r="LV1" s="368"/>
      <c r="LW1" s="368"/>
      <c r="LX1" s="412"/>
      <c r="LY1" s="382" t="s">
        <v>347</v>
      </c>
      <c r="LZ1" s="332"/>
      <c r="MA1" s="372" t="s">
        <v>645</v>
      </c>
      <c r="MB1" s="372"/>
      <c r="MC1" s="372"/>
      <c r="MD1" s="372"/>
      <c r="ME1" s="412"/>
      <c r="MF1" s="382" t="s">
        <v>347</v>
      </c>
      <c r="MG1" s="332"/>
      <c r="MI1" s="369" t="s">
        <v>646</v>
      </c>
      <c r="MJ1" s="369"/>
      <c r="MK1" s="369"/>
      <c r="ML1" s="412"/>
      <c r="MM1" s="382" t="s">
        <v>347</v>
      </c>
      <c r="MO1" s="539" t="s">
        <v>675</v>
      </c>
      <c r="MP1" s="539"/>
      <c r="MQ1" s="539"/>
      <c r="MR1" s="539"/>
      <c r="MS1" s="540"/>
      <c r="MT1" s="541" t="s">
        <v>676</v>
      </c>
      <c r="MU1" s="541"/>
      <c r="MV1" s="541"/>
      <c r="MW1" s="541"/>
    </row>
    <row r="2" spans="1:361" s="18" customFormat="1" ht="20" thickBot="1" x14ac:dyDescent="0.3">
      <c r="A2" s="94" t="s">
        <v>276</v>
      </c>
      <c r="B2" s="95" t="s">
        <v>268</v>
      </c>
      <c r="C2" s="95" t="s">
        <v>269</v>
      </c>
      <c r="D2" s="96" t="s">
        <v>247</v>
      </c>
      <c r="E2" s="95" t="s">
        <v>248</v>
      </c>
      <c r="F2" s="95" t="s">
        <v>250</v>
      </c>
      <c r="G2" s="18" t="s">
        <v>251</v>
      </c>
      <c r="H2" s="67" t="s">
        <v>252</v>
      </c>
      <c r="I2" s="95" t="s">
        <v>253</v>
      </c>
      <c r="J2" s="95" t="s">
        <v>256</v>
      </c>
      <c r="K2" s="95" t="s">
        <v>255</v>
      </c>
      <c r="L2" s="95" t="s">
        <v>259</v>
      </c>
      <c r="M2" s="95" t="s">
        <v>258</v>
      </c>
      <c r="N2" s="95" t="s">
        <v>257</v>
      </c>
      <c r="O2" s="95" t="s">
        <v>263</v>
      </c>
      <c r="P2" s="95" t="s">
        <v>264</v>
      </c>
      <c r="Q2" s="95" t="s">
        <v>265</v>
      </c>
      <c r="R2" s="95" t="s">
        <v>266</v>
      </c>
      <c r="S2" s="95" t="s">
        <v>249</v>
      </c>
      <c r="T2" s="95" t="s">
        <v>350</v>
      </c>
      <c r="U2" s="95" t="s">
        <v>270</v>
      </c>
      <c r="V2" s="95" t="s">
        <v>271</v>
      </c>
      <c r="W2" s="95" t="s">
        <v>272</v>
      </c>
      <c r="X2" s="95" t="s">
        <v>273</v>
      </c>
      <c r="Y2" s="95" t="s">
        <v>274</v>
      </c>
      <c r="Z2" s="97" t="s">
        <v>311</v>
      </c>
      <c r="AA2" s="98" t="s">
        <v>313</v>
      </c>
      <c r="AB2" s="95" t="s">
        <v>337</v>
      </c>
      <c r="AC2" s="95" t="s">
        <v>338</v>
      </c>
      <c r="AD2" s="95" t="s">
        <v>339</v>
      </c>
      <c r="AE2" s="95" t="s">
        <v>52</v>
      </c>
      <c r="AF2" s="152" t="s">
        <v>348</v>
      </c>
      <c r="AG2" s="152" t="s">
        <v>338</v>
      </c>
      <c r="AH2" s="152" t="s">
        <v>339</v>
      </c>
      <c r="AI2" s="152" t="s">
        <v>52</v>
      </c>
      <c r="AJ2" s="125" t="s">
        <v>349</v>
      </c>
      <c r="AK2" s="95" t="s">
        <v>338</v>
      </c>
      <c r="AL2" s="95" t="s">
        <v>339</v>
      </c>
      <c r="AM2" s="126" t="s">
        <v>52</v>
      </c>
      <c r="AN2" s="125" t="s">
        <v>55</v>
      </c>
      <c r="AO2" s="95"/>
      <c r="AP2" s="95"/>
      <c r="AQ2" s="126"/>
      <c r="AR2" s="125" t="s">
        <v>56</v>
      </c>
      <c r="AS2" s="95"/>
      <c r="AT2" s="95"/>
      <c r="AU2" s="126"/>
      <c r="AV2" s="183" t="s">
        <v>347</v>
      </c>
      <c r="AW2" s="152"/>
      <c r="AX2" s="152"/>
      <c r="AY2" s="184"/>
      <c r="AZ2" s="153" t="s">
        <v>420</v>
      </c>
      <c r="BA2" s="152" t="s">
        <v>421</v>
      </c>
      <c r="BB2" s="95" t="s">
        <v>424</v>
      </c>
      <c r="BC2" s="152" t="s">
        <v>423</v>
      </c>
      <c r="BD2" s="136" t="s">
        <v>26</v>
      </c>
      <c r="BE2" s="150" t="s">
        <v>29</v>
      </c>
      <c r="BF2" s="18" t="s">
        <v>425</v>
      </c>
      <c r="BG2" s="18" t="s">
        <v>426</v>
      </c>
      <c r="BH2" s="217" t="s">
        <v>454</v>
      </c>
      <c r="BI2" s="218" t="s">
        <v>455</v>
      </c>
      <c r="BJ2" s="219" t="s">
        <v>456</v>
      </c>
      <c r="BL2" s="18" t="s">
        <v>459</v>
      </c>
      <c r="BM2" s="18" t="s">
        <v>460</v>
      </c>
      <c r="BN2" s="18" t="s">
        <v>461</v>
      </c>
      <c r="BO2" s="18" t="s">
        <v>462</v>
      </c>
      <c r="BP2" s="18" t="s">
        <v>463</v>
      </c>
      <c r="BQ2" s="138"/>
      <c r="BR2" s="138" t="s">
        <v>496</v>
      </c>
      <c r="BS2" s="138"/>
      <c r="BT2" s="138" t="s">
        <v>497</v>
      </c>
      <c r="BU2" s="138" t="s">
        <v>498</v>
      </c>
      <c r="BV2" s="18" t="s">
        <v>540</v>
      </c>
      <c r="BW2" s="18" t="s">
        <v>36</v>
      </c>
      <c r="BX2" s="18" t="s">
        <v>36</v>
      </c>
      <c r="BZ2" s="3" t="s">
        <v>406</v>
      </c>
      <c r="CA2" s="18" t="s">
        <v>407</v>
      </c>
      <c r="CB2" s="18" t="s">
        <v>408</v>
      </c>
      <c r="CC2" s="18" t="s">
        <v>409</v>
      </c>
      <c r="CD2" s="18" t="s">
        <v>410</v>
      </c>
      <c r="CE2" s="18" t="s">
        <v>411</v>
      </c>
      <c r="CF2" s="18" t="s">
        <v>412</v>
      </c>
      <c r="CG2" s="18" t="s">
        <v>413</v>
      </c>
      <c r="CH2" s="18" t="s">
        <v>414</v>
      </c>
      <c r="CI2" s="18" t="s">
        <v>415</v>
      </c>
      <c r="CJ2" s="21" t="s">
        <v>416</v>
      </c>
      <c r="CK2" s="290"/>
      <c r="CL2" s="290" t="s">
        <v>517</v>
      </c>
      <c r="CM2" s="290" t="s">
        <v>457</v>
      </c>
      <c r="CN2" s="290" t="s">
        <v>518</v>
      </c>
      <c r="CO2" s="290" t="s">
        <v>519</v>
      </c>
      <c r="CP2" s="290" t="s">
        <v>520</v>
      </c>
      <c r="CQ2" s="290" t="s">
        <v>521</v>
      </c>
      <c r="CR2" s="290" t="s">
        <v>522</v>
      </c>
      <c r="CS2" s="290" t="s">
        <v>523</v>
      </c>
      <c r="CT2" s="290" t="s">
        <v>310</v>
      </c>
      <c r="CU2" s="378" t="s">
        <v>653</v>
      </c>
      <c r="CV2" s="378" t="s">
        <v>656</v>
      </c>
      <c r="CW2" s="378" t="s">
        <v>657</v>
      </c>
      <c r="CX2" s="378" t="s">
        <v>658</v>
      </c>
      <c r="CY2" s="378" t="s">
        <v>655</v>
      </c>
      <c r="CZ2" s="290"/>
      <c r="DA2" s="351" t="s">
        <v>513</v>
      </c>
      <c r="DB2" s="287" t="s">
        <v>514</v>
      </c>
      <c r="DC2" s="288" t="s">
        <v>515</v>
      </c>
      <c r="DD2" s="353" t="s">
        <v>516</v>
      </c>
      <c r="DE2" s="351" t="s">
        <v>513</v>
      </c>
      <c r="DF2" s="287" t="s">
        <v>514</v>
      </c>
      <c r="DG2" s="288" t="s">
        <v>515</v>
      </c>
      <c r="DH2" s="352" t="s">
        <v>516</v>
      </c>
      <c r="DI2" s="351" t="s">
        <v>513</v>
      </c>
      <c r="DJ2" s="287" t="s">
        <v>514</v>
      </c>
      <c r="DK2" s="288" t="s">
        <v>515</v>
      </c>
      <c r="DL2" s="352" t="s">
        <v>516</v>
      </c>
      <c r="DM2" s="291"/>
      <c r="DN2" s="351" t="s">
        <v>513</v>
      </c>
      <c r="DO2" s="287" t="s">
        <v>514</v>
      </c>
      <c r="DP2" s="287" t="s">
        <v>515</v>
      </c>
      <c r="DQ2" s="300" t="s">
        <v>516</v>
      </c>
      <c r="DR2" s="351" t="s">
        <v>513</v>
      </c>
      <c r="DS2" s="287" t="s">
        <v>514</v>
      </c>
      <c r="DT2" s="287" t="s">
        <v>515</v>
      </c>
      <c r="DU2" s="301" t="s">
        <v>516</v>
      </c>
      <c r="DV2" s="287" t="s">
        <v>513</v>
      </c>
      <c r="DW2" s="287" t="s">
        <v>514</v>
      </c>
      <c r="DX2" s="288" t="s">
        <v>515</v>
      </c>
      <c r="DY2" s="299" t="s">
        <v>516</v>
      </c>
      <c r="DZ2" s="291"/>
      <c r="EA2" s="287" t="s">
        <v>513</v>
      </c>
      <c r="EB2" s="287" t="s">
        <v>514</v>
      </c>
      <c r="EC2" s="287" t="s">
        <v>515</v>
      </c>
      <c r="ED2" s="300" t="s">
        <v>516</v>
      </c>
      <c r="EE2" s="287" t="s">
        <v>513</v>
      </c>
      <c r="EF2" s="287" t="s">
        <v>514</v>
      </c>
      <c r="EG2" s="287" t="s">
        <v>515</v>
      </c>
      <c r="EH2" s="301" t="s">
        <v>516</v>
      </c>
      <c r="EI2" s="287" t="s">
        <v>513</v>
      </c>
      <c r="EJ2" s="287" t="s">
        <v>514</v>
      </c>
      <c r="EK2" s="287" t="s">
        <v>515</v>
      </c>
      <c r="EL2" s="301" t="s">
        <v>516</v>
      </c>
      <c r="EM2" s="291"/>
      <c r="EN2" s="333" t="s">
        <v>541</v>
      </c>
      <c r="EO2" s="313"/>
      <c r="EP2" s="334" t="s">
        <v>542</v>
      </c>
      <c r="EQ2" s="313"/>
      <c r="ER2" s="313" t="s">
        <v>543</v>
      </c>
      <c r="ES2" s="18" t="s">
        <v>241</v>
      </c>
      <c r="ET2" s="18" t="s">
        <v>242</v>
      </c>
      <c r="EU2" s="18" t="s">
        <v>243</v>
      </c>
      <c r="EV2" s="18" t="s">
        <v>244</v>
      </c>
      <c r="EW2" s="18" t="s">
        <v>245</v>
      </c>
      <c r="EX2" s="18" t="s">
        <v>246</v>
      </c>
      <c r="EY2" s="18" t="s">
        <v>216</v>
      </c>
      <c r="EZ2" s="161" t="s">
        <v>457</v>
      </c>
      <c r="FA2" s="21" t="s">
        <v>458</v>
      </c>
      <c r="FB2" s="67" t="s">
        <v>545</v>
      </c>
      <c r="FC2" s="6" t="s">
        <v>546</v>
      </c>
      <c r="FD2" s="24" t="s">
        <v>546</v>
      </c>
      <c r="FE2" s="339" t="s">
        <v>313</v>
      </c>
      <c r="FF2" s="146" t="s">
        <v>406</v>
      </c>
      <c r="FG2" s="71" t="s">
        <v>407</v>
      </c>
      <c r="FH2" s="142" t="s">
        <v>408</v>
      </c>
      <c r="FI2" s="147" t="s">
        <v>409</v>
      </c>
      <c r="FJ2" s="136" t="s">
        <v>410</v>
      </c>
      <c r="FK2" s="135" t="s">
        <v>411</v>
      </c>
      <c r="FL2" s="148" t="s">
        <v>412</v>
      </c>
      <c r="FM2" s="149" t="s">
        <v>413</v>
      </c>
      <c r="FN2" s="150" t="s">
        <v>414</v>
      </c>
      <c r="FO2" s="141" t="s">
        <v>415</v>
      </c>
      <c r="FP2" s="143" t="s">
        <v>416</v>
      </c>
      <c r="FQ2" s="95" t="s">
        <v>265</v>
      </c>
      <c r="FR2" s="95" t="s">
        <v>270</v>
      </c>
      <c r="FS2" s="95" t="s">
        <v>274</v>
      </c>
      <c r="FT2" s="146" t="s">
        <v>547</v>
      </c>
      <c r="FU2" s="71" t="s">
        <v>548</v>
      </c>
      <c r="FV2" s="142" t="s">
        <v>549</v>
      </c>
      <c r="FW2" s="147" t="s">
        <v>550</v>
      </c>
      <c r="FX2" s="136" t="s">
        <v>551</v>
      </c>
      <c r="FY2" s="135" t="s">
        <v>552</v>
      </c>
      <c r="FZ2" s="148" t="s">
        <v>237</v>
      </c>
      <c r="GA2" s="149" t="s">
        <v>553</v>
      </c>
      <c r="GB2" s="150" t="s">
        <v>558</v>
      </c>
      <c r="GC2" s="141" t="s">
        <v>556</v>
      </c>
      <c r="GD2" s="143" t="s">
        <v>554</v>
      </c>
      <c r="GE2" s="161" t="s">
        <v>457</v>
      </c>
      <c r="GF2" s="77" t="s">
        <v>241</v>
      </c>
      <c r="GG2" s="77" t="s">
        <v>242</v>
      </c>
      <c r="GH2" s="77" t="s">
        <v>243</v>
      </c>
      <c r="GI2" s="77" t="s">
        <v>244</v>
      </c>
      <c r="GJ2" s="77" t="s">
        <v>245</v>
      </c>
      <c r="GK2" s="77" t="s">
        <v>246</v>
      </c>
      <c r="GL2" s="77" t="s">
        <v>216</v>
      </c>
      <c r="GN2" s="95" t="s">
        <v>256</v>
      </c>
      <c r="GO2" s="95" t="s">
        <v>255</v>
      </c>
      <c r="GP2" s="95" t="s">
        <v>259</v>
      </c>
      <c r="GQ2" s="95" t="s">
        <v>258</v>
      </c>
      <c r="GR2" s="95" t="s">
        <v>257</v>
      </c>
      <c r="GS2" s="150" t="s">
        <v>29</v>
      </c>
      <c r="GT2" s="326" t="s">
        <v>566</v>
      </c>
      <c r="GU2" s="324" t="s">
        <v>567</v>
      </c>
      <c r="GV2" s="325" t="s">
        <v>568</v>
      </c>
      <c r="GW2" s="167" t="s">
        <v>569</v>
      </c>
      <c r="GX2" s="77" t="s">
        <v>616</v>
      </c>
      <c r="GY2" s="21" t="s">
        <v>570</v>
      </c>
      <c r="GZ2" s="18" t="s">
        <v>571</v>
      </c>
      <c r="HA2" s="167" t="s">
        <v>572</v>
      </c>
      <c r="HB2" s="77" t="s">
        <v>573</v>
      </c>
      <c r="HC2" s="21" t="s">
        <v>574</v>
      </c>
      <c r="HD2" s="18" t="s">
        <v>575</v>
      </c>
      <c r="HE2" s="167" t="s">
        <v>576</v>
      </c>
      <c r="HF2" s="77" t="s">
        <v>573</v>
      </c>
      <c r="HG2" s="21" t="s">
        <v>577</v>
      </c>
      <c r="HH2" s="18" t="s">
        <v>578</v>
      </c>
      <c r="HI2" s="167" t="s">
        <v>579</v>
      </c>
      <c r="HJ2" s="77" t="s">
        <v>580</v>
      </c>
      <c r="HK2" s="204" t="s">
        <v>581</v>
      </c>
      <c r="HL2" s="24" t="s">
        <v>582</v>
      </c>
      <c r="HM2" s="167" t="s">
        <v>579</v>
      </c>
      <c r="HN2" s="154" t="s">
        <v>580</v>
      </c>
      <c r="HO2" s="154" t="s">
        <v>55</v>
      </c>
      <c r="HP2" s="154" t="s">
        <v>651</v>
      </c>
      <c r="HQ2" s="167" t="s">
        <v>579</v>
      </c>
      <c r="HR2" s="154" t="s">
        <v>652</v>
      </c>
      <c r="HS2" s="154" t="s">
        <v>55</v>
      </c>
      <c r="HT2" s="154" t="s">
        <v>651</v>
      </c>
      <c r="HU2" s="167" t="s">
        <v>579</v>
      </c>
      <c r="HV2" s="154" t="s">
        <v>652</v>
      </c>
      <c r="HW2" s="154" t="s">
        <v>55</v>
      </c>
      <c r="HX2" s="154" t="s">
        <v>651</v>
      </c>
      <c r="HY2" s="167" t="s">
        <v>579</v>
      </c>
      <c r="HZ2" s="154" t="s">
        <v>652</v>
      </c>
      <c r="IA2" s="154" t="s">
        <v>55</v>
      </c>
      <c r="IB2" s="154" t="s">
        <v>651</v>
      </c>
      <c r="IC2" s="167" t="s">
        <v>579</v>
      </c>
      <c r="ID2" s="154" t="s">
        <v>652</v>
      </c>
      <c r="IE2" s="154" t="s">
        <v>55</v>
      </c>
      <c r="IF2" s="154" t="s">
        <v>651</v>
      </c>
      <c r="IG2" s="167" t="s">
        <v>579</v>
      </c>
      <c r="IH2" s="154" t="s">
        <v>652</v>
      </c>
      <c r="II2" s="154" t="s">
        <v>55</v>
      </c>
      <c r="IJ2" s="154" t="s">
        <v>651</v>
      </c>
      <c r="IK2" s="167" t="s">
        <v>579</v>
      </c>
      <c r="IL2" s="154" t="s">
        <v>652</v>
      </c>
      <c r="IM2" s="154" t="s">
        <v>55</v>
      </c>
      <c r="IN2" s="154" t="s">
        <v>651</v>
      </c>
      <c r="IO2" s="167" t="s">
        <v>579</v>
      </c>
      <c r="IP2" s="154" t="s">
        <v>652</v>
      </c>
      <c r="IQ2" s="154" t="s">
        <v>55</v>
      </c>
      <c r="IR2" s="154" t="s">
        <v>651</v>
      </c>
      <c r="IS2" s="167" t="s">
        <v>579</v>
      </c>
      <c r="IT2" s="154" t="s">
        <v>652</v>
      </c>
      <c r="IU2" s="154" t="s">
        <v>55</v>
      </c>
      <c r="IV2" s="154" t="s">
        <v>651</v>
      </c>
      <c r="IW2" s="167" t="s">
        <v>579</v>
      </c>
      <c r="IX2" s="154" t="s">
        <v>652</v>
      </c>
      <c r="IY2" s="154" t="s">
        <v>55</v>
      </c>
      <c r="IZ2" s="154" t="s">
        <v>651</v>
      </c>
      <c r="JA2" s="167" t="s">
        <v>579</v>
      </c>
      <c r="JB2" s="154" t="s">
        <v>652</v>
      </c>
      <c r="JC2" s="154" t="s">
        <v>616</v>
      </c>
      <c r="JD2" s="18" t="s">
        <v>584</v>
      </c>
      <c r="JF2" s="335" t="s">
        <v>586</v>
      </c>
      <c r="JG2" s="336" t="s">
        <v>587</v>
      </c>
      <c r="JH2" s="336" t="s">
        <v>588</v>
      </c>
      <c r="JI2" s="336"/>
      <c r="JJ2" s="336" t="s">
        <v>589</v>
      </c>
      <c r="JK2" s="336" t="s">
        <v>588</v>
      </c>
      <c r="JL2" s="336"/>
      <c r="JM2" s="336" t="s">
        <v>590</v>
      </c>
      <c r="JN2" s="336" t="s">
        <v>588</v>
      </c>
      <c r="JO2" s="336" t="s">
        <v>607</v>
      </c>
      <c r="JP2" s="336" t="s">
        <v>591</v>
      </c>
      <c r="JQ2" s="336" t="s">
        <v>588</v>
      </c>
      <c r="JR2" s="336"/>
      <c r="JS2" s="335" t="s">
        <v>592</v>
      </c>
      <c r="JT2" s="336" t="s">
        <v>587</v>
      </c>
      <c r="JU2" s="336" t="s">
        <v>588</v>
      </c>
      <c r="JV2" s="336"/>
      <c r="JW2" s="336" t="s">
        <v>589</v>
      </c>
      <c r="JX2" s="336" t="s">
        <v>588</v>
      </c>
      <c r="JY2" s="336"/>
      <c r="JZ2" s="336" t="s">
        <v>590</v>
      </c>
      <c r="KA2" s="336" t="s">
        <v>588</v>
      </c>
      <c r="KB2" s="336"/>
      <c r="KC2" s="336" t="s">
        <v>591</v>
      </c>
      <c r="KD2" s="336" t="s">
        <v>588</v>
      </c>
      <c r="KE2" s="68"/>
      <c r="KF2" s="5" t="s">
        <v>513</v>
      </c>
      <c r="KG2" s="5" t="s">
        <v>611</v>
      </c>
      <c r="KH2" s="5" t="s">
        <v>52</v>
      </c>
      <c r="KI2" s="5" t="s">
        <v>612</v>
      </c>
      <c r="KJ2" s="5" t="s">
        <v>611</v>
      </c>
      <c r="KK2" s="5" t="s">
        <v>52</v>
      </c>
      <c r="KL2" s="154" t="s">
        <v>614</v>
      </c>
      <c r="KM2" s="154" t="s">
        <v>615</v>
      </c>
      <c r="KN2" s="185" t="s">
        <v>619</v>
      </c>
      <c r="KO2" s="154" t="s">
        <v>616</v>
      </c>
      <c r="KQ2" s="339" t="s">
        <v>313</v>
      </c>
      <c r="KR2" s="146" t="s">
        <v>406</v>
      </c>
      <c r="KS2" s="71" t="s">
        <v>407</v>
      </c>
      <c r="KT2" s="142" t="s">
        <v>408</v>
      </c>
      <c r="KU2" s="147" t="s">
        <v>409</v>
      </c>
      <c r="KV2" s="136" t="s">
        <v>410</v>
      </c>
      <c r="KW2" s="135" t="s">
        <v>411</v>
      </c>
      <c r="KX2" s="148" t="s">
        <v>412</v>
      </c>
      <c r="KY2" s="149" t="s">
        <v>413</v>
      </c>
      <c r="KZ2" s="150" t="s">
        <v>414</v>
      </c>
      <c r="LA2" s="141" t="s">
        <v>415</v>
      </c>
      <c r="LB2" s="143" t="s">
        <v>416</v>
      </c>
      <c r="LC2" s="356"/>
      <c r="LD2" s="357" t="s">
        <v>621</v>
      </c>
      <c r="LE2" s="357" t="s">
        <v>330</v>
      </c>
      <c r="LF2" s="357" t="s">
        <v>622</v>
      </c>
      <c r="LG2" s="357" t="s">
        <v>332</v>
      </c>
      <c r="LH2" s="357" t="s">
        <v>333</v>
      </c>
      <c r="LI2" s="357" t="s">
        <v>334</v>
      </c>
      <c r="LJ2" s="150" t="s">
        <v>29</v>
      </c>
      <c r="LK2" s="370"/>
      <c r="LL2" s="365" t="s">
        <v>647</v>
      </c>
      <c r="LM2" s="366" t="s">
        <v>648</v>
      </c>
      <c r="LN2" s="5" t="s">
        <v>52</v>
      </c>
      <c r="LO2" s="367" t="s">
        <v>649</v>
      </c>
      <c r="LP2" s="367" t="s">
        <v>650</v>
      </c>
      <c r="LQ2" s="80" t="s">
        <v>52</v>
      </c>
      <c r="LR2" s="77"/>
      <c r="LS2" s="365" t="s">
        <v>647</v>
      </c>
      <c r="LT2" s="366" t="s">
        <v>648</v>
      </c>
      <c r="LU2" s="5" t="s">
        <v>52</v>
      </c>
      <c r="LV2" s="367" t="s">
        <v>649</v>
      </c>
      <c r="LW2" s="367" t="s">
        <v>650</v>
      </c>
      <c r="LX2" s="80" t="s">
        <v>52</v>
      </c>
      <c r="LY2" s="77"/>
      <c r="LZ2" s="365" t="s">
        <v>647</v>
      </c>
      <c r="MA2" s="366" t="s">
        <v>648</v>
      </c>
      <c r="MB2" s="5" t="s">
        <v>52</v>
      </c>
      <c r="MC2" s="367" t="s">
        <v>649</v>
      </c>
      <c r="MD2" s="367" t="s">
        <v>650</v>
      </c>
      <c r="ME2" s="80" t="s">
        <v>52</v>
      </c>
      <c r="MF2" s="77"/>
      <c r="MG2" s="365" t="s">
        <v>647</v>
      </c>
      <c r="MH2" s="366" t="s">
        <v>648</v>
      </c>
      <c r="MI2" s="5" t="s">
        <v>52</v>
      </c>
      <c r="MJ2" s="367" t="s">
        <v>649</v>
      </c>
      <c r="MK2" s="367" t="s">
        <v>650</v>
      </c>
      <c r="ML2" s="80" t="s">
        <v>52</v>
      </c>
      <c r="MM2" s="77"/>
      <c r="MO2" s="414" t="s">
        <v>677</v>
      </c>
      <c r="MP2" s="415" t="s">
        <v>678</v>
      </c>
      <c r="MQ2" s="415" t="s">
        <v>679</v>
      </c>
      <c r="MR2" s="415" t="s">
        <v>680</v>
      </c>
      <c r="MS2" s="416" t="s">
        <v>681</v>
      </c>
      <c r="MT2" s="417" t="s">
        <v>682</v>
      </c>
      <c r="MU2" s="418" t="s">
        <v>683</v>
      </c>
      <c r="MV2" s="418" t="s">
        <v>684</v>
      </c>
      <c r="MW2" s="418" t="s">
        <v>681</v>
      </c>
    </row>
    <row r="3" spans="1:361" s="18" customFormat="1" ht="15.75" customHeight="1" x14ac:dyDescent="0.2">
      <c r="A3" s="3" t="s">
        <v>0</v>
      </c>
      <c r="B3" s="5">
        <v>0</v>
      </c>
      <c r="C3" s="5">
        <v>3</v>
      </c>
      <c r="D3" s="5">
        <v>20</v>
      </c>
      <c r="E3" s="5">
        <v>58</v>
      </c>
      <c r="F3" s="5">
        <v>56</v>
      </c>
      <c r="G3" s="18">
        <v>24</v>
      </c>
      <c r="H3" s="24">
        <v>55</v>
      </c>
      <c r="I3" s="5">
        <v>23</v>
      </c>
      <c r="J3" s="5">
        <v>131</v>
      </c>
      <c r="K3" s="5">
        <v>80</v>
      </c>
      <c r="L3" s="5">
        <v>159</v>
      </c>
      <c r="M3" s="5">
        <v>50</v>
      </c>
      <c r="N3" s="5">
        <v>161</v>
      </c>
      <c r="O3" s="5">
        <v>0</v>
      </c>
      <c r="P3" s="5">
        <v>-6</v>
      </c>
      <c r="Q3" s="5">
        <v>0</v>
      </c>
      <c r="R3" s="5">
        <v>-1</v>
      </c>
      <c r="S3" s="5">
        <v>8</v>
      </c>
      <c r="T3" s="18">
        <v>6</v>
      </c>
      <c r="U3" s="5">
        <v>1</v>
      </c>
      <c r="V3" s="5">
        <v>0</v>
      </c>
      <c r="W3" s="5">
        <v>-4</v>
      </c>
      <c r="X3" s="5">
        <v>14</v>
      </c>
      <c r="Y3" s="5">
        <v>6</v>
      </c>
      <c r="Z3" s="92">
        <v>-3.1136297368421002E-2</v>
      </c>
      <c r="AA3" s="88">
        <v>11</v>
      </c>
      <c r="AB3" s="66">
        <v>87</v>
      </c>
      <c r="AC3" s="101">
        <v>77</v>
      </c>
      <c r="AD3" s="101">
        <v>108</v>
      </c>
      <c r="AE3" s="102">
        <v>91</v>
      </c>
      <c r="AF3" s="182">
        <v>14</v>
      </c>
      <c r="AG3" s="160">
        <v>10</v>
      </c>
      <c r="AH3" s="160">
        <v>7</v>
      </c>
      <c r="AI3" s="160">
        <v>10</v>
      </c>
      <c r="AJ3" s="68">
        <v>101</v>
      </c>
      <c r="AK3" s="5">
        <v>87</v>
      </c>
      <c r="AL3" s="5">
        <v>115</v>
      </c>
      <c r="AM3" s="80">
        <v>101</v>
      </c>
      <c r="AN3" s="68">
        <v>87</v>
      </c>
      <c r="AO3" s="5">
        <v>77</v>
      </c>
      <c r="AP3" s="5">
        <v>108</v>
      </c>
      <c r="AQ3" s="80">
        <v>91</v>
      </c>
      <c r="AR3" s="68">
        <v>101</v>
      </c>
      <c r="AS3" s="5">
        <v>87</v>
      </c>
      <c r="AT3" s="5">
        <v>115</v>
      </c>
      <c r="AU3" s="80">
        <v>101</v>
      </c>
      <c r="AV3" s="179">
        <f>AN3-AR3</f>
        <v>-14</v>
      </c>
      <c r="AW3" s="179">
        <f t="shared" ref="AW3:AY18" si="0">AO3-AS3</f>
        <v>-10</v>
      </c>
      <c r="AX3" s="179">
        <f t="shared" si="0"/>
        <v>-7</v>
      </c>
      <c r="AY3" s="179">
        <f t="shared" si="0"/>
        <v>-10</v>
      </c>
      <c r="AZ3" s="9">
        <v>1.2413793103448276</v>
      </c>
      <c r="BA3" s="77">
        <v>0.10276544895868911</v>
      </c>
      <c r="BB3" s="18">
        <v>0.88505747126436785</v>
      </c>
      <c r="BC3" s="77">
        <v>2.3671332650506471E-2</v>
      </c>
      <c r="BD3" s="154">
        <v>0.33000001311299998</v>
      </c>
      <c r="BE3" s="144">
        <v>0</v>
      </c>
      <c r="BF3" s="5">
        <v>0</v>
      </c>
      <c r="BG3" s="5">
        <v>-6</v>
      </c>
      <c r="BK3" s="18" t="s">
        <v>0</v>
      </c>
      <c r="BL3" s="18">
        <v>0</v>
      </c>
      <c r="BM3" s="18">
        <v>0</v>
      </c>
      <c r="BN3" s="18">
        <v>-1</v>
      </c>
      <c r="BO3" s="18">
        <v>1</v>
      </c>
      <c r="BP3" s="18">
        <v>0</v>
      </c>
      <c r="BQ3" s="138" t="s">
        <v>466</v>
      </c>
      <c r="BR3" s="138">
        <v>-1.60857358248744E-27</v>
      </c>
      <c r="BS3" s="138" t="s">
        <v>467</v>
      </c>
      <c r="BT3" s="138">
        <v>-1.1509700087500101E-27</v>
      </c>
      <c r="BU3" s="138">
        <f>AVERAGE(BR3,BT3)</f>
        <v>-1.3797717956187249E-27</v>
      </c>
      <c r="BW3" s="18">
        <v>0.74000000953699996</v>
      </c>
      <c r="BX3" s="18">
        <v>0</v>
      </c>
      <c r="BY3" s="18">
        <f>BW3-BX3</f>
        <v>0.74000000953699996</v>
      </c>
      <c r="BZ3" s="3">
        <v>0</v>
      </c>
      <c r="CA3" s="18">
        <v>0</v>
      </c>
      <c r="CB3" s="18">
        <v>3.333333445092667E-2</v>
      </c>
      <c r="CC3" s="18">
        <v>4.3333331744000003E-2</v>
      </c>
      <c r="CD3" s="18">
        <v>7.9999998212000004E-2</v>
      </c>
      <c r="CE3" s="18">
        <v>0</v>
      </c>
      <c r="CF3" s="18">
        <v>0</v>
      </c>
      <c r="CG3" s="18">
        <v>7.6666668057299991E-2</v>
      </c>
      <c r="CH3" s="18">
        <v>0.98666667938233321</v>
      </c>
      <c r="CI3" s="18">
        <v>0.27666666110376664</v>
      </c>
      <c r="CJ3" s="18">
        <v>0</v>
      </c>
      <c r="CK3" s="285" t="s">
        <v>524</v>
      </c>
      <c r="CL3" s="18">
        <v>1.6630495780000001</v>
      </c>
      <c r="CM3" s="18">
        <v>-1.6873948219999999</v>
      </c>
      <c r="CN3" s="18">
        <v>-0.187242614</v>
      </c>
      <c r="CO3" s="18">
        <v>-0.21316443730000001</v>
      </c>
      <c r="CP3" s="18">
        <v>-4.6699681600000001E-2</v>
      </c>
      <c r="CQ3" s="18">
        <v>-0.18124281019999999</v>
      </c>
      <c r="CR3" s="18">
        <v>-1.395795191E-2</v>
      </c>
      <c r="CS3" s="18">
        <v>-9.4979387669999991E-3</v>
      </c>
      <c r="CT3" s="18">
        <v>-0.53483405490000002</v>
      </c>
      <c r="CY3" s="18">
        <v>-7.7297546359999997E-2</v>
      </c>
      <c r="CZ3" s="285" t="s">
        <v>524</v>
      </c>
      <c r="DA3" s="68">
        <v>8.3569198839999999</v>
      </c>
      <c r="DB3" s="5">
        <v>8.5218662609999996</v>
      </c>
      <c r="DC3" s="5">
        <v>8.2818837819999995</v>
      </c>
      <c r="DD3" s="80">
        <f t="shared" ref="DD3:DD6" si="1">AVERAGE(DA3,DC3)</f>
        <v>8.3194018330000006</v>
      </c>
      <c r="DE3" s="68">
        <v>9.1047846809999999</v>
      </c>
      <c r="DF3" s="5">
        <v>8.4524927160000001</v>
      </c>
      <c r="DG3" s="5">
        <v>7.4383820150000002</v>
      </c>
      <c r="DH3" s="80">
        <f t="shared" ref="DH3:DH6" si="2">AVERAGE(DE3,DG3)</f>
        <v>8.2715833480000001</v>
      </c>
      <c r="DI3" s="151">
        <f t="shared" ref="DI3:DL6" si="3">DE3-DA3</f>
        <v>0.74786479700000008</v>
      </c>
      <c r="DJ3" s="24">
        <f t="shared" si="3"/>
        <v>-6.9373544999999481E-2</v>
      </c>
      <c r="DK3" s="293">
        <f t="shared" si="3"/>
        <v>-0.84350176699999935</v>
      </c>
      <c r="DL3" s="244">
        <f t="shared" si="3"/>
        <v>-4.7818485000000521E-2</v>
      </c>
      <c r="DM3" s="295" t="s">
        <v>524</v>
      </c>
      <c r="DN3" s="68">
        <v>3.2167677239999999</v>
      </c>
      <c r="DO3" s="5">
        <v>3.2402146319999998</v>
      </c>
      <c r="DP3" s="5">
        <v>3.3105156529999999</v>
      </c>
      <c r="DQ3" s="3">
        <f t="shared" ref="DQ3:DQ6" si="4">AVERAGE(DN3,DP3)</f>
        <v>3.2636416884999999</v>
      </c>
      <c r="DR3" s="68">
        <v>8.4507175750000005</v>
      </c>
      <c r="DS3" s="5">
        <v>6.8197445090000004</v>
      </c>
      <c r="DT3" s="5">
        <v>4.6827379880000004</v>
      </c>
      <c r="DU3" s="3">
        <f t="shared" ref="DU3:DU6" si="5">AVERAGE(DR3,DT3)</f>
        <v>6.5667277815000009</v>
      </c>
      <c r="DV3" s="24">
        <f t="shared" ref="DV3:DY6" si="6">DR3-DN3</f>
        <v>5.2339498510000002</v>
      </c>
      <c r="DW3" s="24">
        <f t="shared" si="6"/>
        <v>3.5795298770000006</v>
      </c>
      <c r="DX3" s="240">
        <f t="shared" si="6"/>
        <v>1.3722223350000005</v>
      </c>
      <c r="DY3" s="103">
        <f t="shared" si="6"/>
        <v>3.303086093000001</v>
      </c>
      <c r="DZ3" s="295" t="s">
        <v>524</v>
      </c>
      <c r="EA3" s="18">
        <v>8.4756659750000001</v>
      </c>
      <c r="EB3" s="18">
        <v>6.2187548550000002</v>
      </c>
      <c r="EC3" s="18">
        <v>6.7217666649999996</v>
      </c>
      <c r="ED3" s="3">
        <f t="shared" ref="ED3:ED6" si="7">AVERAGE(EA3,EC3)</f>
        <v>7.5987163199999994</v>
      </c>
      <c r="EE3" s="18">
        <v>5.8717347899999996</v>
      </c>
      <c r="EF3" s="18">
        <v>5.3498013479999997</v>
      </c>
      <c r="EG3" s="18">
        <v>4.1786548100000003</v>
      </c>
      <c r="EH3" s="3">
        <f t="shared" ref="EH3:EH6" si="8">AVERAGE(EE3,EG3)</f>
        <v>5.0251947999999995</v>
      </c>
      <c r="EI3" s="24">
        <f t="shared" ref="EI3:EL6" si="9">EE3-EA3</f>
        <v>-2.6039311850000004</v>
      </c>
      <c r="EJ3" s="24">
        <f t="shared" si="9"/>
        <v>-0.86895350700000051</v>
      </c>
      <c r="EK3" s="240">
        <f t="shared" si="9"/>
        <v>-2.5431118549999994</v>
      </c>
      <c r="EL3" s="188">
        <f t="shared" si="9"/>
        <v>-2.5735215199999999</v>
      </c>
      <c r="EM3" s="295" t="s">
        <v>524</v>
      </c>
      <c r="EN3" s="151" t="s">
        <v>466</v>
      </c>
      <c r="EO3" s="244">
        <v>32.559413042826897</v>
      </c>
      <c r="EP3" s="151" t="s">
        <v>467</v>
      </c>
      <c r="EQ3" s="244">
        <v>48.414092869684701</v>
      </c>
      <c r="ER3" s="244">
        <f>AVERAGE(EO3,EQ3)</f>
        <v>40.486752956255799</v>
      </c>
      <c r="ES3" s="18">
        <v>0</v>
      </c>
      <c r="ET3" s="18">
        <v>9</v>
      </c>
      <c r="EU3" s="18">
        <v>9</v>
      </c>
      <c r="EV3" s="18">
        <v>0</v>
      </c>
      <c r="EW3" s="18">
        <v>1</v>
      </c>
      <c r="EX3" s="18">
        <v>0</v>
      </c>
      <c r="EY3" s="18">
        <v>19</v>
      </c>
      <c r="EZ3" s="220">
        <v>-1.6873948219999999</v>
      </c>
      <c r="FA3" s="18">
        <v>-20.550620935191617</v>
      </c>
      <c r="FB3" s="309">
        <v>1</v>
      </c>
      <c r="FC3" s="101">
        <v>58</v>
      </c>
      <c r="FD3" s="18">
        <v>24</v>
      </c>
      <c r="FE3" s="340">
        <v>11</v>
      </c>
      <c r="FF3" s="18">
        <v>-3.999999910592E-3</v>
      </c>
      <c r="FG3" s="18">
        <v>-6.6666665176533342E-3</v>
      </c>
      <c r="FH3" s="18">
        <v>2.6666667933273335E-2</v>
      </c>
      <c r="FI3" s="18">
        <v>3.6666665226346672E-2</v>
      </c>
      <c r="FJ3" s="18">
        <v>6.9999998435520003E-2</v>
      </c>
      <c r="FK3" s="18">
        <v>-5.7142855865600006E-3</v>
      </c>
      <c r="FL3" s="18">
        <v>-3.3333332588266671E-3</v>
      </c>
      <c r="FM3" s="18">
        <v>7.0000001539646653E-2</v>
      </c>
      <c r="FN3" s="18">
        <v>0.98666667938233321</v>
      </c>
      <c r="FO3" s="18">
        <v>0.27333332784493997</v>
      </c>
      <c r="FP3" s="18">
        <v>-6.6666665176533342E-3</v>
      </c>
      <c r="FQ3" s="322">
        <v>0</v>
      </c>
      <c r="FR3" s="5">
        <v>1</v>
      </c>
      <c r="FS3" s="5">
        <v>6</v>
      </c>
      <c r="FT3" s="249">
        <v>0</v>
      </c>
      <c r="FU3" s="250">
        <v>0</v>
      </c>
      <c r="FV3" s="251">
        <v>3.333333445092667E-2</v>
      </c>
      <c r="FW3" s="252">
        <v>4.3333331744000003E-2</v>
      </c>
      <c r="FX3" s="160">
        <v>7.9999998212000004E-2</v>
      </c>
      <c r="FY3" s="253">
        <v>0</v>
      </c>
      <c r="FZ3" s="254">
        <v>0</v>
      </c>
      <c r="GA3" s="255">
        <v>7.6666668057299991E-2</v>
      </c>
      <c r="GB3" s="256">
        <v>0.98666667938233321</v>
      </c>
      <c r="GC3" s="257">
        <v>0.27666666110376664</v>
      </c>
      <c r="GD3" s="258">
        <v>0</v>
      </c>
      <c r="GE3" s="220">
        <v>-1.6873948219999999</v>
      </c>
      <c r="GF3" s="18">
        <v>0</v>
      </c>
      <c r="GG3" s="18">
        <v>9</v>
      </c>
      <c r="GH3" s="18">
        <v>9</v>
      </c>
      <c r="GI3" s="18">
        <v>0</v>
      </c>
      <c r="GJ3" s="18">
        <v>1</v>
      </c>
      <c r="GK3" s="18">
        <v>0</v>
      </c>
      <c r="GL3" s="18">
        <v>19</v>
      </c>
      <c r="GN3" s="5">
        <v>131</v>
      </c>
      <c r="GO3" s="5">
        <v>80</v>
      </c>
      <c r="GP3" s="5">
        <v>159</v>
      </c>
      <c r="GQ3" s="5">
        <v>50</v>
      </c>
      <c r="GR3" s="5">
        <v>161</v>
      </c>
      <c r="GS3" s="144">
        <v>0</v>
      </c>
      <c r="GT3" s="18">
        <v>74.843299999999999</v>
      </c>
      <c r="GU3" s="18">
        <v>67.620199999999997</v>
      </c>
      <c r="GV3" s="1">
        <f>GT3-GU3</f>
        <v>7.2231000000000023</v>
      </c>
      <c r="GW3" s="5">
        <f>GT3/GU3</f>
        <v>1.1068186725268485</v>
      </c>
      <c r="GX3" s="18">
        <f>LOG(GW3)</f>
        <v>4.4076477273186795E-2</v>
      </c>
      <c r="GY3" s="18">
        <v>65.334699999999998</v>
      </c>
      <c r="GZ3" s="18">
        <v>63.9465</v>
      </c>
      <c r="HA3" s="3">
        <f>GY3-GZ3</f>
        <v>1.3881999999999977</v>
      </c>
      <c r="HB3" s="18">
        <f>GY3/GZ3</f>
        <v>1.0217087721767415</v>
      </c>
      <c r="HC3" s="18">
        <v>72.250500000000002</v>
      </c>
      <c r="HD3" s="18">
        <v>65.236000000000004</v>
      </c>
      <c r="HE3" s="3">
        <f>HC3-HD3</f>
        <v>7.0144999999999982</v>
      </c>
      <c r="HF3" s="18">
        <f>HC3/HD3</f>
        <v>1.1075249862039365</v>
      </c>
      <c r="HG3" s="18">
        <v>53.774000000000001</v>
      </c>
      <c r="HH3" s="18">
        <v>76.178700000000006</v>
      </c>
      <c r="HI3" s="3">
        <f>HG3-HH3</f>
        <v>-22.404700000000005</v>
      </c>
      <c r="HJ3" s="18">
        <f>HG3/HH3</f>
        <v>0.70589285456433359</v>
      </c>
      <c r="HK3" s="5">
        <v>91.088800000000006</v>
      </c>
      <c r="HL3" s="5">
        <v>72.750799999999998</v>
      </c>
      <c r="HM3" s="3">
        <f>HK3-HL3</f>
        <v>18.338000000000008</v>
      </c>
      <c r="HN3" s="5">
        <f>HK3/HL3</f>
        <v>1.2520659566630197</v>
      </c>
      <c r="HO3" s="18">
        <v>55.591500000000003</v>
      </c>
      <c r="HP3" s="18">
        <v>55.807000000000002</v>
      </c>
      <c r="HQ3" s="3">
        <f>HO3-HP3</f>
        <v>-0.21549999999999869</v>
      </c>
      <c r="HR3" s="18">
        <f>HO3/HP3</f>
        <v>0.9961384772519577</v>
      </c>
      <c r="HS3" s="18">
        <v>58.429000000000002</v>
      </c>
      <c r="HT3" s="18">
        <v>58.607300000000002</v>
      </c>
      <c r="HU3" s="3">
        <f>HS3-HT3</f>
        <v>-0.17830000000000013</v>
      </c>
      <c r="HV3" s="18">
        <f>HS3/HT3</f>
        <v>0.99695771687144774</v>
      </c>
      <c r="HW3" s="18">
        <v>56.892699999999998</v>
      </c>
      <c r="HX3" s="18">
        <v>58.643500000000003</v>
      </c>
      <c r="HY3" s="3">
        <f>HW3-HX3</f>
        <v>-1.7508000000000052</v>
      </c>
      <c r="HZ3" s="18">
        <f>HW3/HX3</f>
        <v>0.97014502886082843</v>
      </c>
      <c r="IA3" s="18">
        <v>48.6175</v>
      </c>
      <c r="IB3" s="18">
        <v>48.289900000000003</v>
      </c>
      <c r="IC3" s="3">
        <f>IA3-IB3</f>
        <v>0.32759999999999678</v>
      </c>
      <c r="ID3" s="18">
        <f>IA3/IB3</f>
        <v>1.0067840273017752</v>
      </c>
      <c r="IE3" s="18">
        <v>45.715600000000002</v>
      </c>
      <c r="IF3" s="18">
        <v>46.976199999999999</v>
      </c>
      <c r="IG3" s="3">
        <f>IE3-IF3</f>
        <v>-1.2605999999999966</v>
      </c>
      <c r="IH3" s="18">
        <f>IE3/IF3</f>
        <v>0.9731651346852237</v>
      </c>
      <c r="II3" s="18">
        <v>58.826999999999998</v>
      </c>
      <c r="IJ3" s="18">
        <v>56.332000000000001</v>
      </c>
      <c r="IK3" s="3">
        <f>II3-IJ3</f>
        <v>2.4949999999999974</v>
      </c>
      <c r="IL3" s="18">
        <f>II3/IJ3</f>
        <v>1.0442909891358374</v>
      </c>
      <c r="IM3" s="18">
        <v>76.114800000000002</v>
      </c>
      <c r="IN3" s="18">
        <v>70.202500000000001</v>
      </c>
      <c r="IO3" s="3">
        <f>IM3-IN3</f>
        <v>5.9123000000000019</v>
      </c>
      <c r="IP3" s="18">
        <f>IM3/IN3</f>
        <v>1.0842177985114489</v>
      </c>
      <c r="IQ3" s="18">
        <v>52.249699999999997</v>
      </c>
      <c r="IR3" s="18">
        <v>53.003700000000002</v>
      </c>
      <c r="IS3" s="3">
        <f>IQ3-IR3</f>
        <v>-0.75400000000000489</v>
      </c>
      <c r="IT3" s="18">
        <f>IQ3/IR3</f>
        <v>0.98577457800115831</v>
      </c>
      <c r="IU3" s="18">
        <v>54.146999999999998</v>
      </c>
      <c r="IV3" s="18">
        <v>55.443800000000003</v>
      </c>
      <c r="IW3" s="3">
        <f>IU3-IV3</f>
        <v>-1.2968000000000046</v>
      </c>
      <c r="IX3" s="18">
        <f>IU3/IV3</f>
        <v>0.97661054978194128</v>
      </c>
      <c r="IY3" s="18">
        <v>62.913499999999999</v>
      </c>
      <c r="IZ3" s="18">
        <v>61.563699999999997</v>
      </c>
      <c r="JA3" s="3">
        <f>IY3-IZ3</f>
        <v>1.3498000000000019</v>
      </c>
      <c r="JB3" s="18">
        <f>IY3/IZ3</f>
        <v>1.0219252579036022</v>
      </c>
      <c r="JC3" s="18">
        <f>LOG(HN3)</f>
        <v>9.7627207357083912E-2</v>
      </c>
      <c r="JD3" s="18">
        <v>40.486752956255799</v>
      </c>
      <c r="JE3" s="18">
        <f>JD3/100</f>
        <v>0.404867529562558</v>
      </c>
      <c r="JG3" s="336" t="s">
        <v>593</v>
      </c>
      <c r="JH3" s="18">
        <v>0.64809904041364497</v>
      </c>
      <c r="JJ3" s="336" t="s">
        <v>593</v>
      </c>
      <c r="JK3" s="18">
        <v>0.5035201700277</v>
      </c>
      <c r="JM3" s="336" t="s">
        <v>593</v>
      </c>
      <c r="JN3" s="18">
        <v>0.244943388843369</v>
      </c>
      <c r="JO3" s="18">
        <f>1-JN3</f>
        <v>0.75505661115663103</v>
      </c>
      <c r="JP3" s="336" t="s">
        <v>593</v>
      </c>
      <c r="JQ3" s="18">
        <v>0.50102159895769205</v>
      </c>
      <c r="JT3" s="336" t="s">
        <v>593</v>
      </c>
      <c r="JU3" s="18">
        <v>0.65714946064990098</v>
      </c>
      <c r="JW3" s="336" t="s">
        <v>593</v>
      </c>
      <c r="JX3" s="18">
        <v>0.51877938138697299</v>
      </c>
      <c r="JZ3" s="336" t="s">
        <v>593</v>
      </c>
      <c r="KA3" s="18">
        <v>0.399774026575279</v>
      </c>
      <c r="KC3" s="336" t="s">
        <v>593</v>
      </c>
      <c r="KD3" s="18">
        <v>0.61036403522636096</v>
      </c>
      <c r="KE3" s="68" t="s">
        <v>524</v>
      </c>
      <c r="KF3" s="347">
        <v>2.6200000000000001E-2</v>
      </c>
      <c r="KG3" s="347">
        <v>7.4999999999999997E-3</v>
      </c>
      <c r="KH3" s="347">
        <f>AVERAGE(KF3:KG3)</f>
        <v>1.685E-2</v>
      </c>
      <c r="KI3" s="348">
        <v>9.5899999999999999E-2</v>
      </c>
      <c r="KJ3" s="348">
        <v>2.93E-2</v>
      </c>
      <c r="KK3" s="348">
        <f>AVERAGE(KI3:KJ3)</f>
        <v>6.2600000000000003E-2</v>
      </c>
      <c r="KL3" s="347">
        <f>KK3-KH3</f>
        <v>4.5749999999999999E-2</v>
      </c>
      <c r="KM3" s="347">
        <f>KK3/KH3</f>
        <v>3.71513353115727</v>
      </c>
      <c r="KN3" s="354">
        <f t="shared" ref="KN3:KN8" si="10">KM3+3.878</f>
        <v>7.5931335311572701</v>
      </c>
      <c r="KO3" s="18">
        <f>LOG(KN3)</f>
        <v>0.88042103735122701</v>
      </c>
      <c r="KP3" s="18">
        <v>0.88042103735122701</v>
      </c>
      <c r="KQ3" s="340">
        <v>11</v>
      </c>
      <c r="KR3" s="18">
        <v>-3.999999910592E-3</v>
      </c>
      <c r="KS3" s="18">
        <v>-6.6666665176533342E-3</v>
      </c>
      <c r="KT3" s="18">
        <v>2.6666667933273335E-2</v>
      </c>
      <c r="KU3" s="18">
        <v>3.6666665226346672E-2</v>
      </c>
      <c r="KV3" s="18">
        <v>6.9999998435520003E-2</v>
      </c>
      <c r="KW3" s="18">
        <v>-5.7142855865600006E-3</v>
      </c>
      <c r="KX3" s="18">
        <v>-3.3333332588266671E-3</v>
      </c>
      <c r="KY3" s="18">
        <v>7.0000001539646653E-2</v>
      </c>
      <c r="KZ3" s="18">
        <v>0.98666667938233321</v>
      </c>
      <c r="LA3" s="18">
        <v>0.27333332784493997</v>
      </c>
      <c r="LB3" s="18">
        <v>-6.6666665176533342E-3</v>
      </c>
      <c r="LC3" s="358" t="s">
        <v>623</v>
      </c>
      <c r="LD3" s="358">
        <v>11</v>
      </c>
      <c r="LE3" s="358">
        <v>16</v>
      </c>
      <c r="LF3" s="358">
        <v>10.5</v>
      </c>
      <c r="LG3" s="358">
        <v>3</v>
      </c>
      <c r="LH3" s="358">
        <v>10</v>
      </c>
      <c r="LI3" s="358">
        <v>0</v>
      </c>
      <c r="LJ3" s="144">
        <v>0</v>
      </c>
      <c r="LK3" s="158" t="s">
        <v>524</v>
      </c>
      <c r="LL3" s="68">
        <v>0.49480000000000002</v>
      </c>
      <c r="LM3" s="5">
        <v>0.49719999999999998</v>
      </c>
      <c r="LN3" s="5">
        <f>AVERAGE(LL3:LM3)</f>
        <v>0.496</v>
      </c>
      <c r="LO3" s="5">
        <v>0.52359999999999995</v>
      </c>
      <c r="LP3" s="5">
        <v>0.51370000000000005</v>
      </c>
      <c r="LQ3" s="80">
        <f>AVERAGE(LO3:LP3)</f>
        <v>0.51865000000000006</v>
      </c>
      <c r="LR3" s="77">
        <f>LN3-LQ3</f>
        <v>-2.2650000000000059E-2</v>
      </c>
      <c r="LS3" s="68">
        <v>6.7457000000000003</v>
      </c>
      <c r="LT3" s="5">
        <v>6.4036999999999997</v>
      </c>
      <c r="LU3" s="5">
        <f>AVERAGE(LS3:LT3)</f>
        <v>6.5747</v>
      </c>
      <c r="LV3" s="5">
        <v>9.3452000000000002</v>
      </c>
      <c r="LW3" s="5">
        <v>8.1631</v>
      </c>
      <c r="LX3" s="80">
        <f>AVERAGE(LV3:LW3)</f>
        <v>8.7541499999999992</v>
      </c>
      <c r="LY3" s="77">
        <f>LU3-LX3</f>
        <v>-2.1794499999999992</v>
      </c>
      <c r="LZ3" s="68">
        <v>1.0430999999999999</v>
      </c>
      <c r="MA3" s="5">
        <v>1.0210999999999999</v>
      </c>
      <c r="MB3" s="5">
        <f>AVERAGE(LZ3:MA3)</f>
        <v>1.0320999999999998</v>
      </c>
      <c r="MC3" s="5">
        <v>0.9738</v>
      </c>
      <c r="MD3" s="5">
        <v>1.0073000000000001</v>
      </c>
      <c r="ME3" s="80">
        <f>AVERAGE(MC3:MD3)</f>
        <v>0.99055000000000004</v>
      </c>
      <c r="MF3" s="77">
        <f>MB3-ME3</f>
        <v>4.1549999999999754E-2</v>
      </c>
      <c r="MG3" s="68">
        <v>0.2923</v>
      </c>
      <c r="MH3" s="5">
        <v>0.30549999999999999</v>
      </c>
      <c r="MI3" s="5">
        <f>AVERAGE(MG3:MH3)</f>
        <v>0.2989</v>
      </c>
      <c r="MJ3" s="5">
        <v>0.3795</v>
      </c>
      <c r="MK3" s="5">
        <v>0.35210000000000002</v>
      </c>
      <c r="ML3" s="80">
        <f>AVERAGE(MJ3:MK3)</f>
        <v>0.36580000000000001</v>
      </c>
      <c r="MM3" s="77">
        <f>MI3-ML3</f>
        <v>-6.6900000000000015E-2</v>
      </c>
      <c r="MO3" s="5">
        <v>-1.0039172329999999</v>
      </c>
      <c r="MP3" s="5">
        <v>1.4980359560000001</v>
      </c>
      <c r="MQ3" s="5">
        <v>3.0679297399999998</v>
      </c>
      <c r="MR3" s="5">
        <v>2.6242965620000001</v>
      </c>
      <c r="MS3" s="292">
        <v>2.4116468750000002</v>
      </c>
      <c r="MT3" s="18">
        <v>-1.6873948219999999</v>
      </c>
      <c r="MU3" s="18">
        <v>2.3166915370000001</v>
      </c>
      <c r="MV3" s="18">
        <v>1.8977384850000001</v>
      </c>
      <c r="MW3" s="18">
        <v>2.1336499070000001</v>
      </c>
    </row>
    <row r="4" spans="1:361" s="18" customFormat="1" ht="15.75" customHeight="1" x14ac:dyDescent="0.2">
      <c r="A4" s="3" t="s">
        <v>1</v>
      </c>
      <c r="B4" s="5">
        <v>0</v>
      </c>
      <c r="C4" s="5">
        <v>1</v>
      </c>
      <c r="D4" s="5">
        <v>33</v>
      </c>
      <c r="E4" s="5">
        <v>42</v>
      </c>
      <c r="F4" s="5">
        <v>56</v>
      </c>
      <c r="G4" s="18">
        <v>30</v>
      </c>
      <c r="H4" s="24">
        <v>94</v>
      </c>
      <c r="I4" s="5">
        <v>16</v>
      </c>
      <c r="J4" s="5">
        <v>130</v>
      </c>
      <c r="K4" s="5">
        <v>124</v>
      </c>
      <c r="L4" s="5">
        <v>125</v>
      </c>
      <c r="M4" s="5">
        <v>86</v>
      </c>
      <c r="N4" s="5">
        <v>123</v>
      </c>
      <c r="O4" s="5">
        <v>9.5</v>
      </c>
      <c r="P4" s="5">
        <v>2</v>
      </c>
      <c r="Q4" s="5">
        <v>2</v>
      </c>
      <c r="R4" s="5">
        <v>-1</v>
      </c>
      <c r="S4" s="5">
        <v>8</v>
      </c>
      <c r="T4" s="18">
        <v>8</v>
      </c>
      <c r="U4" s="5">
        <v>1</v>
      </c>
      <c r="V4" s="5">
        <v>5</v>
      </c>
      <c r="W4" s="5">
        <v>4</v>
      </c>
      <c r="X4" s="5">
        <v>-5</v>
      </c>
      <c r="Y4" s="5">
        <v>-2</v>
      </c>
      <c r="Z4" s="92">
        <v>2.0308752631578979E-2</v>
      </c>
      <c r="AA4" s="88">
        <v>11.5</v>
      </c>
      <c r="AB4" s="68"/>
      <c r="AC4" s="5"/>
      <c r="AD4" s="5"/>
      <c r="AE4" s="80"/>
      <c r="AF4" s="179"/>
      <c r="AG4" s="154"/>
      <c r="AH4" s="154"/>
      <c r="AI4" s="154"/>
      <c r="AJ4" s="68"/>
      <c r="AK4" s="5"/>
      <c r="AL4" s="5"/>
      <c r="AM4" s="80"/>
      <c r="AN4" s="127">
        <v>77</v>
      </c>
      <c r="AO4" s="79">
        <v>82</v>
      </c>
      <c r="AP4" s="79">
        <v>81</v>
      </c>
      <c r="AQ4" s="128">
        <v>80</v>
      </c>
      <c r="AR4" s="127">
        <v>78</v>
      </c>
      <c r="AS4" s="79">
        <v>76</v>
      </c>
      <c r="AT4" s="79">
        <v>97</v>
      </c>
      <c r="AU4" s="128">
        <v>84</v>
      </c>
      <c r="AV4" s="179">
        <f t="shared" ref="AV4:AV22" si="11">AN4-AR4</f>
        <v>-1</v>
      </c>
      <c r="AW4" s="179">
        <f t="shared" si="0"/>
        <v>6</v>
      </c>
      <c r="AX4" s="179">
        <f t="shared" si="0"/>
        <v>-16</v>
      </c>
      <c r="AY4" s="179">
        <f t="shared" si="0"/>
        <v>-4</v>
      </c>
      <c r="AZ4" s="9"/>
      <c r="BA4" s="77"/>
      <c r="BC4" s="77"/>
      <c r="BD4" s="154">
        <v>0.9</v>
      </c>
      <c r="BE4" s="144">
        <v>0.93</v>
      </c>
      <c r="BF4" s="5">
        <v>2</v>
      </c>
      <c r="BG4" s="5">
        <v>2</v>
      </c>
      <c r="BK4" s="18" t="s">
        <v>1</v>
      </c>
      <c r="BL4" s="18">
        <v>3</v>
      </c>
      <c r="BM4" s="18">
        <v>3</v>
      </c>
      <c r="BN4" s="18">
        <v>4</v>
      </c>
      <c r="BO4" s="18">
        <v>11</v>
      </c>
      <c r="BP4" s="18">
        <v>18</v>
      </c>
      <c r="BQ4" s="138" t="s">
        <v>468</v>
      </c>
      <c r="BR4" s="138">
        <v>-3.7291102489853598E-27</v>
      </c>
      <c r="BS4" s="138" t="s">
        <v>469</v>
      </c>
      <c r="BT4" s="138">
        <v>-1.2543391486447901E-27</v>
      </c>
      <c r="BU4" s="138">
        <f t="shared" ref="BU4:BU22" si="12">AVERAGE(BR4,BT4)</f>
        <v>-2.4917246988150751E-27</v>
      </c>
      <c r="BW4" s="18">
        <v>0.2</v>
      </c>
      <c r="BX4" s="18">
        <v>0</v>
      </c>
      <c r="BY4" s="18">
        <f t="shared" ref="BY4:BY22" si="13">BW4-BX4</f>
        <v>0.2</v>
      </c>
      <c r="BZ4" s="3">
        <v>0.40600000000000003</v>
      </c>
      <c r="CA4" s="18">
        <v>0.22666666666666666</v>
      </c>
      <c r="CB4" s="18">
        <v>0.41333333333333327</v>
      </c>
      <c r="CC4" s="18">
        <v>0.37666666666666665</v>
      </c>
      <c r="CD4" s="18">
        <v>0.48333333333333339</v>
      </c>
      <c r="CE4" s="18">
        <v>0.20142857142857146</v>
      </c>
      <c r="CF4" s="18">
        <v>3.8333333333333337E-2</v>
      </c>
      <c r="CG4" s="18">
        <v>0.62</v>
      </c>
      <c r="CH4" s="18">
        <v>0.55000000000000004</v>
      </c>
      <c r="CI4" s="18">
        <v>0.69</v>
      </c>
      <c r="CJ4" s="18">
        <v>0.34</v>
      </c>
      <c r="CK4" s="296" t="s">
        <v>525</v>
      </c>
      <c r="CL4" s="18">
        <v>1.938641179</v>
      </c>
      <c r="CM4" s="18">
        <v>-3.3545457519999999</v>
      </c>
      <c r="CN4" s="18">
        <v>-0.50193669340000002</v>
      </c>
      <c r="CO4" s="18">
        <v>-0.4775746817</v>
      </c>
      <c r="CP4" s="18">
        <v>-0.61372735020000002</v>
      </c>
      <c r="CQ4" s="18">
        <v>-0.94251040259999996</v>
      </c>
      <c r="CR4" s="18">
        <v>-0.40027858490000001</v>
      </c>
      <c r="CS4" s="18">
        <v>-0.28224115220000001</v>
      </c>
      <c r="CT4" s="18">
        <v>-0.4757869656</v>
      </c>
      <c r="CY4" s="18">
        <v>-0.2183285589</v>
      </c>
      <c r="CZ4" s="296" t="s">
        <v>525</v>
      </c>
      <c r="DA4" s="68">
        <v>20.75369152</v>
      </c>
      <c r="DB4" s="5">
        <v>17.75832548</v>
      </c>
      <c r="DC4" s="5">
        <v>19.371486659999999</v>
      </c>
      <c r="DD4" s="80">
        <f t="shared" si="1"/>
        <v>20.062589089999999</v>
      </c>
      <c r="DE4" s="68">
        <v>11.738881040000001</v>
      </c>
      <c r="DF4" s="5">
        <v>16.0000347</v>
      </c>
      <c r="DG4" s="5">
        <v>15.37234582</v>
      </c>
      <c r="DH4" s="80">
        <f t="shared" si="2"/>
        <v>13.555613430000001</v>
      </c>
      <c r="DI4" s="151">
        <f t="shared" si="3"/>
        <v>-9.0148104799999995</v>
      </c>
      <c r="DJ4" s="24">
        <f t="shared" si="3"/>
        <v>-1.7582907799999994</v>
      </c>
      <c r="DK4" s="294">
        <f t="shared" si="3"/>
        <v>-3.999140839999999</v>
      </c>
      <c r="DL4" s="244">
        <f t="shared" si="3"/>
        <v>-6.5069756599999984</v>
      </c>
      <c r="DM4" s="297" t="s">
        <v>525</v>
      </c>
      <c r="DN4" s="68">
        <v>6.1432718570000002</v>
      </c>
      <c r="DO4" s="5">
        <v>5.3621252620000002</v>
      </c>
      <c r="DP4" s="5">
        <v>5.1739891770000002</v>
      </c>
      <c r="DQ4" s="3">
        <f t="shared" si="4"/>
        <v>5.6586305170000006</v>
      </c>
      <c r="DR4" s="68">
        <v>7.8486701649999997</v>
      </c>
      <c r="DS4" s="5">
        <v>8.9043115910000008</v>
      </c>
      <c r="DT4" s="5">
        <v>5.8278123370000001</v>
      </c>
      <c r="DU4" s="3">
        <f t="shared" si="5"/>
        <v>6.8382412509999995</v>
      </c>
      <c r="DV4" s="24">
        <f t="shared" si="6"/>
        <v>1.7053983079999995</v>
      </c>
      <c r="DW4" s="24">
        <f t="shared" si="6"/>
        <v>3.5421863290000006</v>
      </c>
      <c r="DX4" s="24">
        <f t="shared" si="6"/>
        <v>0.65382315999999996</v>
      </c>
      <c r="DY4" s="188">
        <f t="shared" si="6"/>
        <v>1.1796107339999988</v>
      </c>
      <c r="DZ4" s="297" t="s">
        <v>525</v>
      </c>
      <c r="EA4" s="18">
        <v>64.634064850000001</v>
      </c>
      <c r="EB4" s="18">
        <v>46.703520709999999</v>
      </c>
      <c r="EC4" s="18">
        <v>26.04815249</v>
      </c>
      <c r="ED4" s="3">
        <f t="shared" si="7"/>
        <v>45.341108669999997</v>
      </c>
      <c r="EE4" s="18">
        <v>8.3695108220000005</v>
      </c>
      <c r="EF4" s="18">
        <v>16.34055597</v>
      </c>
      <c r="EG4" s="18">
        <v>11.37597933</v>
      </c>
      <c r="EH4" s="3">
        <f t="shared" si="8"/>
        <v>9.8727450760000011</v>
      </c>
      <c r="EI4" s="24">
        <f t="shared" si="9"/>
        <v>-56.264554027999999</v>
      </c>
      <c r="EJ4" s="24">
        <f t="shared" si="9"/>
        <v>-30.362964739999999</v>
      </c>
      <c r="EK4" s="24">
        <f t="shared" si="9"/>
        <v>-14.67217316</v>
      </c>
      <c r="EL4" s="188">
        <f t="shared" si="9"/>
        <v>-35.468363593999996</v>
      </c>
      <c r="EM4" s="297" t="s">
        <v>525</v>
      </c>
      <c r="EN4" s="151" t="s">
        <v>468</v>
      </c>
      <c r="EO4" s="244">
        <v>23.7523116447136</v>
      </c>
      <c r="EP4" s="151" t="s">
        <v>469</v>
      </c>
      <c r="EQ4" s="244">
        <v>41.329914651808799</v>
      </c>
      <c r="ER4" s="244">
        <f t="shared" ref="ER4:ER22" si="14">AVERAGE(EO4,EQ4)</f>
        <v>32.541113148261203</v>
      </c>
      <c r="ES4" s="18">
        <v>6</v>
      </c>
      <c r="ET4" s="18">
        <v>14</v>
      </c>
      <c r="EU4" s="18">
        <v>5</v>
      </c>
      <c r="EV4" s="18">
        <v>-1</v>
      </c>
      <c r="EW4" s="18">
        <v>4</v>
      </c>
      <c r="EX4" s="18">
        <v>1</v>
      </c>
      <c r="EY4" s="18">
        <v>29</v>
      </c>
      <c r="EZ4" s="5">
        <v>-3.3545457519999999</v>
      </c>
      <c r="FA4" s="18">
        <v>-33.589345025527166</v>
      </c>
      <c r="FB4" s="310">
        <v>2</v>
      </c>
      <c r="FC4" s="5">
        <v>42</v>
      </c>
      <c r="FD4" s="18">
        <v>30</v>
      </c>
      <c r="FE4" s="340">
        <v>11.5</v>
      </c>
      <c r="FF4" s="18">
        <v>0.40600000000000003</v>
      </c>
      <c r="FG4" s="18">
        <v>0.22666666666666666</v>
      </c>
      <c r="FH4" s="18">
        <v>0.41333333333333327</v>
      </c>
      <c r="FI4" s="18">
        <v>0.37666666666666665</v>
      </c>
      <c r="FJ4" s="18">
        <v>0.48333333333333339</v>
      </c>
      <c r="FK4" s="18">
        <v>0.20142857142857146</v>
      </c>
      <c r="FL4" s="18">
        <v>3.8333333333333337E-2</v>
      </c>
      <c r="FM4" s="18">
        <v>0.62</v>
      </c>
      <c r="FN4" s="18">
        <v>0.55000000000000004</v>
      </c>
      <c r="FO4" s="18">
        <v>0.69</v>
      </c>
      <c r="FP4" s="18">
        <v>0.34</v>
      </c>
      <c r="FQ4" s="322">
        <v>2</v>
      </c>
      <c r="FR4" s="5">
        <v>1</v>
      </c>
      <c r="FS4" s="5">
        <v>-2</v>
      </c>
      <c r="FT4" s="259">
        <v>0.40600000000000003</v>
      </c>
      <c r="FU4" s="72">
        <v>0.22666666666666666</v>
      </c>
      <c r="FV4" s="260">
        <v>0.41333333333333327</v>
      </c>
      <c r="FW4" s="261">
        <v>0.37666666666666665</v>
      </c>
      <c r="FX4" s="154">
        <v>0.48333333333333339</v>
      </c>
      <c r="FY4" s="262">
        <v>0.20142857142857146</v>
      </c>
      <c r="FZ4" s="263">
        <v>3.8333333333333337E-2</v>
      </c>
      <c r="GA4" s="264">
        <v>0.62</v>
      </c>
      <c r="GB4" s="265">
        <v>0.55000000000000004</v>
      </c>
      <c r="GC4" s="266">
        <v>0.69</v>
      </c>
      <c r="GD4" s="267">
        <v>0.34</v>
      </c>
      <c r="GE4" s="5">
        <v>-3.3545457519999999</v>
      </c>
      <c r="GF4" s="18">
        <v>6</v>
      </c>
      <c r="GG4" s="18">
        <v>14</v>
      </c>
      <c r="GH4" s="18">
        <v>5</v>
      </c>
      <c r="GI4" s="18">
        <v>-1</v>
      </c>
      <c r="GJ4" s="18">
        <v>4</v>
      </c>
      <c r="GK4" s="18">
        <v>1</v>
      </c>
      <c r="GL4" s="18">
        <v>29</v>
      </c>
      <c r="GN4" s="5">
        <v>130</v>
      </c>
      <c r="GO4" s="5">
        <v>124</v>
      </c>
      <c r="GP4" s="5">
        <v>125</v>
      </c>
      <c r="GQ4" s="5">
        <v>86</v>
      </c>
      <c r="GR4" s="5">
        <v>123</v>
      </c>
      <c r="GS4" s="144">
        <v>0.93</v>
      </c>
      <c r="GT4" s="18">
        <v>78.474299999999999</v>
      </c>
      <c r="GU4" s="18">
        <v>60.856499999999997</v>
      </c>
      <c r="GV4" s="3">
        <f t="shared" ref="GV4:GV22" si="15">GT4-GU4</f>
        <v>17.617800000000003</v>
      </c>
      <c r="GW4" s="5">
        <f t="shared" ref="GW4:GW22" si="16">GT4/GU4</f>
        <v>1.2894974242685662</v>
      </c>
      <c r="GX4" s="18">
        <f t="shared" ref="GX4:GX22" si="17">LOG(GW4)</f>
        <v>0.11042047898495608</v>
      </c>
      <c r="GY4" s="18">
        <v>67.063500000000005</v>
      </c>
      <c r="GZ4" s="18">
        <v>59.012</v>
      </c>
      <c r="HA4" s="3">
        <f t="shared" ref="HA4:HA22" si="18">GY4-GZ4</f>
        <v>8.0515000000000043</v>
      </c>
      <c r="HB4" s="18">
        <f t="shared" ref="HB4:HB22" si="19">GY4/GZ4</f>
        <v>1.1364383515217245</v>
      </c>
      <c r="HC4" s="18">
        <v>75.308800000000005</v>
      </c>
      <c r="HD4" s="18">
        <v>62.24</v>
      </c>
      <c r="HE4" s="3">
        <f t="shared" ref="HE4:HE22" si="20">HC4-HD4</f>
        <v>13.068800000000003</v>
      </c>
      <c r="HF4" s="18">
        <f t="shared" ref="HF4:HF17" si="21">HC4/HD4</f>
        <v>1.209974293059126</v>
      </c>
      <c r="HG4" s="18">
        <v>24.652899999999999</v>
      </c>
      <c r="HH4" s="18">
        <v>50.599600000000002</v>
      </c>
      <c r="HI4" s="3">
        <f t="shared" ref="HI4:HI22" si="22">HG4-HH4</f>
        <v>-25.946700000000003</v>
      </c>
      <c r="HJ4" s="18">
        <f t="shared" ref="HJ4:HJ22" si="23">HG4/HH4</f>
        <v>0.48721531395505097</v>
      </c>
      <c r="HK4" s="5">
        <v>91.446799999999996</v>
      </c>
      <c r="HL4" s="5">
        <v>51.344799999999999</v>
      </c>
      <c r="HM4" s="3">
        <f t="shared" ref="HM4:HM22" si="24">HK4-HL4</f>
        <v>40.101999999999997</v>
      </c>
      <c r="HN4" s="5">
        <f>HK4/HL4</f>
        <v>1.7810333276203236</v>
      </c>
      <c r="HO4" s="18">
        <v>54.386499999999998</v>
      </c>
      <c r="HP4" s="18">
        <v>46.563499999999998</v>
      </c>
      <c r="HQ4" s="3">
        <f t="shared" ref="HQ4:HQ22" si="25">HO4-HP4</f>
        <v>7.8230000000000004</v>
      </c>
      <c r="HR4" s="18">
        <f t="shared" ref="HR4:HR22" si="26">HO4/HP4</f>
        <v>1.1680071300482138</v>
      </c>
      <c r="HS4" s="18">
        <v>56.170999999999999</v>
      </c>
      <c r="HT4" s="18">
        <v>47.178699999999999</v>
      </c>
      <c r="HU4" s="3">
        <f t="shared" ref="HU4:HU22" si="27">HS4-HT4</f>
        <v>8.9923000000000002</v>
      </c>
      <c r="HV4" s="18">
        <f t="shared" ref="HV4:HV22" si="28">HS4/HT4</f>
        <v>1.1906008431771118</v>
      </c>
      <c r="HW4" s="18">
        <v>56.983800000000002</v>
      </c>
      <c r="HX4" s="18">
        <v>53.225499999999997</v>
      </c>
      <c r="HY4" s="3">
        <f t="shared" ref="HY4:HY22" si="29">HW4-HX4</f>
        <v>3.7583000000000055</v>
      </c>
      <c r="HZ4" s="18">
        <f t="shared" ref="HZ4:HZ22" si="30">HW4/HX4</f>
        <v>1.0706108913960415</v>
      </c>
      <c r="IA4" s="18">
        <v>45.081099999999999</v>
      </c>
      <c r="IB4" s="18">
        <v>47.296500000000002</v>
      </c>
      <c r="IC4" s="3">
        <f t="shared" ref="IC4:IC22" si="31">IA4-IB4</f>
        <v>-2.2154000000000025</v>
      </c>
      <c r="ID4" s="18">
        <f t="shared" ref="ID4:ID22" si="32">IA4/IB4</f>
        <v>0.95315932468575892</v>
      </c>
      <c r="IE4" s="18">
        <v>41.8005</v>
      </c>
      <c r="IF4" s="18">
        <v>40.956200000000003</v>
      </c>
      <c r="IG4" s="3">
        <f t="shared" ref="IG4:IG22" si="33">IE4-IF4</f>
        <v>0.84429999999999694</v>
      </c>
      <c r="IH4" s="18">
        <f t="shared" ref="IH4:IH22" si="34">IE4/IF4</f>
        <v>1.020614705465839</v>
      </c>
      <c r="II4" s="18">
        <v>58.640300000000003</v>
      </c>
      <c r="IJ4" s="18">
        <v>53.695799999999998</v>
      </c>
      <c r="IK4" s="3">
        <f t="shared" ref="IK4:IK22" si="35">II4-IJ4</f>
        <v>4.944500000000005</v>
      </c>
      <c r="IL4" s="18">
        <f t="shared" ref="IL4:IL22" si="36">II4/IJ4</f>
        <v>1.0920835521586418</v>
      </c>
      <c r="IM4" s="18">
        <v>77.659300000000002</v>
      </c>
      <c r="IN4" s="18">
        <v>67.589299999999994</v>
      </c>
      <c r="IO4" s="3">
        <f t="shared" ref="IO4:IO22" si="37">IM4-IN4</f>
        <v>10.070000000000007</v>
      </c>
      <c r="IP4" s="18">
        <f t="shared" ref="IP4:IP22" si="38">IM4/IN4</f>
        <v>1.1489880794741181</v>
      </c>
      <c r="IQ4" s="18">
        <v>48.4084</v>
      </c>
      <c r="IR4" s="18">
        <v>44.8279</v>
      </c>
      <c r="IS4" s="3">
        <f t="shared" ref="IS4:IS21" si="39">IQ4-IR4</f>
        <v>3.5805000000000007</v>
      </c>
      <c r="IT4" s="18">
        <f t="shared" ref="IT4:IT22" si="40">IQ4/IR4</f>
        <v>1.0798721332027599</v>
      </c>
      <c r="IU4" s="18">
        <v>51.405999999999999</v>
      </c>
      <c r="IV4" s="18">
        <v>47.210299999999997</v>
      </c>
      <c r="IW4" s="3">
        <f t="shared" ref="IW4:IW22" si="41">IU4-IV4</f>
        <v>4.1957000000000022</v>
      </c>
      <c r="IX4" s="18">
        <f t="shared" ref="IX4:IX22" si="42">IU4/IV4</f>
        <v>1.0888725553533869</v>
      </c>
      <c r="IY4" s="18">
        <v>57.267000000000003</v>
      </c>
      <c r="IZ4" s="18">
        <v>54.224200000000003</v>
      </c>
      <c r="JA4" s="3">
        <f t="shared" ref="JA4:JA22" si="43">IY4-IZ4</f>
        <v>3.0427999999999997</v>
      </c>
      <c r="JB4" s="18">
        <f t="shared" ref="JB4:JB22" si="44">IY4/IZ4</f>
        <v>1.0561151662910655</v>
      </c>
      <c r="JC4" s="18">
        <f>LOG(HN4)</f>
        <v>0.25067204628310774</v>
      </c>
      <c r="JD4" s="18">
        <v>32.541113148261203</v>
      </c>
      <c r="JE4" s="18">
        <f t="shared" ref="JE4:JE22" si="45">JD4/100</f>
        <v>0.32541113148261203</v>
      </c>
      <c r="JG4" s="336" t="s">
        <v>594</v>
      </c>
      <c r="JH4" s="18">
        <v>0.35023930109753099</v>
      </c>
      <c r="JJ4" s="336" t="s">
        <v>594</v>
      </c>
      <c r="JK4" s="18">
        <v>0.21050644835506099</v>
      </c>
      <c r="JM4" s="336" t="s">
        <v>594</v>
      </c>
      <c r="JN4" s="18">
        <v>0.27703996309275802</v>
      </c>
      <c r="JO4" s="18">
        <f t="shared" ref="JO4:JO22" si="46">1-JN4</f>
        <v>0.72296003690724198</v>
      </c>
      <c r="JP4" s="336" t="s">
        <v>594</v>
      </c>
      <c r="JQ4" s="18">
        <v>0.45154655626411</v>
      </c>
      <c r="JT4" s="336" t="s">
        <v>594</v>
      </c>
      <c r="JU4" s="18">
        <v>0.31991479442487902</v>
      </c>
      <c r="JW4" s="336" t="s">
        <v>594</v>
      </c>
      <c r="JX4" s="18">
        <v>0.22875973293013299</v>
      </c>
      <c r="JZ4" s="336" t="s">
        <v>594</v>
      </c>
      <c r="KA4" s="18">
        <v>0.29921809698499302</v>
      </c>
      <c r="KC4" s="336" t="s">
        <v>594</v>
      </c>
      <c r="KD4" s="18">
        <v>0.39520924927720302</v>
      </c>
      <c r="KE4" s="68" t="s">
        <v>525</v>
      </c>
      <c r="KF4" s="347">
        <v>9.4999999999999998E-3</v>
      </c>
      <c r="KG4" s="347">
        <v>1.21E-2</v>
      </c>
      <c r="KH4" s="347">
        <f t="shared" ref="KH4:KH22" si="47">AVERAGE(KF4:KG4)</f>
        <v>1.0800000000000001E-2</v>
      </c>
      <c r="KI4" s="348">
        <v>7.7399999999999997E-2</v>
      </c>
      <c r="KJ4" s="348">
        <v>3.1800000000000002E-2</v>
      </c>
      <c r="KK4" s="348">
        <f t="shared" ref="KK4:KK22" si="48">AVERAGE(KI4:KJ4)</f>
        <v>5.4599999999999996E-2</v>
      </c>
      <c r="KL4" s="347">
        <f t="shared" ref="KL4:KL22" si="49">KK4-KH4</f>
        <v>4.3799999999999992E-2</v>
      </c>
      <c r="KM4" s="347">
        <f t="shared" ref="KM4:KM22" si="50">KK4/KH4</f>
        <v>5.0555555555555545</v>
      </c>
      <c r="KN4" s="354">
        <f t="shared" si="10"/>
        <v>8.9335555555555537</v>
      </c>
      <c r="KO4" s="18">
        <f t="shared" ref="KO4:KO22" si="51">LOG(KN4)</f>
        <v>0.9510243425200795</v>
      </c>
      <c r="KP4" s="18">
        <v>0.9510243425200795</v>
      </c>
      <c r="KQ4" s="340">
        <v>11.5</v>
      </c>
      <c r="KR4" s="18">
        <v>0.40600000000000003</v>
      </c>
      <c r="KS4" s="18">
        <v>0.22666666666666666</v>
      </c>
      <c r="KT4" s="18">
        <v>0.41333333333333327</v>
      </c>
      <c r="KU4" s="18">
        <v>0.37666666666666665</v>
      </c>
      <c r="KV4" s="18">
        <v>0.48333333333333339</v>
      </c>
      <c r="KW4" s="18">
        <v>0.20142857142857146</v>
      </c>
      <c r="KX4" s="18">
        <v>3.8333333333333337E-2</v>
      </c>
      <c r="KY4" s="18">
        <v>0.62</v>
      </c>
      <c r="KZ4" s="18">
        <v>0.55000000000000004</v>
      </c>
      <c r="LA4" s="18">
        <v>0.69</v>
      </c>
      <c r="LB4" s="18">
        <v>0.34</v>
      </c>
      <c r="LC4" s="358" t="s">
        <v>624</v>
      </c>
      <c r="LD4" s="358">
        <v>11.5</v>
      </c>
      <c r="LE4" s="358">
        <v>10</v>
      </c>
      <c r="LF4" s="358">
        <v>6.5</v>
      </c>
      <c r="LG4" s="358">
        <v>11.5</v>
      </c>
      <c r="LH4" s="358">
        <v>3.5</v>
      </c>
      <c r="LI4" s="358">
        <v>16</v>
      </c>
      <c r="LJ4" s="144">
        <v>0.93</v>
      </c>
      <c r="LK4" s="158" t="s">
        <v>525</v>
      </c>
      <c r="LL4" s="68">
        <v>0.48349999999999999</v>
      </c>
      <c r="LM4" s="5">
        <v>0.50339999999999996</v>
      </c>
      <c r="LN4" s="5">
        <f t="shared" ref="LN4:LN22" si="52">AVERAGE(LL4:LM4)</f>
        <v>0.49344999999999994</v>
      </c>
      <c r="LO4" s="5">
        <v>0.56499999999999995</v>
      </c>
      <c r="LP4" s="5">
        <v>0.55520000000000003</v>
      </c>
      <c r="LQ4" s="80">
        <f t="shared" ref="LQ4:LQ22" si="53">AVERAGE(LO4:LP4)</f>
        <v>0.56010000000000004</v>
      </c>
      <c r="LR4" s="77">
        <f t="shared" ref="LR4:LR22" si="54">LN4-LQ4</f>
        <v>-6.6650000000000098E-2</v>
      </c>
      <c r="LS4" s="68">
        <v>9.7530000000000001</v>
      </c>
      <c r="LT4" s="5">
        <v>12.755599999999999</v>
      </c>
      <c r="LU4" s="5">
        <f t="shared" ref="LU4:LU22" si="55">AVERAGE(LS4:LT4)</f>
        <v>11.254300000000001</v>
      </c>
      <c r="LV4" s="5">
        <v>22.781099999999999</v>
      </c>
      <c r="LW4" s="5">
        <v>17.895900000000001</v>
      </c>
      <c r="LX4" s="80">
        <f t="shared" ref="LX4:LX22" si="56">AVERAGE(LV4:LW4)</f>
        <v>20.3385</v>
      </c>
      <c r="LY4" s="77">
        <f t="shared" ref="LY4:LY22" si="57">LU4-LX4</f>
        <v>-9.0841999999999992</v>
      </c>
      <c r="LZ4" s="68">
        <v>1.0350999999999999</v>
      </c>
      <c r="MA4" s="5">
        <v>1.0199</v>
      </c>
      <c r="MB4" s="5">
        <f>AVERAGE(LZ4:MA4)</f>
        <v>1.0274999999999999</v>
      </c>
      <c r="MC4" s="5">
        <v>0.90529999999999999</v>
      </c>
      <c r="MD4" s="5">
        <v>0.93259999999999998</v>
      </c>
      <c r="ME4" s="80">
        <f>AVERAGE(MC4:MD4)</f>
        <v>0.91894999999999993</v>
      </c>
      <c r="MF4" s="77">
        <f t="shared" ref="MF4:MF22" si="58">MB4-ME4</f>
        <v>0.10854999999999992</v>
      </c>
      <c r="MG4" s="68">
        <v>0.27800000000000002</v>
      </c>
      <c r="MH4" s="5">
        <v>0.32419999999999999</v>
      </c>
      <c r="MI4" s="5">
        <f>AVERAGE(MG4:MH4)</f>
        <v>0.30110000000000003</v>
      </c>
      <c r="MJ4" s="5">
        <v>0.47739999999999999</v>
      </c>
      <c r="MK4" s="5">
        <v>0.4607</v>
      </c>
      <c r="ML4" s="80">
        <f>AVERAGE(MJ4:MK4)</f>
        <v>0.46904999999999997</v>
      </c>
      <c r="MM4" s="77">
        <f t="shared" ref="MM4:MM22" si="59">MI4-ML4</f>
        <v>-0.16794999999999993</v>
      </c>
      <c r="MO4" s="5">
        <v>-0.81876754659999995</v>
      </c>
      <c r="MP4" s="5">
        <v>1.8509984820000001</v>
      </c>
      <c r="MQ4" s="5">
        <v>3.059275027</v>
      </c>
      <c r="MR4" s="5">
        <v>2.1691885929999999</v>
      </c>
      <c r="MS4" s="292">
        <v>2.2282943770000001</v>
      </c>
      <c r="MT4" s="18">
        <v>-3.3545457519999999</v>
      </c>
      <c r="MU4" s="18">
        <v>3.0048308960000001</v>
      </c>
      <c r="MV4" s="18">
        <v>3.9612370139999999</v>
      </c>
      <c r="MW4" s="18">
        <v>3.4226871060000001</v>
      </c>
    </row>
    <row r="5" spans="1:361" s="18" customFormat="1" ht="15.75" customHeight="1" x14ac:dyDescent="0.2">
      <c r="A5" s="3" t="s">
        <v>2</v>
      </c>
      <c r="B5" s="5">
        <v>0</v>
      </c>
      <c r="C5" s="5">
        <v>0</v>
      </c>
      <c r="D5" s="5">
        <v>35</v>
      </c>
      <c r="E5" s="5">
        <v>71</v>
      </c>
      <c r="F5" s="5">
        <v>52</v>
      </c>
      <c r="G5" s="18">
        <v>28</v>
      </c>
      <c r="H5" s="24">
        <v>146</v>
      </c>
      <c r="I5" s="5">
        <v>18</v>
      </c>
      <c r="J5" s="5">
        <v>114</v>
      </c>
      <c r="K5" s="5">
        <v>117</v>
      </c>
      <c r="L5" s="5">
        <v>123</v>
      </c>
      <c r="M5" s="5">
        <v>88</v>
      </c>
      <c r="N5" s="5">
        <v>136</v>
      </c>
      <c r="O5" s="5">
        <v>0</v>
      </c>
      <c r="P5" s="5">
        <v>-8</v>
      </c>
      <c r="Q5" s="5">
        <v>5</v>
      </c>
      <c r="R5" s="5">
        <v>-2</v>
      </c>
      <c r="S5" s="5">
        <v>12</v>
      </c>
      <c r="T5" s="18">
        <v>7</v>
      </c>
      <c r="U5" s="5">
        <v>2</v>
      </c>
      <c r="V5" s="5">
        <v>3</v>
      </c>
      <c r="W5" s="5">
        <v>-2</v>
      </c>
      <c r="X5" s="5">
        <v>1</v>
      </c>
      <c r="Y5" s="5">
        <v>8</v>
      </c>
      <c r="Z5" s="92">
        <v>-4.4648047368420998E-2</v>
      </c>
      <c r="AA5" s="88">
        <v>10.5</v>
      </c>
      <c r="AB5" s="68">
        <v>84</v>
      </c>
      <c r="AC5" s="5">
        <v>84</v>
      </c>
      <c r="AD5" s="5">
        <v>88</v>
      </c>
      <c r="AE5" s="80">
        <v>85</v>
      </c>
      <c r="AF5" s="179">
        <v>-6</v>
      </c>
      <c r="AG5" s="154">
        <v>-2</v>
      </c>
      <c r="AH5" s="154">
        <v>13</v>
      </c>
      <c r="AI5" s="154">
        <v>2</v>
      </c>
      <c r="AJ5" s="68">
        <v>78</v>
      </c>
      <c r="AK5" s="5">
        <v>82</v>
      </c>
      <c r="AL5" s="5">
        <v>101</v>
      </c>
      <c r="AM5" s="80">
        <v>87</v>
      </c>
      <c r="AN5" s="68">
        <v>84</v>
      </c>
      <c r="AO5" s="5">
        <v>84</v>
      </c>
      <c r="AP5" s="5">
        <v>88</v>
      </c>
      <c r="AQ5" s="80">
        <v>85</v>
      </c>
      <c r="AR5" s="68">
        <v>78</v>
      </c>
      <c r="AS5" s="5">
        <v>82</v>
      </c>
      <c r="AT5" s="5">
        <v>101</v>
      </c>
      <c r="AU5" s="80">
        <v>87</v>
      </c>
      <c r="AV5" s="179">
        <f t="shared" si="11"/>
        <v>6</v>
      </c>
      <c r="AW5" s="179">
        <f t="shared" si="0"/>
        <v>2</v>
      </c>
      <c r="AX5" s="179">
        <f t="shared" si="0"/>
        <v>-13</v>
      </c>
      <c r="AY5" s="179">
        <f t="shared" si="0"/>
        <v>-2</v>
      </c>
      <c r="AZ5" s="9">
        <v>1.0476190476190477</v>
      </c>
      <c r="BA5" s="77">
        <v>-0.24725274725274726</v>
      </c>
      <c r="BB5" s="18">
        <v>1</v>
      </c>
      <c r="BC5" s="77">
        <v>-5.1282051282051322E-2</v>
      </c>
      <c r="BD5" s="154">
        <v>0.28999999999999998</v>
      </c>
      <c r="BE5" s="144">
        <v>0.05</v>
      </c>
      <c r="BF5" s="5">
        <v>5</v>
      </c>
      <c r="BG5" s="5">
        <v>-8</v>
      </c>
      <c r="BK5" s="18" t="s">
        <v>2</v>
      </c>
      <c r="BL5" s="18">
        <v>1</v>
      </c>
      <c r="BM5" s="18">
        <v>-6</v>
      </c>
      <c r="BN5" s="18">
        <v>1</v>
      </c>
      <c r="BO5" s="18">
        <v>2</v>
      </c>
      <c r="BP5" s="18">
        <v>-3</v>
      </c>
      <c r="BQ5" s="138" t="s">
        <v>470</v>
      </c>
      <c r="BR5" s="138">
        <v>-6.1412823500982302E-27</v>
      </c>
      <c r="BS5" s="138" t="s">
        <v>471</v>
      </c>
      <c r="BT5" s="138">
        <v>-3.4822260312127097E-27</v>
      </c>
      <c r="BU5" s="138">
        <f t="shared" si="12"/>
        <v>-4.8117541906554696E-27</v>
      </c>
      <c r="BW5" s="18">
        <v>0.17</v>
      </c>
      <c r="BX5" s="18">
        <v>0</v>
      </c>
      <c r="BY5" s="18">
        <f t="shared" si="13"/>
        <v>0.17</v>
      </c>
      <c r="BZ5" s="3">
        <v>0.04</v>
      </c>
      <c r="CA5" s="18">
        <v>0.20000000000000004</v>
      </c>
      <c r="CB5" s="18">
        <v>0.14666666666666667</v>
      </c>
      <c r="CC5" s="18">
        <v>0.28666666666666668</v>
      </c>
      <c r="CD5" s="18">
        <v>3.3333333333333335E-3</v>
      </c>
      <c r="CE5" s="18">
        <v>0.19285714285714287</v>
      </c>
      <c r="CF5" s="18">
        <v>6.6666666666666666E-2</v>
      </c>
      <c r="CG5" s="18">
        <v>0.06</v>
      </c>
      <c r="CH5" s="18">
        <v>0.21</v>
      </c>
      <c r="CI5" s="18">
        <v>0.20666666666666667</v>
      </c>
      <c r="CJ5" s="18">
        <v>0.20333333333333334</v>
      </c>
      <c r="CK5" s="285" t="s">
        <v>526</v>
      </c>
      <c r="CL5" s="18">
        <v>0.4313899839</v>
      </c>
      <c r="CM5" s="18">
        <v>-1.120985176</v>
      </c>
      <c r="CN5" s="18">
        <v>-4.5924071019999999E-2</v>
      </c>
      <c r="CO5" s="18">
        <v>-0.2444994929</v>
      </c>
      <c r="CP5" s="18">
        <v>-0.1093722201</v>
      </c>
      <c r="CQ5" s="18">
        <v>-0.50504371520000002</v>
      </c>
      <c r="CR5" s="18">
        <v>-0.30585200699999998</v>
      </c>
      <c r="CS5" s="18">
        <v>2.7928874409999999E-2</v>
      </c>
      <c r="CT5" s="18">
        <v>-0.963833732</v>
      </c>
      <c r="CY5" s="18">
        <v>-0.31912339880000001</v>
      </c>
      <c r="CZ5" s="285" t="s">
        <v>526</v>
      </c>
      <c r="DA5" s="68">
        <v>12.331647090000001</v>
      </c>
      <c r="DB5" s="5">
        <v>16.485987959999999</v>
      </c>
      <c r="DC5" s="5">
        <v>15.418580220000001</v>
      </c>
      <c r="DD5" s="80">
        <f t="shared" si="1"/>
        <v>13.875113655</v>
      </c>
      <c r="DE5" s="68">
        <v>12.07559809</v>
      </c>
      <c r="DF5" s="5">
        <v>9.6643293490000008</v>
      </c>
      <c r="DG5" s="5">
        <v>9.5368939820000005</v>
      </c>
      <c r="DH5" s="80">
        <f t="shared" si="2"/>
        <v>10.806246036000001</v>
      </c>
      <c r="DI5" s="151">
        <f t="shared" si="3"/>
        <v>-0.25604900000000086</v>
      </c>
      <c r="DJ5" s="298">
        <f t="shared" si="3"/>
        <v>-6.8216586109999984</v>
      </c>
      <c r="DK5" s="294">
        <f t="shared" si="3"/>
        <v>-5.8816862380000003</v>
      </c>
      <c r="DL5" s="244">
        <f t="shared" si="3"/>
        <v>-3.0688676189999988</v>
      </c>
      <c r="DM5" s="295" t="s">
        <v>526</v>
      </c>
      <c r="DN5" s="68">
        <v>3.1394762360000001</v>
      </c>
      <c r="DO5" s="5">
        <v>3.988665433</v>
      </c>
      <c r="DP5" s="5">
        <v>2.278184392</v>
      </c>
      <c r="DQ5" s="3">
        <f t="shared" si="4"/>
        <v>2.7088303140000001</v>
      </c>
      <c r="DR5" s="68">
        <v>3.0736597909999999</v>
      </c>
      <c r="DS5" s="5">
        <v>2.8060170000000002</v>
      </c>
      <c r="DT5" s="5">
        <v>2.7645080370000001</v>
      </c>
      <c r="DU5" s="3">
        <f t="shared" si="5"/>
        <v>2.9190839139999998</v>
      </c>
      <c r="DV5" s="24">
        <f t="shared" si="6"/>
        <v>-6.5816445000000279E-2</v>
      </c>
      <c r="DW5" s="298">
        <f t="shared" si="6"/>
        <v>-1.1826484329999998</v>
      </c>
      <c r="DX5" s="24">
        <f t="shared" si="6"/>
        <v>0.48632364500000014</v>
      </c>
      <c r="DY5" s="188">
        <f t="shared" si="6"/>
        <v>0.21025359999999971</v>
      </c>
      <c r="DZ5" s="295" t="s">
        <v>526</v>
      </c>
      <c r="EA5" s="18">
        <v>6.8701599609999997</v>
      </c>
      <c r="EB5" s="18">
        <v>9.3276164819999998</v>
      </c>
      <c r="EC5" s="18">
        <v>8.9684953200000006</v>
      </c>
      <c r="ED5" s="3">
        <f t="shared" si="7"/>
        <v>7.9193276405000006</v>
      </c>
      <c r="EE5" s="18">
        <v>3.9544541400000002</v>
      </c>
      <c r="EF5" s="18">
        <v>3.4706129030000001</v>
      </c>
      <c r="EG5" s="18">
        <v>4.2902614579999998</v>
      </c>
      <c r="EH5" s="3">
        <f t="shared" si="8"/>
        <v>4.1223577989999995</v>
      </c>
      <c r="EI5" s="24">
        <f t="shared" si="9"/>
        <v>-2.9157058209999995</v>
      </c>
      <c r="EJ5" s="298">
        <f t="shared" si="9"/>
        <v>-5.8570035789999997</v>
      </c>
      <c r="EK5" s="24">
        <f t="shared" si="9"/>
        <v>-4.6782338620000008</v>
      </c>
      <c r="EL5" s="188">
        <f t="shared" si="9"/>
        <v>-3.7969698415000011</v>
      </c>
      <c r="EM5" s="295" t="s">
        <v>526</v>
      </c>
      <c r="EN5" s="151" t="s">
        <v>470</v>
      </c>
      <c r="EO5" s="244">
        <v>41.131008326019803</v>
      </c>
      <c r="EP5" s="151" t="s">
        <v>471</v>
      </c>
      <c r="EQ5" s="244">
        <v>57.688898765607199</v>
      </c>
      <c r="ER5" s="244">
        <f t="shared" si="14"/>
        <v>49.409953545813501</v>
      </c>
      <c r="ES5" s="18">
        <v>3</v>
      </c>
      <c r="ET5" s="18">
        <v>8</v>
      </c>
      <c r="EU5" s="18">
        <v>15</v>
      </c>
      <c r="EV5" s="18">
        <v>0</v>
      </c>
      <c r="EW5" s="18">
        <v>6</v>
      </c>
      <c r="EX5" s="18">
        <v>5</v>
      </c>
      <c r="EY5" s="18">
        <v>37</v>
      </c>
      <c r="EZ5" s="5">
        <v>-1.120985176</v>
      </c>
      <c r="FA5" s="18">
        <v>-3.9522998032431778</v>
      </c>
      <c r="FB5" s="310">
        <v>3</v>
      </c>
      <c r="FC5" s="5">
        <v>71</v>
      </c>
      <c r="FD5" s="18">
        <v>28</v>
      </c>
      <c r="FE5" s="340">
        <v>10.5</v>
      </c>
      <c r="FF5" s="18">
        <v>0.04</v>
      </c>
      <c r="FG5" s="18">
        <v>0.20000000000000004</v>
      </c>
      <c r="FH5" s="18">
        <v>0.14666666666666667</v>
      </c>
      <c r="FI5" s="18">
        <v>0.28666666666666668</v>
      </c>
      <c r="FJ5" s="18">
        <v>3.3333333333333335E-3</v>
      </c>
      <c r="FK5" s="18">
        <v>0.19285714285714287</v>
      </c>
      <c r="FL5" s="18">
        <v>6.6666666666666666E-2</v>
      </c>
      <c r="FM5" s="18">
        <v>0.06</v>
      </c>
      <c r="FN5" s="18">
        <v>0.21</v>
      </c>
      <c r="FO5" s="18">
        <v>0.20666666666666667</v>
      </c>
      <c r="FP5" s="18">
        <v>0.20333333333333334</v>
      </c>
      <c r="FQ5" s="322">
        <v>5</v>
      </c>
      <c r="FR5" s="5">
        <v>2</v>
      </c>
      <c r="FS5" s="5">
        <v>8</v>
      </c>
      <c r="FT5" s="259">
        <v>0.04</v>
      </c>
      <c r="FU5" s="72">
        <v>0.20000000000000004</v>
      </c>
      <c r="FV5" s="260">
        <v>0.14666666666666667</v>
      </c>
      <c r="FW5" s="261">
        <v>0.28666666666666668</v>
      </c>
      <c r="FX5" s="154">
        <v>3.3333333333333335E-3</v>
      </c>
      <c r="FY5" s="262">
        <v>0.19285714285714287</v>
      </c>
      <c r="FZ5" s="263">
        <v>6.6666666666666666E-2</v>
      </c>
      <c r="GA5" s="264">
        <v>0.06</v>
      </c>
      <c r="GB5" s="265">
        <v>0.21</v>
      </c>
      <c r="GC5" s="266">
        <v>0.20666666666666667</v>
      </c>
      <c r="GD5" s="267">
        <v>0.20333333333333334</v>
      </c>
      <c r="GE5" s="5">
        <v>-1.120985176</v>
      </c>
      <c r="GF5" s="18">
        <v>3</v>
      </c>
      <c r="GG5" s="18">
        <v>8</v>
      </c>
      <c r="GH5" s="18">
        <v>15</v>
      </c>
      <c r="GI5" s="18">
        <v>0</v>
      </c>
      <c r="GJ5" s="18">
        <v>6</v>
      </c>
      <c r="GK5" s="18">
        <v>5</v>
      </c>
      <c r="GL5" s="18">
        <v>37</v>
      </c>
      <c r="GN5" s="5">
        <v>114</v>
      </c>
      <c r="GO5" s="5">
        <v>117</v>
      </c>
      <c r="GP5" s="5">
        <v>123</v>
      </c>
      <c r="GQ5" s="5">
        <v>88</v>
      </c>
      <c r="GR5" s="5">
        <v>136</v>
      </c>
      <c r="GS5" s="144">
        <v>0.05</v>
      </c>
      <c r="GT5" s="18">
        <v>80.493300000000005</v>
      </c>
      <c r="GU5" s="18">
        <v>82.859300000000005</v>
      </c>
      <c r="GV5" s="3">
        <f t="shared" si="15"/>
        <v>-2.3659999999999997</v>
      </c>
      <c r="GW5" s="5">
        <f t="shared" si="16"/>
        <v>0.97144557098599671</v>
      </c>
      <c r="GX5" s="18">
        <f t="shared" si="17"/>
        <v>-1.2581527418945236E-2</v>
      </c>
      <c r="GY5" s="18">
        <v>78.77</v>
      </c>
      <c r="GZ5" s="18">
        <v>75.385499999999993</v>
      </c>
      <c r="HA5" s="3">
        <f t="shared" si="18"/>
        <v>3.3845000000000027</v>
      </c>
      <c r="HB5" s="18">
        <f t="shared" si="19"/>
        <v>1.0448959017317654</v>
      </c>
      <c r="HC5" s="18">
        <v>92.593000000000004</v>
      </c>
      <c r="HD5" s="18">
        <v>89.364999999999995</v>
      </c>
      <c r="HE5" s="3">
        <f t="shared" si="20"/>
        <v>3.2280000000000086</v>
      </c>
      <c r="HF5" s="18">
        <f t="shared" si="21"/>
        <v>1.0361215240866113</v>
      </c>
      <c r="HG5" s="18">
        <v>15.9682</v>
      </c>
      <c r="HH5" s="18">
        <v>46.6982</v>
      </c>
      <c r="HI5" s="3">
        <f t="shared" si="22"/>
        <v>-30.73</v>
      </c>
      <c r="HJ5" s="18">
        <f t="shared" si="23"/>
        <v>0.34194465739578828</v>
      </c>
      <c r="HK5" s="5">
        <v>103.782</v>
      </c>
      <c r="HL5" s="5">
        <v>101.248</v>
      </c>
      <c r="HM5" s="3">
        <f t="shared" si="24"/>
        <v>2.5339999999999918</v>
      </c>
      <c r="HN5" s="5">
        <f t="shared" ref="HN5:HN22" si="60">HK5/HL5</f>
        <v>1.0250276548672566</v>
      </c>
      <c r="HO5" s="18">
        <v>57.504199999999997</v>
      </c>
      <c r="HP5" s="18">
        <v>56.045999999999999</v>
      </c>
      <c r="HQ5" s="3">
        <f t="shared" si="25"/>
        <v>1.4581999999999979</v>
      </c>
      <c r="HR5" s="18">
        <f t="shared" si="26"/>
        <v>1.0260179138564749</v>
      </c>
      <c r="HS5" s="18">
        <v>53.476799999999997</v>
      </c>
      <c r="HT5" s="18">
        <v>58.277700000000003</v>
      </c>
      <c r="HU5" s="3">
        <f t="shared" si="27"/>
        <v>-4.8009000000000057</v>
      </c>
      <c r="HV5" s="18">
        <f t="shared" si="28"/>
        <v>0.91762029043699378</v>
      </c>
      <c r="HW5" s="18">
        <v>53.406199999999998</v>
      </c>
      <c r="HX5" s="18">
        <v>54.891199999999998</v>
      </c>
      <c r="HY5" s="3">
        <f t="shared" si="29"/>
        <v>-1.4849999999999994</v>
      </c>
      <c r="HZ5" s="18">
        <f t="shared" si="30"/>
        <v>0.97294648322499777</v>
      </c>
      <c r="IA5" s="18">
        <v>41.305300000000003</v>
      </c>
      <c r="IB5" s="18">
        <v>45.548299999999998</v>
      </c>
      <c r="IC5" s="3">
        <f t="shared" si="31"/>
        <v>-4.242999999999995</v>
      </c>
      <c r="ID5" s="18">
        <f t="shared" si="32"/>
        <v>0.9068461391533823</v>
      </c>
      <c r="IE5" s="18">
        <v>33.941000000000003</v>
      </c>
      <c r="IF5" s="18">
        <v>38.0212</v>
      </c>
      <c r="IG5" s="3">
        <f t="shared" si="33"/>
        <v>-4.0801999999999978</v>
      </c>
      <c r="IH5" s="18">
        <f t="shared" si="34"/>
        <v>0.89268618560171697</v>
      </c>
      <c r="II5" s="18">
        <v>55.444200000000002</v>
      </c>
      <c r="IJ5" s="18">
        <v>61.353999999999999</v>
      </c>
      <c r="IK5" s="3">
        <f t="shared" si="35"/>
        <v>-5.9097999999999971</v>
      </c>
      <c r="IL5" s="18">
        <f t="shared" si="36"/>
        <v>0.90367702187306453</v>
      </c>
      <c r="IM5" s="18">
        <v>69.803200000000004</v>
      </c>
      <c r="IN5" s="18">
        <v>79.324700000000007</v>
      </c>
      <c r="IO5" s="3">
        <f t="shared" si="37"/>
        <v>-9.5215000000000032</v>
      </c>
      <c r="IP5" s="18">
        <f t="shared" si="38"/>
        <v>0.87996803013437175</v>
      </c>
      <c r="IQ5" s="18">
        <v>55.383499999999998</v>
      </c>
      <c r="IR5" s="18">
        <v>51.468000000000004</v>
      </c>
      <c r="IS5" s="3">
        <f t="shared" si="39"/>
        <v>3.9154999999999944</v>
      </c>
      <c r="IT5" s="18">
        <f t="shared" si="40"/>
        <v>1.0760763969845339</v>
      </c>
      <c r="IU5" s="18">
        <v>44.348799999999997</v>
      </c>
      <c r="IV5" s="18">
        <v>48.6419</v>
      </c>
      <c r="IW5" s="3">
        <f t="shared" si="41"/>
        <v>-4.2931000000000026</v>
      </c>
      <c r="IX5" s="18">
        <f t="shared" si="42"/>
        <v>0.91174070091834403</v>
      </c>
      <c r="IY5" s="18">
        <v>50.819499999999998</v>
      </c>
      <c r="IZ5" s="18">
        <v>53.173200000000001</v>
      </c>
      <c r="JA5" s="3">
        <f t="shared" si="43"/>
        <v>-2.3537000000000035</v>
      </c>
      <c r="JB5" s="18">
        <f t="shared" si="44"/>
        <v>0.95573521999804412</v>
      </c>
      <c r="JC5" s="18">
        <f>LOG(HN5)</f>
        <v>1.0735582654434904E-2</v>
      </c>
      <c r="JD5" s="18">
        <v>49.409953545813501</v>
      </c>
      <c r="JE5" s="18">
        <f t="shared" si="45"/>
        <v>0.49409953545813501</v>
      </c>
      <c r="JG5" s="336" t="s">
        <v>595</v>
      </c>
      <c r="JH5" s="18">
        <v>0.30598678604027801</v>
      </c>
      <c r="JJ5" s="336" t="s">
        <v>595</v>
      </c>
      <c r="JK5" s="18">
        <v>0.17090127051229301</v>
      </c>
      <c r="JM5" s="336" t="s">
        <v>595</v>
      </c>
      <c r="JN5" s="18">
        <v>0.53251837055237905</v>
      </c>
      <c r="JO5" s="18">
        <f t="shared" si="46"/>
        <v>0.46748162944762095</v>
      </c>
      <c r="JP5" s="336" t="s">
        <v>595</v>
      </c>
      <c r="JQ5" s="18">
        <v>0.75813573213036201</v>
      </c>
      <c r="JT5" s="336" t="s">
        <v>595</v>
      </c>
      <c r="JU5" s="18">
        <v>0.41503475067220302</v>
      </c>
      <c r="JW5" s="336" t="s">
        <v>595</v>
      </c>
      <c r="JX5" s="18">
        <v>0.222683988322979</v>
      </c>
      <c r="JZ5" s="336" t="s">
        <v>595</v>
      </c>
      <c r="KA5" s="18">
        <v>0.48548326092278998</v>
      </c>
      <c r="KC5" s="336" t="s">
        <v>595</v>
      </c>
      <c r="KD5" s="18">
        <v>0.62109353778671705</v>
      </c>
      <c r="KE5" s="68" t="s">
        <v>526</v>
      </c>
      <c r="KF5" s="347">
        <v>1.2E-2</v>
      </c>
      <c r="KG5" s="347">
        <v>4.02E-2</v>
      </c>
      <c r="KH5" s="347">
        <f t="shared" si="47"/>
        <v>2.6099999999999998E-2</v>
      </c>
      <c r="KI5" s="348">
        <v>6.8599999999999994E-2</v>
      </c>
      <c r="KJ5" s="348">
        <v>5.3100000000000001E-2</v>
      </c>
      <c r="KK5" s="348">
        <f t="shared" si="48"/>
        <v>6.0850000000000001E-2</v>
      </c>
      <c r="KL5" s="347">
        <f t="shared" si="49"/>
        <v>3.4750000000000003E-2</v>
      </c>
      <c r="KM5" s="347">
        <f t="shared" si="50"/>
        <v>2.3314176245210732</v>
      </c>
      <c r="KN5" s="354">
        <f t="shared" si="10"/>
        <v>6.2094176245210733</v>
      </c>
      <c r="KO5" s="18">
        <f t="shared" si="51"/>
        <v>0.7930508700127793</v>
      </c>
      <c r="KP5" s="18">
        <v>0.7930508700127793</v>
      </c>
      <c r="KQ5" s="340">
        <v>10.5</v>
      </c>
      <c r="KR5" s="18">
        <v>0.04</v>
      </c>
      <c r="KS5" s="18">
        <v>0.20000000000000004</v>
      </c>
      <c r="KT5" s="18">
        <v>0.14666666666666667</v>
      </c>
      <c r="KU5" s="18">
        <v>0.28666666666666668</v>
      </c>
      <c r="KV5" s="18">
        <v>3.3333333333333335E-3</v>
      </c>
      <c r="KW5" s="18">
        <v>0.19285714285714287</v>
      </c>
      <c r="KX5" s="18">
        <v>6.6666666666666666E-2</v>
      </c>
      <c r="KY5" s="18">
        <v>0.06</v>
      </c>
      <c r="KZ5" s="18">
        <v>0.21</v>
      </c>
      <c r="LA5" s="18">
        <v>0.20666666666666667</v>
      </c>
      <c r="LB5" s="18">
        <v>0.20333333333333334</v>
      </c>
      <c r="LC5" s="358" t="s">
        <v>625</v>
      </c>
      <c r="LD5" s="358">
        <v>10.5</v>
      </c>
      <c r="LE5" s="358">
        <v>4.5</v>
      </c>
      <c r="LF5" s="358">
        <v>0.5</v>
      </c>
      <c r="LG5" s="358">
        <v>3</v>
      </c>
      <c r="LH5" s="358">
        <v>1.5</v>
      </c>
      <c r="LI5" s="358">
        <v>0</v>
      </c>
      <c r="LJ5" s="144">
        <v>0.05</v>
      </c>
      <c r="LK5" s="158" t="s">
        <v>526</v>
      </c>
      <c r="LL5" s="68">
        <v>0.49719999999999998</v>
      </c>
      <c r="LM5" s="5">
        <v>0.49919999999999998</v>
      </c>
      <c r="LN5" s="5">
        <f t="shared" si="52"/>
        <v>0.49819999999999998</v>
      </c>
      <c r="LO5" s="5">
        <v>0.55110000000000003</v>
      </c>
      <c r="LP5" s="5">
        <v>0.55679999999999996</v>
      </c>
      <c r="LQ5" s="80">
        <f t="shared" si="53"/>
        <v>0.55394999999999994</v>
      </c>
      <c r="LR5" s="77">
        <f t="shared" si="54"/>
        <v>-5.5749999999999966E-2</v>
      </c>
      <c r="LS5" s="68">
        <v>8.6199999999999992</v>
      </c>
      <c r="LT5" s="5">
        <v>8.1204999999999998</v>
      </c>
      <c r="LU5" s="5">
        <f t="shared" si="55"/>
        <v>8.3702499999999986</v>
      </c>
      <c r="LV5" s="5">
        <v>13.129200000000001</v>
      </c>
      <c r="LW5" s="5">
        <v>15.973699999999999</v>
      </c>
      <c r="LX5" s="80">
        <f t="shared" si="56"/>
        <v>14.551449999999999</v>
      </c>
      <c r="LY5" s="77">
        <f t="shared" si="57"/>
        <v>-6.1812000000000005</v>
      </c>
      <c r="LZ5" s="68">
        <v>1.0447</v>
      </c>
      <c r="MA5" s="5">
        <v>1.0327999999999999</v>
      </c>
      <c r="MB5" s="5">
        <f>AVERAGE(LZ5:MA5)</f>
        <v>1.0387499999999998</v>
      </c>
      <c r="MC5" s="5">
        <v>0.93689999999999996</v>
      </c>
      <c r="MD5" s="5">
        <v>0.95589999999999997</v>
      </c>
      <c r="ME5" s="80">
        <f>AVERAGE(MC5:MD5)</f>
        <v>0.94639999999999991</v>
      </c>
      <c r="MF5" s="77">
        <f t="shared" si="58"/>
        <v>9.2349999999999932E-2</v>
      </c>
      <c r="MG5" s="68">
        <v>0.31280000000000002</v>
      </c>
      <c r="MH5" s="5">
        <v>0.33739999999999998</v>
      </c>
      <c r="MI5" s="5">
        <f>AVERAGE(MG5:MH5)</f>
        <v>0.3251</v>
      </c>
      <c r="MJ5" s="5">
        <v>0.45750000000000002</v>
      </c>
      <c r="MK5" s="5">
        <v>0.44779999999999998</v>
      </c>
      <c r="ML5" s="80">
        <f>AVERAGE(MJ5:MK5)</f>
        <v>0.45265</v>
      </c>
      <c r="MM5" s="77">
        <f t="shared" si="59"/>
        <v>-0.12755</v>
      </c>
      <c r="MO5" s="5">
        <v>1.1231995029999999</v>
      </c>
      <c r="MP5" s="5">
        <v>-0.40562030789999998</v>
      </c>
      <c r="MQ5" s="5">
        <v>2.0164743449999998</v>
      </c>
      <c r="MR5" s="5">
        <v>1.0337722309999999</v>
      </c>
      <c r="MS5" s="292">
        <v>0.82678924620000005</v>
      </c>
      <c r="MT5" s="18">
        <v>-1.120985176</v>
      </c>
      <c r="MU5" s="18">
        <v>0.6211032984</v>
      </c>
      <c r="MV5" s="18">
        <v>1.0822198940000001</v>
      </c>
      <c r="MW5" s="18">
        <v>0.82256628529999998</v>
      </c>
    </row>
    <row r="6" spans="1:361" s="18" customFormat="1" ht="15.75" customHeight="1" x14ac:dyDescent="0.2">
      <c r="A6" s="3" t="s">
        <v>3</v>
      </c>
      <c r="B6" s="79"/>
      <c r="C6" s="5">
        <v>7</v>
      </c>
      <c r="D6" s="5">
        <v>35</v>
      </c>
      <c r="E6" s="5">
        <v>79</v>
      </c>
      <c r="F6" s="5">
        <v>56</v>
      </c>
      <c r="G6" s="18">
        <v>39</v>
      </c>
      <c r="H6" s="24">
        <v>112</v>
      </c>
      <c r="I6" s="5">
        <v>23</v>
      </c>
      <c r="J6" s="5">
        <v>144</v>
      </c>
      <c r="K6" s="5">
        <v>81</v>
      </c>
      <c r="L6" s="5">
        <v>148</v>
      </c>
      <c r="M6" s="5">
        <v>84</v>
      </c>
      <c r="N6" s="5">
        <v>147</v>
      </c>
      <c r="O6" s="5">
        <v>1</v>
      </c>
      <c r="P6" s="5">
        <v>-13</v>
      </c>
      <c r="Q6" s="5">
        <v>-4</v>
      </c>
      <c r="R6" s="5">
        <v>-14</v>
      </c>
      <c r="S6" s="5">
        <v>12</v>
      </c>
      <c r="T6" s="18">
        <v>7</v>
      </c>
      <c r="U6" s="5">
        <v>14</v>
      </c>
      <c r="V6" s="5">
        <v>-5</v>
      </c>
      <c r="W6" s="5">
        <v>-1</v>
      </c>
      <c r="X6" s="5">
        <v>-2</v>
      </c>
      <c r="Y6" s="5">
        <v>13</v>
      </c>
      <c r="Z6" s="92">
        <v>-4.9376097368420996E-2</v>
      </c>
      <c r="AA6" s="88">
        <v>13</v>
      </c>
      <c r="AB6" s="68">
        <v>88</v>
      </c>
      <c r="AC6" s="5">
        <v>80</v>
      </c>
      <c r="AD6" s="5">
        <v>108</v>
      </c>
      <c r="AE6" s="80">
        <v>92</v>
      </c>
      <c r="AF6" s="179">
        <v>23</v>
      </c>
      <c r="AG6" s="154">
        <v>18</v>
      </c>
      <c r="AH6" s="154">
        <v>20</v>
      </c>
      <c r="AI6" s="154">
        <v>20</v>
      </c>
      <c r="AJ6" s="68">
        <v>111</v>
      </c>
      <c r="AK6" s="5">
        <v>98</v>
      </c>
      <c r="AL6" s="5">
        <v>128</v>
      </c>
      <c r="AM6" s="80">
        <v>112</v>
      </c>
      <c r="AN6" s="68">
        <v>88</v>
      </c>
      <c r="AO6" s="5">
        <v>80</v>
      </c>
      <c r="AP6" s="5">
        <v>108</v>
      </c>
      <c r="AQ6" s="80">
        <v>92</v>
      </c>
      <c r="AR6" s="68">
        <v>111</v>
      </c>
      <c r="AS6" s="5">
        <v>98</v>
      </c>
      <c r="AT6" s="5">
        <v>128</v>
      </c>
      <c r="AU6" s="80">
        <v>112</v>
      </c>
      <c r="AV6" s="179">
        <f t="shared" si="11"/>
        <v>-23</v>
      </c>
      <c r="AW6" s="179">
        <f t="shared" si="0"/>
        <v>-18</v>
      </c>
      <c r="AX6" s="179">
        <f t="shared" si="0"/>
        <v>-20</v>
      </c>
      <c r="AY6" s="179">
        <f t="shared" si="0"/>
        <v>-20</v>
      </c>
      <c r="AZ6" s="9">
        <v>1.2272727272727273</v>
      </c>
      <c r="BA6" s="77">
        <v>7.411957411957415E-2</v>
      </c>
      <c r="BB6" s="18">
        <v>0.90909090909090906</v>
      </c>
      <c r="BC6" s="77">
        <v>2.6208026208026203E-2</v>
      </c>
      <c r="BD6" s="154">
        <v>1</v>
      </c>
      <c r="BE6" s="144">
        <v>7.0000000298000006E-2</v>
      </c>
      <c r="BF6" s="5">
        <v>-4</v>
      </c>
      <c r="BG6" s="5">
        <v>-13</v>
      </c>
      <c r="BK6" s="18" t="s">
        <v>3</v>
      </c>
      <c r="BL6" s="18">
        <v>-2</v>
      </c>
      <c r="BM6" s="221">
        <v>-11</v>
      </c>
      <c r="BN6" s="21">
        <v>-10</v>
      </c>
      <c r="BO6" s="18">
        <v>-12</v>
      </c>
      <c r="BP6" s="18">
        <v>-33</v>
      </c>
      <c r="BQ6" s="138" t="s">
        <v>472</v>
      </c>
      <c r="BR6" s="138">
        <v>-5.7108360516078902E-27</v>
      </c>
      <c r="BS6" s="138" t="s">
        <v>473</v>
      </c>
      <c r="BT6" s="138">
        <v>-2.0839446909618498E-27</v>
      </c>
      <c r="BU6" s="138">
        <f t="shared" si="12"/>
        <v>-3.8973903712848699E-27</v>
      </c>
      <c r="BW6" s="18">
        <v>1</v>
      </c>
      <c r="BX6" s="18">
        <v>0</v>
      </c>
      <c r="BY6" s="18">
        <f t="shared" si="13"/>
        <v>1</v>
      </c>
      <c r="BZ6" s="3">
        <v>0.83600000441059996</v>
      </c>
      <c r="CA6" s="18">
        <v>0.33333333333333331</v>
      </c>
      <c r="CB6" s="18">
        <v>1</v>
      </c>
      <c r="CC6" s="18">
        <v>0.76333332061766657</v>
      </c>
      <c r="CD6" s="18">
        <v>0.99333333969100002</v>
      </c>
      <c r="CE6" s="18">
        <v>0.5714285714285714</v>
      </c>
      <c r="CF6" s="18">
        <v>0.48833332614341335</v>
      </c>
      <c r="CG6" s="18">
        <v>0.66999999992549331</v>
      </c>
      <c r="CH6" s="18">
        <v>1</v>
      </c>
      <c r="CI6" s="18">
        <v>0.85999999443700004</v>
      </c>
      <c r="CJ6" s="18">
        <v>0.5499999920526667</v>
      </c>
      <c r="CK6" s="285" t="s">
        <v>527</v>
      </c>
      <c r="CL6" s="18">
        <v>2.2356263059999999</v>
      </c>
      <c r="CM6" s="18">
        <v>-2.6255046279999998</v>
      </c>
      <c r="CN6" s="18">
        <v>-0.28727576020000001</v>
      </c>
      <c r="CO6" s="18">
        <v>-0.36684919760000001</v>
      </c>
      <c r="CP6" s="18">
        <v>-0.38237307869999998</v>
      </c>
      <c r="CQ6" s="18">
        <v>-0.89562378090000005</v>
      </c>
      <c r="CR6" s="18">
        <v>-0.47339816200000001</v>
      </c>
      <c r="CS6" s="18">
        <v>-0.26230425260000001</v>
      </c>
      <c r="CT6" s="18">
        <v>-0.58431658519999996</v>
      </c>
      <c r="CY6" s="18">
        <v>-0.2046282478</v>
      </c>
      <c r="CZ6" s="285" t="s">
        <v>527</v>
      </c>
      <c r="DA6" s="68">
        <v>17.558430739999999</v>
      </c>
      <c r="DB6" s="5">
        <v>19.08243186</v>
      </c>
      <c r="DC6" s="5">
        <v>18.5466604</v>
      </c>
      <c r="DD6" s="80">
        <f t="shared" si="1"/>
        <v>18.052545569999999</v>
      </c>
      <c r="DE6" s="68">
        <v>11.75108296</v>
      </c>
      <c r="DF6" s="5">
        <v>10.75994081</v>
      </c>
      <c r="DG6" s="5">
        <v>10.98358457</v>
      </c>
      <c r="DH6" s="80">
        <f t="shared" si="2"/>
        <v>11.367333765</v>
      </c>
      <c r="DI6" s="151">
        <f t="shared" si="3"/>
        <v>-5.8073477799999988</v>
      </c>
      <c r="DJ6" s="24">
        <f t="shared" si="3"/>
        <v>-8.32249105</v>
      </c>
      <c r="DK6" s="294">
        <f t="shared" si="3"/>
        <v>-7.5630758300000007</v>
      </c>
      <c r="DL6" s="244">
        <f t="shared" si="3"/>
        <v>-6.6852118049999998</v>
      </c>
      <c r="DM6" s="295" t="s">
        <v>527</v>
      </c>
      <c r="DN6" s="68">
        <v>5.3392641550000004</v>
      </c>
      <c r="DO6" s="5">
        <v>5.9541947149999999</v>
      </c>
      <c r="DP6" s="5">
        <v>6.3846938120000001</v>
      </c>
      <c r="DQ6" s="3">
        <f t="shared" si="4"/>
        <v>5.8619789835000002</v>
      </c>
      <c r="DR6" s="68">
        <v>3.8848826930000002</v>
      </c>
      <c r="DS6" s="5">
        <v>3.3836650179999999</v>
      </c>
      <c r="DT6" s="5">
        <v>3.4763206229999999</v>
      </c>
      <c r="DU6" s="3">
        <f t="shared" si="5"/>
        <v>3.6806016580000001</v>
      </c>
      <c r="DV6" s="24">
        <f t="shared" si="6"/>
        <v>-1.4543814620000002</v>
      </c>
      <c r="DW6" s="24">
        <f t="shared" si="6"/>
        <v>-2.570529697</v>
      </c>
      <c r="DX6" s="24">
        <f t="shared" si="6"/>
        <v>-2.9083731890000002</v>
      </c>
      <c r="DY6" s="188">
        <f t="shared" si="6"/>
        <v>-2.1813773255000002</v>
      </c>
      <c r="DZ6" s="295" t="s">
        <v>527</v>
      </c>
      <c r="EA6" s="18">
        <v>21.64094746</v>
      </c>
      <c r="EB6" s="18">
        <v>21.95874049</v>
      </c>
      <c r="EC6" s="18">
        <v>33.50654213</v>
      </c>
      <c r="ED6" s="3">
        <f t="shared" si="7"/>
        <v>27.573744795</v>
      </c>
      <c r="EE6" s="18">
        <v>10.90689347</v>
      </c>
      <c r="EF6" s="18">
        <v>10.28401657</v>
      </c>
      <c r="EG6" s="18">
        <v>8.4137012349999996</v>
      </c>
      <c r="EH6" s="3">
        <f t="shared" si="8"/>
        <v>9.6602973524999989</v>
      </c>
      <c r="EI6" s="24">
        <f t="shared" si="9"/>
        <v>-10.73405399</v>
      </c>
      <c r="EJ6" s="24">
        <f t="shared" si="9"/>
        <v>-11.67472392</v>
      </c>
      <c r="EK6" s="24">
        <f t="shared" si="9"/>
        <v>-25.092840895000002</v>
      </c>
      <c r="EL6" s="188">
        <f t="shared" si="9"/>
        <v>-17.913447442500001</v>
      </c>
      <c r="EM6" s="295" t="s">
        <v>527</v>
      </c>
      <c r="EN6" s="151" t="s">
        <v>472</v>
      </c>
      <c r="EO6" s="244">
        <v>20.044473781392199</v>
      </c>
      <c r="EP6" s="151" t="s">
        <v>473</v>
      </c>
      <c r="EQ6" s="244">
        <v>33.550853659011999</v>
      </c>
      <c r="ER6" s="244">
        <f t="shared" si="14"/>
        <v>26.797663720202099</v>
      </c>
      <c r="ES6" s="18">
        <v>7</v>
      </c>
      <c r="ET6" s="18">
        <v>15</v>
      </c>
      <c r="EU6" s="18">
        <v>29</v>
      </c>
      <c r="EV6" s="18">
        <v>-1</v>
      </c>
      <c r="EW6" s="18">
        <v>6</v>
      </c>
      <c r="EX6" s="18">
        <v>3</v>
      </c>
      <c r="EY6" s="18">
        <v>59</v>
      </c>
      <c r="EZ6" s="5">
        <v>-2.6255046279999998</v>
      </c>
      <c r="FA6" s="18">
        <v>-25.470634499316269</v>
      </c>
      <c r="FB6" s="310">
        <v>4</v>
      </c>
      <c r="FC6" s="5">
        <v>79</v>
      </c>
      <c r="FD6" s="18">
        <v>39</v>
      </c>
      <c r="FE6" s="340">
        <v>13</v>
      </c>
      <c r="FF6" s="18">
        <v>0.83400000445530398</v>
      </c>
      <c r="FG6" s="18">
        <v>0.33333333333333331</v>
      </c>
      <c r="FH6" s="18">
        <v>1</v>
      </c>
      <c r="FI6" s="18">
        <v>0.76333332061766657</v>
      </c>
      <c r="FJ6" s="18">
        <v>0.99333333969100002</v>
      </c>
      <c r="FK6" s="18">
        <v>0.5714285714285714</v>
      </c>
      <c r="FL6" s="18">
        <v>0.48833332614341335</v>
      </c>
      <c r="FM6" s="18">
        <v>0.66999999992549331</v>
      </c>
      <c r="FN6" s="18">
        <v>1</v>
      </c>
      <c r="FO6" s="18">
        <v>0.85999999443700004</v>
      </c>
      <c r="FP6" s="18">
        <v>0.5499999920526667</v>
      </c>
      <c r="FQ6" s="322">
        <v>-4</v>
      </c>
      <c r="FR6" s="5">
        <v>14</v>
      </c>
      <c r="FS6" s="5">
        <v>13</v>
      </c>
      <c r="FT6" s="259">
        <v>0.83600000441059996</v>
      </c>
      <c r="FU6" s="72">
        <v>0.33333333333333331</v>
      </c>
      <c r="FV6" s="260">
        <v>1</v>
      </c>
      <c r="FW6" s="261">
        <v>0.76333332061766657</v>
      </c>
      <c r="FX6" s="154">
        <v>0.99333333969100002</v>
      </c>
      <c r="FY6" s="262">
        <v>0.5714285714285714</v>
      </c>
      <c r="FZ6" s="263">
        <v>0.48833332614341335</v>
      </c>
      <c r="GA6" s="264">
        <v>0.66999999992549331</v>
      </c>
      <c r="GB6" s="265">
        <v>1</v>
      </c>
      <c r="GC6" s="266">
        <v>0.85999999443700004</v>
      </c>
      <c r="GD6" s="267">
        <v>0.5499999920526667</v>
      </c>
      <c r="GE6" s="5">
        <v>-2.6255046279999998</v>
      </c>
      <c r="GF6" s="18">
        <v>7</v>
      </c>
      <c r="GG6" s="18">
        <v>15</v>
      </c>
      <c r="GH6" s="18">
        <v>29</v>
      </c>
      <c r="GI6" s="18">
        <v>-1</v>
      </c>
      <c r="GJ6" s="18">
        <v>6</v>
      </c>
      <c r="GK6" s="18">
        <v>3</v>
      </c>
      <c r="GL6" s="18">
        <v>59</v>
      </c>
      <c r="GN6" s="5">
        <v>144</v>
      </c>
      <c r="GO6" s="5">
        <v>81</v>
      </c>
      <c r="GP6" s="5">
        <v>148</v>
      </c>
      <c r="GQ6" s="5">
        <v>84</v>
      </c>
      <c r="GR6" s="5">
        <v>147</v>
      </c>
      <c r="GS6" s="144">
        <v>7.0000000298000006E-2</v>
      </c>
      <c r="GT6" s="18">
        <v>81.743200000000002</v>
      </c>
      <c r="GU6" s="18">
        <v>75.839699999999993</v>
      </c>
      <c r="GV6" s="3">
        <f t="shared" si="15"/>
        <v>5.9035000000000082</v>
      </c>
      <c r="GW6" s="5">
        <f t="shared" si="16"/>
        <v>1.077841816357396</v>
      </c>
      <c r="GX6" s="18">
        <f t="shared" si="17"/>
        <v>3.2555028639281808E-2</v>
      </c>
      <c r="GY6" s="18">
        <v>65.473500000000001</v>
      </c>
      <c r="GZ6" s="18">
        <v>61.957000000000001</v>
      </c>
      <c r="HA6" s="3">
        <f t="shared" si="18"/>
        <v>3.5165000000000006</v>
      </c>
      <c r="HB6" s="18">
        <f t="shared" si="19"/>
        <v>1.0567571057346223</v>
      </c>
      <c r="HC6" s="18">
        <v>73.004499999999993</v>
      </c>
      <c r="HD6" s="18">
        <v>68.792699999999996</v>
      </c>
      <c r="HE6" s="3">
        <f t="shared" si="20"/>
        <v>4.2117999999999967</v>
      </c>
      <c r="HF6" s="18">
        <f t="shared" si="21"/>
        <v>1.061224519462094</v>
      </c>
      <c r="HG6" s="18">
        <v>37.793399999999998</v>
      </c>
      <c r="HH6" s="18">
        <v>50.8215</v>
      </c>
      <c r="HI6" s="3">
        <f t="shared" si="22"/>
        <v>-13.028100000000002</v>
      </c>
      <c r="HJ6" s="18">
        <f t="shared" si="23"/>
        <v>0.74364983323986888</v>
      </c>
      <c r="HK6" s="5">
        <v>98.864000000000004</v>
      </c>
      <c r="HL6" s="5">
        <v>82.117999999999995</v>
      </c>
      <c r="HM6" s="3">
        <f t="shared" si="24"/>
        <v>16.746000000000009</v>
      </c>
      <c r="HN6" s="5">
        <f t="shared" si="60"/>
        <v>1.2039260576243942</v>
      </c>
      <c r="HO6" s="18">
        <v>57.353999999999999</v>
      </c>
      <c r="HP6" s="18">
        <v>55.606999999999999</v>
      </c>
      <c r="HQ6" s="3">
        <f t="shared" si="25"/>
        <v>1.7469999999999999</v>
      </c>
      <c r="HR6" s="18">
        <f t="shared" si="26"/>
        <v>1.0314169079432445</v>
      </c>
      <c r="HS6" s="18">
        <v>66.083799999999997</v>
      </c>
      <c r="HT6" s="18">
        <v>63.857500000000002</v>
      </c>
      <c r="HU6" s="3">
        <f t="shared" si="27"/>
        <v>2.2262999999999948</v>
      </c>
      <c r="HV6" s="18">
        <f t="shared" si="28"/>
        <v>1.0348635634028891</v>
      </c>
      <c r="HW6" s="18">
        <v>67.819000000000003</v>
      </c>
      <c r="HX6" s="18">
        <v>64.629199999999997</v>
      </c>
      <c r="HY6" s="3">
        <f t="shared" si="29"/>
        <v>3.1898000000000053</v>
      </c>
      <c r="HZ6" s="18">
        <f t="shared" si="30"/>
        <v>1.0493553997264395</v>
      </c>
      <c r="IA6" s="18">
        <v>58.036700000000003</v>
      </c>
      <c r="IB6" s="18">
        <v>55.013800000000003</v>
      </c>
      <c r="IC6" s="3">
        <f t="shared" si="31"/>
        <v>3.0228999999999999</v>
      </c>
      <c r="ID6" s="18">
        <f t="shared" si="32"/>
        <v>1.0549480312212571</v>
      </c>
      <c r="IE6" s="18">
        <v>52.890300000000003</v>
      </c>
      <c r="IF6" s="18">
        <v>48.123399999999997</v>
      </c>
      <c r="IG6" s="3">
        <f t="shared" si="33"/>
        <v>4.7669000000000068</v>
      </c>
      <c r="IH6" s="18">
        <f t="shared" si="34"/>
        <v>1.0990557608149052</v>
      </c>
      <c r="II6" s="18">
        <v>68.6965</v>
      </c>
      <c r="IJ6" s="18">
        <v>66.501499999999993</v>
      </c>
      <c r="IK6" s="3">
        <f t="shared" si="35"/>
        <v>2.1950000000000074</v>
      </c>
      <c r="IL6" s="18">
        <f t="shared" si="36"/>
        <v>1.0330067742832869</v>
      </c>
      <c r="IM6" s="18">
        <v>82.378699999999995</v>
      </c>
      <c r="IN6" s="18">
        <v>81.69</v>
      </c>
      <c r="IO6" s="3">
        <f t="shared" si="37"/>
        <v>0.6886999999999972</v>
      </c>
      <c r="IP6" s="18">
        <f t="shared" si="38"/>
        <v>1.0084306524666422</v>
      </c>
      <c r="IQ6" s="18">
        <v>52.021500000000003</v>
      </c>
      <c r="IR6" s="18">
        <v>51.782200000000003</v>
      </c>
      <c r="IS6" s="3">
        <f t="shared" si="39"/>
        <v>0.23930000000000007</v>
      </c>
      <c r="IT6" s="18">
        <f t="shared" si="40"/>
        <v>1.0046212791268041</v>
      </c>
      <c r="IU6" s="18">
        <v>60.825200000000002</v>
      </c>
      <c r="IV6" s="18">
        <v>61.548499999999997</v>
      </c>
      <c r="IW6" s="3">
        <f t="shared" si="41"/>
        <v>-0.72329999999999472</v>
      </c>
      <c r="IX6" s="18">
        <f t="shared" si="42"/>
        <v>0.98824829199736797</v>
      </c>
      <c r="IY6" s="18">
        <v>66.689800000000005</v>
      </c>
      <c r="IZ6" s="18">
        <v>67.826800000000006</v>
      </c>
      <c r="JA6" s="3">
        <f t="shared" si="43"/>
        <v>-1.1370000000000005</v>
      </c>
      <c r="JB6" s="18">
        <f t="shared" si="44"/>
        <v>0.98323671469094809</v>
      </c>
      <c r="JC6" s="18">
        <f>LOG(HN6)</f>
        <v>8.0599814370451578E-2</v>
      </c>
      <c r="JD6" s="18">
        <v>26.797663720202099</v>
      </c>
      <c r="JE6" s="18">
        <f t="shared" si="45"/>
        <v>0.26797663720202097</v>
      </c>
      <c r="JG6" s="336" t="s">
        <v>596</v>
      </c>
      <c r="JH6" s="18">
        <v>0.35805442800595899</v>
      </c>
      <c r="JJ6" s="336" t="s">
        <v>596</v>
      </c>
      <c r="JK6" s="18">
        <v>0.248079162137396</v>
      </c>
      <c r="JM6" s="336" t="s">
        <v>596</v>
      </c>
      <c r="JN6" s="18">
        <v>0.17584367794812</v>
      </c>
      <c r="JO6" s="18">
        <f t="shared" si="46"/>
        <v>0.82415632205187994</v>
      </c>
      <c r="JP6" s="336" t="s">
        <v>596</v>
      </c>
      <c r="JQ6" s="18">
        <v>0.46126088843292601</v>
      </c>
      <c r="JT6" s="336" t="s">
        <v>596</v>
      </c>
      <c r="JU6" s="18">
        <v>0.47924233001810501</v>
      </c>
      <c r="JW6" s="336" t="s">
        <v>596</v>
      </c>
      <c r="JX6" s="18">
        <v>0.382428457931349</v>
      </c>
      <c r="JZ6" s="336" t="s">
        <v>596</v>
      </c>
      <c r="KA6" s="18">
        <v>0.24731079821412599</v>
      </c>
      <c r="KC6" s="336" t="s">
        <v>596</v>
      </c>
      <c r="KD6" s="18">
        <v>0.46898677613658901</v>
      </c>
      <c r="KE6" s="68" t="s">
        <v>527</v>
      </c>
      <c r="KF6" s="347">
        <v>9.7999999999999997E-3</v>
      </c>
      <c r="KG6" s="347">
        <v>1.43E-2</v>
      </c>
      <c r="KH6" s="347">
        <f t="shared" si="47"/>
        <v>1.205E-2</v>
      </c>
      <c r="KI6" s="348">
        <v>5.8700000000000002E-2</v>
      </c>
      <c r="KJ6" s="348">
        <v>5.2999999999999999E-2</v>
      </c>
      <c r="KK6" s="348">
        <f t="shared" si="48"/>
        <v>5.5849999999999997E-2</v>
      </c>
      <c r="KL6" s="347">
        <f t="shared" si="49"/>
        <v>4.3799999999999999E-2</v>
      </c>
      <c r="KM6" s="347">
        <f t="shared" si="50"/>
        <v>4.6348547717842319</v>
      </c>
      <c r="KN6" s="354">
        <f t="shared" si="10"/>
        <v>8.512854771784232</v>
      </c>
      <c r="KO6" s="18">
        <f t="shared" si="51"/>
        <v>0.93007522444714386</v>
      </c>
      <c r="KP6" s="18">
        <v>0.93007522444714386</v>
      </c>
      <c r="KQ6" s="340">
        <v>13</v>
      </c>
      <c r="KR6" s="18">
        <v>0.83400000445530398</v>
      </c>
      <c r="KS6" s="18">
        <v>0.33333333333333331</v>
      </c>
      <c r="KT6" s="18">
        <v>1</v>
      </c>
      <c r="KU6" s="18">
        <v>0.76333332061766657</v>
      </c>
      <c r="KV6" s="18">
        <v>0.99333333969100002</v>
      </c>
      <c r="KW6" s="18">
        <v>0.5714285714285714</v>
      </c>
      <c r="KX6" s="18">
        <v>0.48833332614341335</v>
      </c>
      <c r="KY6" s="18">
        <v>0.66999999992549331</v>
      </c>
      <c r="KZ6" s="18">
        <v>1</v>
      </c>
      <c r="LA6" s="18">
        <v>0.85999999443700004</v>
      </c>
      <c r="LB6" s="18">
        <v>0.5499999920526667</v>
      </c>
      <c r="LC6" s="358" t="s">
        <v>626</v>
      </c>
      <c r="LD6" s="358">
        <v>13</v>
      </c>
      <c r="LE6" s="358">
        <v>20</v>
      </c>
      <c r="LF6" s="358">
        <v>20</v>
      </c>
      <c r="LG6" s="358">
        <v>10.5</v>
      </c>
      <c r="LH6" s="358">
        <v>9.5</v>
      </c>
      <c r="LI6" s="358">
        <v>2</v>
      </c>
      <c r="LJ6" s="144">
        <v>7.0000000298000006E-2</v>
      </c>
      <c r="LK6" s="158" t="s">
        <v>527</v>
      </c>
      <c r="LL6" s="68">
        <v>0.51800000000000002</v>
      </c>
      <c r="LM6" s="5">
        <v>0.51219999999999999</v>
      </c>
      <c r="LN6" s="5">
        <f t="shared" si="52"/>
        <v>0.5151</v>
      </c>
      <c r="LO6" s="5">
        <v>0.57950000000000002</v>
      </c>
      <c r="LP6" s="5">
        <v>0.59150000000000003</v>
      </c>
      <c r="LQ6" s="80">
        <f t="shared" si="53"/>
        <v>0.58550000000000002</v>
      </c>
      <c r="LR6" s="77">
        <f t="shared" si="54"/>
        <v>-7.0400000000000018E-2</v>
      </c>
      <c r="LS6" s="68">
        <v>9.8969000000000005</v>
      </c>
      <c r="LT6" s="5">
        <v>9.1379999999999999</v>
      </c>
      <c r="LU6" s="5">
        <f t="shared" si="55"/>
        <v>9.5174500000000002</v>
      </c>
      <c r="LV6" s="5">
        <v>16.657599999999999</v>
      </c>
      <c r="LW6" s="5">
        <v>18.543900000000001</v>
      </c>
      <c r="LX6" s="80">
        <f t="shared" si="56"/>
        <v>17.600749999999998</v>
      </c>
      <c r="LY6" s="77">
        <f t="shared" si="57"/>
        <v>-8.0832999999999977</v>
      </c>
      <c r="LZ6" s="68">
        <v>1.0285</v>
      </c>
      <c r="MA6" s="5">
        <v>1.0326</v>
      </c>
      <c r="MB6" s="5">
        <f>AVERAGE(LZ6:MA6)</f>
        <v>1.0305499999999999</v>
      </c>
      <c r="MC6" s="5">
        <v>0.93240000000000001</v>
      </c>
      <c r="MD6" s="5">
        <v>0.91449999999999998</v>
      </c>
      <c r="ME6" s="80">
        <f>AVERAGE(MC6:MD6)</f>
        <v>0.92344999999999999</v>
      </c>
      <c r="MF6" s="77">
        <f t="shared" si="58"/>
        <v>0.10709999999999986</v>
      </c>
      <c r="MG6" s="68">
        <v>0.35670000000000002</v>
      </c>
      <c r="MH6" s="5">
        <v>0.35659999999999997</v>
      </c>
      <c r="MI6" s="5">
        <f>AVERAGE(MG6:MH6)</f>
        <v>0.35665000000000002</v>
      </c>
      <c r="MJ6" s="5">
        <v>0.51600000000000001</v>
      </c>
      <c r="MK6" s="5">
        <v>0.53910000000000002</v>
      </c>
      <c r="ML6" s="80">
        <f>AVERAGE(MJ6:MK6)</f>
        <v>0.52754999999999996</v>
      </c>
      <c r="MM6" s="77">
        <f t="shared" si="59"/>
        <v>-0.17089999999999994</v>
      </c>
      <c r="MO6" s="5">
        <v>1.09176501</v>
      </c>
      <c r="MP6" s="5">
        <v>1.5676965709999999</v>
      </c>
      <c r="MQ6" s="5">
        <v>2.881681189</v>
      </c>
      <c r="MR6" s="5">
        <v>1.164925768</v>
      </c>
      <c r="MS6" s="292">
        <v>1.533247435</v>
      </c>
      <c r="MT6" s="18">
        <v>-2.6255046279999998</v>
      </c>
      <c r="MU6" s="18">
        <v>1.2299131910000001</v>
      </c>
      <c r="MV6" s="18">
        <v>1.1511225709999999</v>
      </c>
      <c r="MW6" s="18">
        <v>1.1954893740000001</v>
      </c>
    </row>
    <row r="7" spans="1:361" s="18" customFormat="1" ht="15" customHeight="1" x14ac:dyDescent="0.2">
      <c r="A7" s="3" t="s">
        <v>4</v>
      </c>
      <c r="B7" s="5">
        <v>0</v>
      </c>
      <c r="C7" s="5">
        <v>4</v>
      </c>
      <c r="D7" s="5">
        <v>27</v>
      </c>
      <c r="E7" s="5">
        <v>33</v>
      </c>
      <c r="F7" s="5">
        <v>47</v>
      </c>
      <c r="G7" s="18">
        <v>53</v>
      </c>
      <c r="H7" s="24">
        <v>108</v>
      </c>
      <c r="I7" s="5">
        <v>19</v>
      </c>
      <c r="J7" s="5">
        <v>136</v>
      </c>
      <c r="K7" s="5">
        <v>137</v>
      </c>
      <c r="L7" s="5">
        <v>110</v>
      </c>
      <c r="M7" s="5">
        <v>52</v>
      </c>
      <c r="N7" s="5">
        <v>131</v>
      </c>
      <c r="O7" s="5">
        <v>2.5</v>
      </c>
      <c r="P7" s="5">
        <v>-2</v>
      </c>
      <c r="Q7" s="5">
        <v>-1</v>
      </c>
      <c r="R7" s="5">
        <v>0</v>
      </c>
      <c r="S7" s="5">
        <v>18</v>
      </c>
      <c r="T7" s="18">
        <v>11</v>
      </c>
      <c r="U7" s="5">
        <v>0</v>
      </c>
      <c r="V7" s="5">
        <v>-13</v>
      </c>
      <c r="W7" s="5">
        <v>-4</v>
      </c>
      <c r="X7" s="5">
        <v>4</v>
      </c>
      <c r="Y7" s="5">
        <v>2</v>
      </c>
      <c r="Z7" s="92">
        <v>7.9939402631579004E-2</v>
      </c>
      <c r="AA7" s="88">
        <v>13.5</v>
      </c>
      <c r="AB7" s="68">
        <v>87</v>
      </c>
      <c r="AC7" s="5">
        <v>77</v>
      </c>
      <c r="AD7" s="5">
        <v>108</v>
      </c>
      <c r="AE7" s="80">
        <v>91</v>
      </c>
      <c r="AF7" s="179">
        <v>4</v>
      </c>
      <c r="AG7" s="154">
        <v>8</v>
      </c>
      <c r="AH7" s="154">
        <v>-5</v>
      </c>
      <c r="AI7" s="154">
        <v>2</v>
      </c>
      <c r="AJ7" s="68">
        <v>91</v>
      </c>
      <c r="AK7" s="5">
        <v>85</v>
      </c>
      <c r="AL7" s="5">
        <v>103</v>
      </c>
      <c r="AM7" s="80">
        <v>93</v>
      </c>
      <c r="AN7" s="68">
        <v>87</v>
      </c>
      <c r="AO7" s="5">
        <v>77</v>
      </c>
      <c r="AP7" s="5">
        <v>108</v>
      </c>
      <c r="AQ7" s="80">
        <v>91</v>
      </c>
      <c r="AR7" s="68">
        <v>91</v>
      </c>
      <c r="AS7" s="5">
        <v>85</v>
      </c>
      <c r="AT7" s="5">
        <v>103</v>
      </c>
      <c r="AU7" s="80">
        <v>93</v>
      </c>
      <c r="AV7" s="179">
        <f t="shared" si="11"/>
        <v>-4</v>
      </c>
      <c r="AW7" s="179">
        <f t="shared" si="0"/>
        <v>-8</v>
      </c>
      <c r="AX7" s="179">
        <f t="shared" si="0"/>
        <v>5</v>
      </c>
      <c r="AY7" s="179">
        <f t="shared" si="0"/>
        <v>-2</v>
      </c>
      <c r="AZ7" s="9">
        <v>1.2413793103448276</v>
      </c>
      <c r="BA7" s="77">
        <v>0.10951117847669578</v>
      </c>
      <c r="BB7" s="18">
        <v>0.88505747126436785</v>
      </c>
      <c r="BC7" s="77">
        <v>-4.9008462801566233E-2</v>
      </c>
      <c r="BD7" s="154">
        <v>0.87999999523200001</v>
      </c>
      <c r="BE7" s="144">
        <v>0.23000000417200001</v>
      </c>
      <c r="BF7" s="5">
        <v>-1</v>
      </c>
      <c r="BG7" s="5">
        <v>-2</v>
      </c>
      <c r="BK7" s="18" t="s">
        <v>4</v>
      </c>
      <c r="BL7" s="18">
        <v>1</v>
      </c>
      <c r="BM7" s="18">
        <v>1</v>
      </c>
      <c r="BN7" s="18">
        <v>0</v>
      </c>
      <c r="BO7" s="18">
        <v>-3</v>
      </c>
      <c r="BP7" s="18">
        <v>-2</v>
      </c>
      <c r="BQ7" s="138"/>
      <c r="BR7" s="138"/>
      <c r="BS7" s="138"/>
      <c r="BT7" s="138"/>
      <c r="BU7" s="138"/>
      <c r="BV7" s="222"/>
      <c r="BW7" s="18">
        <v>0.81000000238400005</v>
      </c>
      <c r="BX7" s="18">
        <v>0.310000002384</v>
      </c>
      <c r="BY7" s="18">
        <f t="shared" si="13"/>
        <v>0.5</v>
      </c>
      <c r="BZ7" s="3">
        <v>0.45199999362238003</v>
      </c>
      <c r="CA7" s="18">
        <v>0.37999999957780001</v>
      </c>
      <c r="CB7" s="18">
        <v>0.48999999463566662</v>
      </c>
      <c r="CC7" s="18">
        <v>0.530000006159</v>
      </c>
      <c r="CD7" s="18">
        <v>0.69999998807899999</v>
      </c>
      <c r="CE7" s="18">
        <v>0.62571428929071427</v>
      </c>
      <c r="CF7" s="18">
        <v>0.50166667004416665</v>
      </c>
      <c r="CG7" s="18">
        <v>0.93000000715266662</v>
      </c>
      <c r="CH7" s="18">
        <v>0.98333332935966666</v>
      </c>
      <c r="CI7" s="18">
        <v>1</v>
      </c>
      <c r="CJ7" s="18">
        <v>0.29666666686533333</v>
      </c>
      <c r="CY7" s="18">
        <v>-0.1820958147</v>
      </c>
      <c r="DA7" s="68"/>
      <c r="DB7" s="5"/>
      <c r="DC7" s="5"/>
      <c r="DD7" s="80"/>
      <c r="DE7" s="68"/>
      <c r="DF7" s="5"/>
      <c r="DG7" s="5"/>
      <c r="DH7" s="80"/>
      <c r="DI7" s="68"/>
      <c r="DJ7" s="5"/>
      <c r="DK7" s="5"/>
      <c r="DL7" s="80"/>
      <c r="DN7" s="68"/>
      <c r="DO7" s="5"/>
      <c r="DP7" s="5"/>
      <c r="DQ7" s="3"/>
      <c r="DR7" s="68"/>
      <c r="DS7" s="5"/>
      <c r="DT7" s="5"/>
      <c r="DU7" s="3"/>
      <c r="DY7" s="3"/>
      <c r="ED7" s="3"/>
      <c r="EH7" s="3"/>
      <c r="EL7" s="3"/>
      <c r="EN7" s="195"/>
      <c r="EO7" s="196"/>
      <c r="EP7" s="195"/>
      <c r="EQ7" s="196"/>
      <c r="ER7" s="196"/>
      <c r="ES7" s="18">
        <v>4</v>
      </c>
      <c r="ET7" s="18">
        <v>15</v>
      </c>
      <c r="EU7" s="18">
        <v>21</v>
      </c>
      <c r="EV7" s="18">
        <v>1</v>
      </c>
      <c r="EW7" s="18">
        <v>5</v>
      </c>
      <c r="EX7" s="18">
        <v>9</v>
      </c>
      <c r="EY7" s="18">
        <v>55</v>
      </c>
      <c r="EZ7" s="222"/>
      <c r="FA7" s="222"/>
      <c r="FB7" s="310">
        <v>5</v>
      </c>
      <c r="FC7" s="5">
        <v>33</v>
      </c>
      <c r="FD7" s="18">
        <v>53</v>
      </c>
      <c r="FE7" s="340">
        <v>13.5</v>
      </c>
      <c r="FF7" s="18">
        <v>0.44399999380119604</v>
      </c>
      <c r="FG7" s="18">
        <v>0.37666666631897333</v>
      </c>
      <c r="FH7" s="18">
        <v>0.47333332834154662</v>
      </c>
      <c r="FI7" s="18">
        <v>0.52666667290017333</v>
      </c>
      <c r="FJ7" s="18">
        <v>0.59666665767636662</v>
      </c>
      <c r="FK7" s="18">
        <v>0.58571429018471999</v>
      </c>
      <c r="FL7" s="18">
        <v>0.49166667026767996</v>
      </c>
      <c r="FM7" s="18">
        <v>0.81000000238433323</v>
      </c>
      <c r="FN7" s="18">
        <v>0.73333332935966666</v>
      </c>
      <c r="FO7" s="18">
        <v>0.86000000188766668</v>
      </c>
      <c r="FP7" s="18">
        <v>0.29000000034767998</v>
      </c>
      <c r="FQ7" s="322">
        <v>-1</v>
      </c>
      <c r="FR7" s="5">
        <v>0</v>
      </c>
      <c r="FS7" s="5">
        <v>2</v>
      </c>
      <c r="FT7" s="259">
        <v>0.45199999362238003</v>
      </c>
      <c r="FU7" s="72">
        <v>0.37999999957780001</v>
      </c>
      <c r="FV7" s="260">
        <v>0.48999999463566662</v>
      </c>
      <c r="FW7" s="261">
        <v>0.530000006159</v>
      </c>
      <c r="FX7" s="154">
        <v>0.69999998807899999</v>
      </c>
      <c r="FY7" s="262">
        <v>0.62571428929071427</v>
      </c>
      <c r="FZ7" s="263">
        <v>0.50166667004416665</v>
      </c>
      <c r="GA7" s="264">
        <v>0.93000000715266662</v>
      </c>
      <c r="GB7" s="265">
        <v>0.98333332935966666</v>
      </c>
      <c r="GC7" s="266">
        <v>1</v>
      </c>
      <c r="GD7" s="267">
        <v>0.29666666686533333</v>
      </c>
      <c r="GE7" s="222"/>
      <c r="GF7" s="18">
        <v>4</v>
      </c>
      <c r="GG7" s="18">
        <v>15</v>
      </c>
      <c r="GH7" s="18">
        <v>21</v>
      </c>
      <c r="GI7" s="18">
        <v>1</v>
      </c>
      <c r="GJ7" s="18">
        <v>5</v>
      </c>
      <c r="GK7" s="18">
        <v>9</v>
      </c>
      <c r="GL7" s="18">
        <v>55</v>
      </c>
      <c r="GN7" s="5">
        <v>136</v>
      </c>
      <c r="GO7" s="5">
        <v>137</v>
      </c>
      <c r="GP7" s="5">
        <v>110</v>
      </c>
      <c r="GQ7" s="5">
        <v>52</v>
      </c>
      <c r="GR7" s="5">
        <v>131</v>
      </c>
      <c r="GS7" s="144">
        <v>0.23000000417200001</v>
      </c>
      <c r="GT7" s="222"/>
      <c r="GU7" s="222"/>
      <c r="GV7" s="373"/>
      <c r="GW7" s="79"/>
      <c r="GY7" s="222"/>
      <c r="GZ7" s="222"/>
      <c r="HA7" s="373"/>
      <c r="HB7" s="222"/>
      <c r="HC7" s="222"/>
      <c r="HD7" s="222"/>
      <c r="HE7" s="373"/>
      <c r="HF7" s="222"/>
      <c r="HG7" s="222"/>
      <c r="HH7" s="222"/>
      <c r="HI7" s="373"/>
      <c r="HJ7" s="222"/>
      <c r="HK7" s="79"/>
      <c r="HL7" s="79"/>
      <c r="HM7" s="373"/>
      <c r="HN7" s="79"/>
      <c r="HQ7" s="3"/>
      <c r="HU7" s="3"/>
      <c r="HY7" s="3"/>
      <c r="IC7" s="3">
        <f t="shared" si="31"/>
        <v>0</v>
      </c>
      <c r="IG7" s="3"/>
      <c r="IK7" s="3"/>
      <c r="IO7" s="3"/>
      <c r="IS7" s="3"/>
      <c r="IW7" s="3"/>
      <c r="JA7" s="3"/>
      <c r="JF7" s="18">
        <v>5</v>
      </c>
      <c r="JG7" s="138"/>
      <c r="JH7" s="138"/>
      <c r="JI7" s="138"/>
      <c r="JJ7" s="138"/>
      <c r="JK7" s="138"/>
      <c r="JL7" s="138"/>
      <c r="JM7" s="138"/>
      <c r="JN7" s="138"/>
      <c r="JP7" s="138"/>
      <c r="JQ7" s="138"/>
      <c r="JR7" s="138"/>
      <c r="JS7" s="138"/>
      <c r="JT7" s="138"/>
      <c r="JU7" s="138"/>
      <c r="JV7" s="138"/>
      <c r="JW7" s="138"/>
      <c r="JX7" s="138"/>
      <c r="JY7" s="138"/>
      <c r="JZ7" s="138"/>
      <c r="KA7" s="138"/>
      <c r="KB7" s="138"/>
      <c r="KC7" s="138"/>
      <c r="KD7" s="138"/>
      <c r="KE7" s="107"/>
      <c r="KF7" s="349"/>
      <c r="KG7" s="349"/>
      <c r="KH7" s="349"/>
      <c r="KI7" s="349"/>
      <c r="KJ7" s="349"/>
      <c r="KK7" s="349"/>
      <c r="KL7" s="349"/>
      <c r="KM7" s="349"/>
      <c r="KN7" s="355"/>
      <c r="KO7" s="145"/>
      <c r="KP7" s="145"/>
      <c r="KQ7" s="340">
        <v>13.5</v>
      </c>
      <c r="KR7" s="18">
        <v>0.44399999380119604</v>
      </c>
      <c r="KS7" s="18">
        <v>0.37666666631897333</v>
      </c>
      <c r="KT7" s="18">
        <v>0.47333332834154662</v>
      </c>
      <c r="KU7" s="18">
        <v>0.52666667290017333</v>
      </c>
      <c r="KV7" s="18">
        <v>0.59666665767636662</v>
      </c>
      <c r="KW7" s="18">
        <v>0.58571429018471999</v>
      </c>
      <c r="KX7" s="18">
        <v>0.49166667026767996</v>
      </c>
      <c r="KY7" s="18">
        <v>0.81000000238433323</v>
      </c>
      <c r="KZ7" s="18">
        <v>0.73333332935966666</v>
      </c>
      <c r="LA7" s="18">
        <v>0.86000000188766668</v>
      </c>
      <c r="LB7" s="18">
        <v>0.29000000034767998</v>
      </c>
      <c r="LC7" s="358" t="s">
        <v>627</v>
      </c>
      <c r="LD7" s="358">
        <v>13.5</v>
      </c>
      <c r="LE7" s="358">
        <v>7.5</v>
      </c>
      <c r="LF7" s="358">
        <v>4</v>
      </c>
      <c r="LG7" s="358">
        <v>14.5</v>
      </c>
      <c r="LH7" s="358">
        <v>1</v>
      </c>
      <c r="LI7" s="358">
        <v>1.5</v>
      </c>
      <c r="LJ7" s="144">
        <v>0.23000000417200001</v>
      </c>
      <c r="LK7" s="145"/>
      <c r="LL7" s="107"/>
      <c r="LM7" s="108"/>
      <c r="LN7" s="5"/>
      <c r="LO7" s="108"/>
      <c r="LP7" s="108"/>
      <c r="LQ7" s="80"/>
      <c r="LR7" s="77"/>
      <c r="LS7" s="107"/>
      <c r="LT7" s="108"/>
      <c r="LU7" s="5"/>
      <c r="LV7" s="108"/>
      <c r="LW7" s="108"/>
      <c r="LX7" s="80"/>
      <c r="LY7" s="77"/>
      <c r="LZ7" s="107"/>
      <c r="MA7" s="108"/>
      <c r="MB7" s="5"/>
      <c r="MC7" s="108"/>
      <c r="MD7" s="108"/>
      <c r="ME7" s="80"/>
      <c r="MF7" s="77"/>
      <c r="MG7" s="107"/>
      <c r="MH7" s="108"/>
      <c r="MI7" s="5"/>
      <c r="MJ7" s="108"/>
      <c r="MK7" s="108"/>
      <c r="ML7" s="80"/>
      <c r="MM7" s="77"/>
    </row>
    <row r="8" spans="1:361" s="18" customFormat="1" ht="15.75" customHeight="1" x14ac:dyDescent="0.2">
      <c r="A8" s="3" t="s">
        <v>5</v>
      </c>
      <c r="B8" s="79"/>
      <c r="C8" s="327"/>
      <c r="D8" s="327"/>
      <c r="E8" s="5">
        <v>81</v>
      </c>
      <c r="F8" s="5">
        <v>54</v>
      </c>
      <c r="G8" s="18">
        <v>37</v>
      </c>
      <c r="H8" s="24">
        <v>117</v>
      </c>
      <c r="I8" s="5">
        <v>15</v>
      </c>
      <c r="J8" s="5">
        <v>134</v>
      </c>
      <c r="K8" s="5">
        <v>106</v>
      </c>
      <c r="L8" s="5">
        <v>126</v>
      </c>
      <c r="M8" s="5">
        <v>91</v>
      </c>
      <c r="N8" s="5">
        <v>162</v>
      </c>
      <c r="O8" s="5">
        <v>0</v>
      </c>
      <c r="P8" s="5">
        <v>1</v>
      </c>
      <c r="Q8" s="5">
        <v>-1</v>
      </c>
      <c r="R8" s="5">
        <v>1</v>
      </c>
      <c r="S8" s="5">
        <v>12</v>
      </c>
      <c r="T8" s="18">
        <v>6</v>
      </c>
      <c r="U8" s="5">
        <v>-1</v>
      </c>
      <c r="V8" s="5">
        <v>7</v>
      </c>
      <c r="W8" s="5">
        <v>-5</v>
      </c>
      <c r="X8" s="5">
        <v>-6</v>
      </c>
      <c r="Y8" s="5">
        <v>-1</v>
      </c>
      <c r="Z8" s="92">
        <v>3.0615902631578998E-2</v>
      </c>
      <c r="AA8" s="88">
        <v>11</v>
      </c>
      <c r="AB8" s="68">
        <v>94</v>
      </c>
      <c r="AC8" s="5">
        <v>88</v>
      </c>
      <c r="AD8" s="5">
        <v>111</v>
      </c>
      <c r="AE8" s="80">
        <v>98</v>
      </c>
      <c r="AF8" s="179">
        <v>-12</v>
      </c>
      <c r="AG8" s="154">
        <v>-8</v>
      </c>
      <c r="AH8" s="154">
        <v>-16</v>
      </c>
      <c r="AI8" s="154">
        <v>-12</v>
      </c>
      <c r="AJ8" s="68">
        <v>82</v>
      </c>
      <c r="AK8" s="5">
        <v>80</v>
      </c>
      <c r="AL8" s="5">
        <v>95</v>
      </c>
      <c r="AM8" s="80">
        <v>86</v>
      </c>
      <c r="AN8" s="68">
        <v>94</v>
      </c>
      <c r="AO8" s="5">
        <v>88</v>
      </c>
      <c r="AP8" s="5">
        <v>111</v>
      </c>
      <c r="AQ8" s="80">
        <v>98</v>
      </c>
      <c r="AR8" s="68">
        <v>82</v>
      </c>
      <c r="AS8" s="5">
        <v>80</v>
      </c>
      <c r="AT8" s="5">
        <v>95</v>
      </c>
      <c r="AU8" s="80">
        <v>86</v>
      </c>
      <c r="AV8" s="179">
        <f t="shared" si="11"/>
        <v>12</v>
      </c>
      <c r="AW8" s="179">
        <f t="shared" si="0"/>
        <v>8</v>
      </c>
      <c r="AX8" s="179">
        <f t="shared" si="0"/>
        <v>16</v>
      </c>
      <c r="AY8" s="179">
        <f t="shared" si="0"/>
        <v>12</v>
      </c>
      <c r="AZ8" s="9">
        <v>1.1808510638297873</v>
      </c>
      <c r="BA8" s="77">
        <v>2.2314478463933751E-2</v>
      </c>
      <c r="BB8" s="18">
        <v>0.93617021276595747</v>
      </c>
      <c r="BC8" s="77">
        <v>-3.9439543331603488E-2</v>
      </c>
      <c r="BD8" s="154">
        <v>0.28000000000000003</v>
      </c>
      <c r="BE8" s="144">
        <v>0.08</v>
      </c>
      <c r="BF8" s="5">
        <v>-1</v>
      </c>
      <c r="BG8" s="5">
        <v>1</v>
      </c>
      <c r="BK8" s="18" t="s">
        <v>5</v>
      </c>
      <c r="BL8" s="18">
        <v>3</v>
      </c>
      <c r="BM8" s="18">
        <v>5</v>
      </c>
      <c r="BN8" s="18">
        <v>4</v>
      </c>
      <c r="BO8" s="18">
        <v>14</v>
      </c>
      <c r="BP8" s="18">
        <v>23</v>
      </c>
      <c r="BQ8" s="138" t="s">
        <v>474</v>
      </c>
      <c r="BR8" s="138">
        <v>-2.3043923203627099E-27</v>
      </c>
      <c r="BS8" s="138" t="s">
        <v>475</v>
      </c>
      <c r="BT8" s="138">
        <v>-2.4376562637894699E-27</v>
      </c>
      <c r="BU8" s="138">
        <f t="shared" si="12"/>
        <v>-2.3710242920760897E-27</v>
      </c>
      <c r="BW8" s="18">
        <v>0.04</v>
      </c>
      <c r="BX8" s="18">
        <v>0</v>
      </c>
      <c r="BY8" s="18">
        <f t="shared" si="13"/>
        <v>0.04</v>
      </c>
      <c r="BZ8" s="3">
        <v>2.1999999999999999E-2</v>
      </c>
      <c r="CA8" s="18">
        <v>0.03</v>
      </c>
      <c r="CB8" s="18">
        <v>3.3333333333333333E-2</v>
      </c>
      <c r="CC8" s="18">
        <v>0.02</v>
      </c>
      <c r="CD8" s="18">
        <v>0.02</v>
      </c>
      <c r="CE8" s="18">
        <v>0.02</v>
      </c>
      <c r="CF8" s="18">
        <v>2.3333333333333334E-2</v>
      </c>
      <c r="CG8" s="18">
        <v>4.9999999999999996E-2</v>
      </c>
      <c r="CH8" s="18">
        <v>0.02</v>
      </c>
      <c r="CI8" s="18">
        <v>0.02</v>
      </c>
      <c r="CJ8" s="18">
        <v>0.02</v>
      </c>
      <c r="CK8" s="296" t="s">
        <v>528</v>
      </c>
      <c r="CL8" s="18">
        <v>-0.93770227250000004</v>
      </c>
      <c r="CM8" s="18">
        <v>-2.3296673989999999</v>
      </c>
      <c r="CN8" s="18">
        <v>-0.43593042440000002</v>
      </c>
      <c r="CO8" s="18">
        <v>-0.34233468389999999</v>
      </c>
      <c r="CP8" s="18">
        <v>-0.38203062939999999</v>
      </c>
      <c r="CQ8" s="18">
        <v>-0.3960370788</v>
      </c>
      <c r="CR8" s="18">
        <v>-0.50748207099999998</v>
      </c>
      <c r="CS8" s="18">
        <v>-0.1701350174</v>
      </c>
      <c r="CT8" s="18">
        <v>-0.44343836580000001</v>
      </c>
      <c r="CY8" s="18">
        <v>0.16830998289999999</v>
      </c>
      <c r="CZ8" s="296" t="s">
        <v>528</v>
      </c>
      <c r="DA8" s="68">
        <v>16.957525820000001</v>
      </c>
      <c r="DB8" s="5">
        <v>23.4313389</v>
      </c>
      <c r="DC8" s="5">
        <v>20.321211760000001</v>
      </c>
      <c r="DD8" s="80">
        <f>AVERAGE(DA8,DC8)</f>
        <v>18.639368789999999</v>
      </c>
      <c r="DE8" s="68">
        <v>12.177618369999999</v>
      </c>
      <c r="DF8" s="5">
        <v>13.01592011</v>
      </c>
      <c r="DG8" s="5">
        <v>13.67677627</v>
      </c>
      <c r="DH8" s="80">
        <f>AVERAGE(DE8,DG8)</f>
        <v>12.927197319999999</v>
      </c>
      <c r="DI8" s="151">
        <f>DE8-DA8</f>
        <v>-4.7799074500000014</v>
      </c>
      <c r="DJ8" s="24">
        <f>DF8-DB8</f>
        <v>-10.41541879</v>
      </c>
      <c r="DK8" s="294">
        <f>DG8-DC8</f>
        <v>-6.6444354900000011</v>
      </c>
      <c r="DL8" s="244">
        <f>DH8-DD8</f>
        <v>-5.7121714699999995</v>
      </c>
      <c r="DM8" s="297" t="s">
        <v>528</v>
      </c>
      <c r="DN8" s="68">
        <v>3.914419192</v>
      </c>
      <c r="DO8" s="5">
        <v>5.1144261359999996</v>
      </c>
      <c r="DP8" s="5">
        <v>4.9803584670000003</v>
      </c>
      <c r="DQ8" s="3">
        <f>AVERAGE(DN8,DP8)</f>
        <v>4.4473888295000004</v>
      </c>
      <c r="DR8" s="68">
        <v>5.8662962949999997</v>
      </c>
      <c r="DS8" s="5">
        <v>8.7121338999999995</v>
      </c>
      <c r="DT8" s="5">
        <v>6.4452294449999998</v>
      </c>
      <c r="DU8" s="3">
        <f>AVERAGE(DR8,DT8)</f>
        <v>6.1557628700000002</v>
      </c>
      <c r="DV8" s="24">
        <f>DR8-DN8</f>
        <v>1.9518771029999997</v>
      </c>
      <c r="DW8" s="24">
        <f>DS8-DO8</f>
        <v>3.5977077639999999</v>
      </c>
      <c r="DX8" s="24">
        <f>DT8-DP8</f>
        <v>1.4648709779999995</v>
      </c>
      <c r="DY8" s="188">
        <f>DU8-DQ8</f>
        <v>1.7083740404999999</v>
      </c>
      <c r="DZ8" s="297" t="s">
        <v>528</v>
      </c>
      <c r="EA8" s="18">
        <v>16.240393829999999</v>
      </c>
      <c r="EB8" s="18">
        <v>21.022990279999998</v>
      </c>
      <c r="EC8" s="18">
        <v>14.655886199999999</v>
      </c>
      <c r="ED8" s="3">
        <f>AVERAGE(EA8,EC8)</f>
        <v>15.448140015</v>
      </c>
      <c r="EE8" s="18">
        <v>7.7141648170000003</v>
      </c>
      <c r="EF8" s="18">
        <v>12.19811629</v>
      </c>
      <c r="EG8" s="18">
        <v>8.7892697210000001</v>
      </c>
      <c r="EH8" s="3">
        <f>AVERAGE(EE8,EG8)</f>
        <v>8.2517172690000002</v>
      </c>
      <c r="EI8" s="24">
        <f>EE8-EA8</f>
        <v>-8.5262290129999982</v>
      </c>
      <c r="EJ8" s="24">
        <f>EF8-EB8</f>
        <v>-8.8248739899999986</v>
      </c>
      <c r="EK8" s="24">
        <f>EG8-EC8</f>
        <v>-5.8666164789999993</v>
      </c>
      <c r="EL8" s="188">
        <f>EH8-ED8</f>
        <v>-7.1964227459999996</v>
      </c>
      <c r="EM8" s="297" t="s">
        <v>528</v>
      </c>
      <c r="EN8" s="151" t="s">
        <v>474</v>
      </c>
      <c r="EO8" s="244">
        <v>79.626639028346801</v>
      </c>
      <c r="EP8" s="151" t="s">
        <v>475</v>
      </c>
      <c r="EQ8" s="244">
        <v>59.657069270252499</v>
      </c>
      <c r="ER8" s="244">
        <f t="shared" si="14"/>
        <v>69.641854149299647</v>
      </c>
      <c r="ES8" s="18">
        <v>-1</v>
      </c>
      <c r="ET8" s="18">
        <v>4</v>
      </c>
      <c r="EU8" s="18">
        <v>0</v>
      </c>
      <c r="EV8" s="18">
        <v>0</v>
      </c>
      <c r="EW8" s="18">
        <v>0</v>
      </c>
      <c r="EX8" s="18">
        <v>0</v>
      </c>
      <c r="EY8" s="18">
        <v>3</v>
      </c>
      <c r="EZ8" s="5">
        <v>-2.3296673989999999</v>
      </c>
      <c r="FA8" s="18">
        <v>-28.033460319303831</v>
      </c>
      <c r="FB8" s="310">
        <v>6</v>
      </c>
      <c r="FC8" s="5">
        <v>81</v>
      </c>
      <c r="FD8" s="18">
        <v>37</v>
      </c>
      <c r="FE8" s="340">
        <v>11</v>
      </c>
      <c r="FF8" s="18">
        <v>1.9999999999999997E-2</v>
      </c>
      <c r="FG8" s="18">
        <v>1.9999999999999997E-2</v>
      </c>
      <c r="FH8" s="18">
        <v>1.9999999999999997E-2</v>
      </c>
      <c r="FI8" s="18">
        <v>0.01</v>
      </c>
      <c r="FJ8" s="18">
        <v>0</v>
      </c>
      <c r="FK8" s="18">
        <v>1.1428571428571429E-2</v>
      </c>
      <c r="FL8" s="18">
        <v>0.02</v>
      </c>
      <c r="FM8" s="18">
        <v>4.3333333333333328E-2</v>
      </c>
      <c r="FN8" s="18">
        <v>0.02</v>
      </c>
      <c r="FO8" s="18">
        <v>1.3333333333333332E-2</v>
      </c>
      <c r="FP8" s="18">
        <v>0.02</v>
      </c>
      <c r="FQ8" s="322">
        <v>-1</v>
      </c>
      <c r="FR8" s="5">
        <v>-1</v>
      </c>
      <c r="FS8" s="5">
        <v>-1</v>
      </c>
      <c r="FT8" s="259">
        <v>2.1999999999999999E-2</v>
      </c>
      <c r="FU8" s="72">
        <v>0.03</v>
      </c>
      <c r="FV8" s="260">
        <v>3.3333333333333333E-2</v>
      </c>
      <c r="FW8" s="261">
        <v>0.02</v>
      </c>
      <c r="FX8" s="154">
        <v>0.02</v>
      </c>
      <c r="FY8" s="262">
        <v>0.02</v>
      </c>
      <c r="FZ8" s="263">
        <v>2.3333333333333334E-2</v>
      </c>
      <c r="GA8" s="264">
        <v>4.9999999999999996E-2</v>
      </c>
      <c r="GB8" s="265">
        <v>0.02</v>
      </c>
      <c r="GC8" s="266">
        <v>0.02</v>
      </c>
      <c r="GD8" s="267">
        <v>0.02</v>
      </c>
      <c r="GE8" s="5">
        <v>-2.3296673989999999</v>
      </c>
      <c r="GF8" s="18">
        <v>-1</v>
      </c>
      <c r="GG8" s="18">
        <v>4</v>
      </c>
      <c r="GH8" s="18">
        <v>0</v>
      </c>
      <c r="GI8" s="18">
        <v>0</v>
      </c>
      <c r="GJ8" s="18">
        <v>0</v>
      </c>
      <c r="GK8" s="18">
        <v>0</v>
      </c>
      <c r="GL8" s="18">
        <v>3</v>
      </c>
      <c r="GN8" s="5">
        <v>134</v>
      </c>
      <c r="GO8" s="5">
        <v>106</v>
      </c>
      <c r="GP8" s="5">
        <v>126</v>
      </c>
      <c r="GQ8" s="5">
        <v>91</v>
      </c>
      <c r="GR8" s="5">
        <v>162</v>
      </c>
      <c r="GS8" s="144">
        <v>0.08</v>
      </c>
      <c r="GT8" s="18">
        <v>85.628</v>
      </c>
      <c r="GU8" s="18">
        <v>76.712999999999994</v>
      </c>
      <c r="GV8" s="3">
        <f t="shared" si="15"/>
        <v>8.9150000000000063</v>
      </c>
      <c r="GW8" s="5">
        <f t="shared" si="16"/>
        <v>1.1162123759988529</v>
      </c>
      <c r="GX8" s="18">
        <f t="shared" si="17"/>
        <v>4.774683344512208E-2</v>
      </c>
      <c r="GY8" s="18">
        <v>70.667699999999996</v>
      </c>
      <c r="GZ8" s="18">
        <v>65.108500000000006</v>
      </c>
      <c r="HA8" s="3">
        <f t="shared" si="18"/>
        <v>5.5591999999999899</v>
      </c>
      <c r="HB8" s="18">
        <f t="shared" si="19"/>
        <v>1.0853836288656626</v>
      </c>
      <c r="HC8" s="18">
        <v>81.119</v>
      </c>
      <c r="HD8" s="18">
        <v>74.483199999999997</v>
      </c>
      <c r="HE8" s="3">
        <f t="shared" si="20"/>
        <v>6.6358000000000033</v>
      </c>
      <c r="HF8" s="18">
        <f t="shared" si="21"/>
        <v>1.089091231311222</v>
      </c>
      <c r="HG8" s="18">
        <v>53.088700000000003</v>
      </c>
      <c r="HH8" s="18">
        <v>50.779800000000002</v>
      </c>
      <c r="HI8" s="3">
        <f t="shared" si="22"/>
        <v>2.3089000000000013</v>
      </c>
      <c r="HJ8" s="18">
        <f t="shared" si="23"/>
        <v>1.0454688675418178</v>
      </c>
      <c r="HK8" s="5">
        <v>107.249</v>
      </c>
      <c r="HL8" s="5">
        <v>86.978499999999997</v>
      </c>
      <c r="HM8" s="3">
        <f t="shared" si="24"/>
        <v>20.270499999999998</v>
      </c>
      <c r="HN8" s="5">
        <f t="shared" si="60"/>
        <v>1.2330518461458866</v>
      </c>
      <c r="HO8" s="18">
        <v>60.04</v>
      </c>
      <c r="HP8" s="18">
        <v>58.5</v>
      </c>
      <c r="HQ8" s="3">
        <f t="shared" si="25"/>
        <v>1.5399999999999991</v>
      </c>
      <c r="HR8" s="18">
        <f t="shared" si="26"/>
        <v>1.0263247863247864</v>
      </c>
      <c r="HS8" s="18">
        <v>64.271000000000001</v>
      </c>
      <c r="HT8" s="18">
        <v>60.396000000000001</v>
      </c>
      <c r="HU8" s="3">
        <f t="shared" si="27"/>
        <v>3.875</v>
      </c>
      <c r="HV8" s="18">
        <f t="shared" si="28"/>
        <v>1.0641598781376249</v>
      </c>
      <c r="HW8" s="18">
        <v>61.438699999999997</v>
      </c>
      <c r="HX8" s="18">
        <v>57.956699999999998</v>
      </c>
      <c r="HY8" s="3">
        <f t="shared" si="29"/>
        <v>3.4819999999999993</v>
      </c>
      <c r="HZ8" s="18">
        <f t="shared" si="30"/>
        <v>1.060079335089817</v>
      </c>
      <c r="IA8" s="18">
        <v>49.498899999999999</v>
      </c>
      <c r="IB8" s="18">
        <v>48.215200000000003</v>
      </c>
      <c r="IC8" s="3">
        <f t="shared" si="31"/>
        <v>1.2836999999999961</v>
      </c>
      <c r="ID8" s="18">
        <f t="shared" si="32"/>
        <v>1.0266243840116809</v>
      </c>
      <c r="IE8" s="18">
        <v>48.0428</v>
      </c>
      <c r="IF8" s="18">
        <v>48.8352</v>
      </c>
      <c r="IG8" s="3">
        <f t="shared" si="33"/>
        <v>-0.79240000000000066</v>
      </c>
      <c r="IH8" s="18">
        <f t="shared" si="34"/>
        <v>0.98377399908262886</v>
      </c>
      <c r="II8" s="18">
        <v>64.999499999999998</v>
      </c>
      <c r="IJ8" s="18">
        <v>62.1633</v>
      </c>
      <c r="IK8" s="3">
        <f t="shared" si="35"/>
        <v>2.8361999999999981</v>
      </c>
      <c r="IL8" s="18">
        <f t="shared" si="36"/>
        <v>1.0456249909512525</v>
      </c>
      <c r="IM8" s="18">
        <v>79.596500000000006</v>
      </c>
      <c r="IN8" s="18">
        <v>76.849500000000006</v>
      </c>
      <c r="IO8" s="3">
        <f t="shared" si="37"/>
        <v>2.7469999999999999</v>
      </c>
      <c r="IP8" s="18">
        <f t="shared" si="38"/>
        <v>1.0357451902744976</v>
      </c>
      <c r="IQ8" s="18">
        <v>52.978499999999997</v>
      </c>
      <c r="IR8" s="18">
        <v>51.260800000000003</v>
      </c>
      <c r="IS8" s="3">
        <f t="shared" si="39"/>
        <v>1.7176999999999936</v>
      </c>
      <c r="IT8" s="18">
        <f t="shared" si="40"/>
        <v>1.0335090361445782</v>
      </c>
      <c r="IU8" s="18">
        <v>60.638800000000003</v>
      </c>
      <c r="IV8" s="18">
        <v>58.650799999999997</v>
      </c>
      <c r="IW8" s="3">
        <f t="shared" si="41"/>
        <v>1.9880000000000067</v>
      </c>
      <c r="IX8" s="18">
        <f t="shared" si="42"/>
        <v>1.0338955308367492</v>
      </c>
      <c r="IY8" s="18">
        <v>68.836500000000001</v>
      </c>
      <c r="IZ8" s="18">
        <v>66.759500000000003</v>
      </c>
      <c r="JA8" s="3">
        <f t="shared" si="43"/>
        <v>2.0769999999999982</v>
      </c>
      <c r="JB8" s="18">
        <f t="shared" si="44"/>
        <v>1.0311116769897917</v>
      </c>
      <c r="JC8" s="18">
        <f>LOG(HN8)</f>
        <v>9.0981337764980783E-2</v>
      </c>
      <c r="JD8" s="18">
        <v>69.641854149299647</v>
      </c>
      <c r="JE8" s="18">
        <f t="shared" si="45"/>
        <v>0.69641854149299642</v>
      </c>
      <c r="JG8" s="336" t="s">
        <v>597</v>
      </c>
      <c r="JH8" s="18">
        <v>0.422516335779893</v>
      </c>
      <c r="JJ8" s="336" t="s">
        <v>597</v>
      </c>
      <c r="JK8" s="18">
        <v>0.41048167516335798</v>
      </c>
      <c r="JM8" s="336" t="s">
        <v>597</v>
      </c>
      <c r="JN8" s="18">
        <v>0.58256470393437898</v>
      </c>
      <c r="JO8" s="18">
        <f t="shared" si="46"/>
        <v>0.41743529606562102</v>
      </c>
      <c r="JP8" s="336" t="s">
        <v>597</v>
      </c>
      <c r="JQ8" s="18">
        <v>0.66247459137945697</v>
      </c>
      <c r="JT8" s="336" t="s">
        <v>597</v>
      </c>
      <c r="JU8" s="18">
        <v>0.50404565549281399</v>
      </c>
      <c r="JW8" s="336" t="s">
        <v>597</v>
      </c>
      <c r="JX8" s="18">
        <v>0.38718098289001301</v>
      </c>
      <c r="JZ8" s="336" t="s">
        <v>597</v>
      </c>
      <c r="KA8" s="18">
        <v>0.70200018564972599</v>
      </c>
      <c r="KC8" s="336" t="s">
        <v>597</v>
      </c>
      <c r="KD8" s="18">
        <v>0.693796700720128</v>
      </c>
      <c r="KE8" s="68" t="s">
        <v>528</v>
      </c>
      <c r="KF8" s="347">
        <v>4.2599999999999999E-2</v>
      </c>
      <c r="KG8" s="347">
        <v>3.8699999999999998E-2</v>
      </c>
      <c r="KH8" s="347">
        <f t="shared" si="47"/>
        <v>4.0649999999999999E-2</v>
      </c>
      <c r="KI8" s="348">
        <v>8.14E-2</v>
      </c>
      <c r="KJ8" s="348">
        <v>6.2E-2</v>
      </c>
      <c r="KK8" s="348">
        <f t="shared" si="48"/>
        <v>7.17E-2</v>
      </c>
      <c r="KL8" s="347">
        <f t="shared" si="49"/>
        <v>3.1050000000000001E-2</v>
      </c>
      <c r="KM8" s="347">
        <f t="shared" si="50"/>
        <v>1.7638376383763839</v>
      </c>
      <c r="KN8" s="354">
        <f t="shared" si="10"/>
        <v>5.6418376383763835</v>
      </c>
      <c r="KO8" s="18">
        <f t="shared" si="51"/>
        <v>0.75142058380945509</v>
      </c>
      <c r="KP8" s="18">
        <v>0.75142058380945509</v>
      </c>
      <c r="KQ8" s="340">
        <v>11</v>
      </c>
      <c r="KR8" s="18">
        <v>1.9999999999999997E-2</v>
      </c>
      <c r="KS8" s="18">
        <v>1.9999999999999997E-2</v>
      </c>
      <c r="KT8" s="18">
        <v>1.9999999999999997E-2</v>
      </c>
      <c r="KU8" s="18">
        <v>0.01</v>
      </c>
      <c r="KV8" s="18">
        <v>0</v>
      </c>
      <c r="KW8" s="18">
        <v>1.1428571428571429E-2</v>
      </c>
      <c r="KX8" s="18">
        <v>0.02</v>
      </c>
      <c r="KY8" s="18">
        <v>4.3333333333333328E-2</v>
      </c>
      <c r="KZ8" s="18">
        <v>0.02</v>
      </c>
      <c r="LA8" s="18">
        <v>1.3333333333333332E-2</v>
      </c>
      <c r="LB8" s="18">
        <v>0.02</v>
      </c>
      <c r="LC8" s="358" t="s">
        <v>628</v>
      </c>
      <c r="LD8" s="358">
        <v>8.5</v>
      </c>
      <c r="LE8" s="358">
        <v>0</v>
      </c>
      <c r="LF8" s="358">
        <v>1</v>
      </c>
      <c r="LG8" s="358">
        <v>12</v>
      </c>
      <c r="LH8" s="358">
        <v>-0.5</v>
      </c>
      <c r="LI8" s="358">
        <v>0</v>
      </c>
      <c r="LJ8" s="144">
        <v>0.08</v>
      </c>
      <c r="LK8" s="158" t="s">
        <v>528</v>
      </c>
      <c r="LL8" s="68">
        <v>0.46929999999999999</v>
      </c>
      <c r="LM8" s="5">
        <v>0.47560000000000002</v>
      </c>
      <c r="LN8" s="5">
        <f t="shared" si="52"/>
        <v>0.47245000000000004</v>
      </c>
      <c r="LO8" s="5">
        <v>0.52749999999999997</v>
      </c>
      <c r="LP8" s="5">
        <v>0.52910000000000001</v>
      </c>
      <c r="LQ8" s="80">
        <f t="shared" si="53"/>
        <v>0.52829999999999999</v>
      </c>
      <c r="LR8" s="77">
        <f t="shared" si="54"/>
        <v>-5.5849999999999955E-2</v>
      </c>
      <c r="LS8" s="68">
        <v>9.8206000000000007</v>
      </c>
      <c r="LT8" s="5">
        <v>9.9916999999999998</v>
      </c>
      <c r="LU8" s="5">
        <f t="shared" si="55"/>
        <v>9.9061500000000002</v>
      </c>
      <c r="LV8" s="5">
        <v>17.1663</v>
      </c>
      <c r="LW8" s="5">
        <v>17.659700000000001</v>
      </c>
      <c r="LX8" s="80">
        <f t="shared" si="56"/>
        <v>17.413</v>
      </c>
      <c r="LY8" s="77">
        <f t="shared" si="57"/>
        <v>-7.50685</v>
      </c>
      <c r="LZ8" s="68">
        <v>1.0628</v>
      </c>
      <c r="MA8" s="5">
        <v>1.0465</v>
      </c>
      <c r="MB8" s="5">
        <f>AVERAGE(LZ8:MA8)</f>
        <v>1.0546500000000001</v>
      </c>
      <c r="MC8" s="5">
        <v>0.97719999999999996</v>
      </c>
      <c r="MD8" s="5">
        <v>0.99619999999999997</v>
      </c>
      <c r="ME8" s="80">
        <f>AVERAGE(MC8:MD8)</f>
        <v>0.98669999999999991</v>
      </c>
      <c r="MF8" s="77">
        <f t="shared" si="58"/>
        <v>6.7950000000000177E-2</v>
      </c>
      <c r="MG8" s="68">
        <v>0.2276</v>
      </c>
      <c r="MH8" s="5">
        <v>0.2495</v>
      </c>
      <c r="MI8" s="5">
        <f>AVERAGE(MG8:MH8)</f>
        <v>0.23854999999999998</v>
      </c>
      <c r="MJ8" s="5">
        <v>0.35930000000000001</v>
      </c>
      <c r="MK8" s="5">
        <v>0.35210000000000002</v>
      </c>
      <c r="ML8" s="80">
        <f>AVERAGE(MJ8:MK8)</f>
        <v>0.35570000000000002</v>
      </c>
      <c r="MM8" s="77">
        <f t="shared" si="59"/>
        <v>-0.11715000000000003</v>
      </c>
      <c r="MO8" s="5">
        <v>-2.3798406550000002</v>
      </c>
      <c r="MP8" s="5">
        <v>0.35322746189999998</v>
      </c>
      <c r="MQ8" s="5">
        <v>1.031002492</v>
      </c>
      <c r="MR8" s="5">
        <v>2.3863939410000001</v>
      </c>
      <c r="MS8" s="292">
        <v>1.6664677139999999</v>
      </c>
      <c r="MT8" s="18">
        <v>-2.3296673989999999</v>
      </c>
      <c r="MU8" s="18">
        <v>3.9697657780000002</v>
      </c>
      <c r="MV8" s="18">
        <v>1.7819216870000001</v>
      </c>
      <c r="MW8" s="18">
        <v>3.013891256</v>
      </c>
    </row>
    <row r="9" spans="1:361" s="18" customFormat="1" ht="15.75" customHeight="1" thickBot="1" x14ac:dyDescent="0.25">
      <c r="A9" s="3" t="s">
        <v>6</v>
      </c>
      <c r="B9" s="5">
        <v>0</v>
      </c>
      <c r="C9" s="5">
        <v>10</v>
      </c>
      <c r="D9" s="5">
        <v>33</v>
      </c>
      <c r="E9" s="5">
        <v>77</v>
      </c>
      <c r="F9" s="5">
        <v>53</v>
      </c>
      <c r="G9" s="18">
        <v>38</v>
      </c>
      <c r="H9" s="18">
        <v>79</v>
      </c>
      <c r="I9" s="5">
        <v>16</v>
      </c>
      <c r="J9" s="5">
        <v>112</v>
      </c>
      <c r="K9" s="5">
        <v>79</v>
      </c>
      <c r="L9" s="5">
        <v>119</v>
      </c>
      <c r="M9" s="5">
        <v>70</v>
      </c>
      <c r="N9" s="5">
        <v>135</v>
      </c>
      <c r="O9" s="5">
        <v>8.5</v>
      </c>
      <c r="P9" s="5">
        <v>-9</v>
      </c>
      <c r="Q9" s="5">
        <v>3</v>
      </c>
      <c r="R9" s="5">
        <v>6</v>
      </c>
      <c r="S9" s="5">
        <v>10</v>
      </c>
      <c r="T9" s="18">
        <v>7</v>
      </c>
      <c r="U9" s="5">
        <v>-6</v>
      </c>
      <c r="V9" s="5">
        <v>30</v>
      </c>
      <c r="W9" s="5">
        <v>10</v>
      </c>
      <c r="X9" s="5">
        <v>-9</v>
      </c>
      <c r="Y9" s="5">
        <v>9</v>
      </c>
      <c r="Z9" s="93">
        <v>0.122783402631579</v>
      </c>
      <c r="AA9" s="88">
        <v>11.5</v>
      </c>
      <c r="AB9" s="68">
        <v>86</v>
      </c>
      <c r="AC9" s="5">
        <v>87</v>
      </c>
      <c r="AD9" s="5">
        <v>93</v>
      </c>
      <c r="AE9" s="80">
        <v>89</v>
      </c>
      <c r="AF9" s="179">
        <v>-9</v>
      </c>
      <c r="AG9" s="154">
        <v>-5</v>
      </c>
      <c r="AH9" s="154">
        <v>-2</v>
      </c>
      <c r="AI9" s="154">
        <v>-6</v>
      </c>
      <c r="AJ9" s="68">
        <v>77</v>
      </c>
      <c r="AK9" s="5">
        <v>82</v>
      </c>
      <c r="AL9" s="5">
        <v>91</v>
      </c>
      <c r="AM9" s="80">
        <v>83</v>
      </c>
      <c r="AN9" s="68">
        <v>86</v>
      </c>
      <c r="AO9" s="5">
        <v>87</v>
      </c>
      <c r="AP9" s="5">
        <v>93</v>
      </c>
      <c r="AQ9" s="80">
        <v>89</v>
      </c>
      <c r="AR9" s="68">
        <v>77</v>
      </c>
      <c r="AS9" s="5">
        <v>82</v>
      </c>
      <c r="AT9" s="5">
        <v>91</v>
      </c>
      <c r="AU9" s="80">
        <v>83</v>
      </c>
      <c r="AV9" s="179">
        <f t="shared" si="11"/>
        <v>9</v>
      </c>
      <c r="AW9" s="179">
        <f t="shared" si="0"/>
        <v>5</v>
      </c>
      <c r="AX9" s="179">
        <f t="shared" si="0"/>
        <v>2</v>
      </c>
      <c r="AY9" s="179">
        <f t="shared" si="0"/>
        <v>6</v>
      </c>
      <c r="AZ9" s="9">
        <v>1.0813953488372092</v>
      </c>
      <c r="BA9" s="77">
        <v>-0.10042283298097265</v>
      </c>
      <c r="BB9" s="18">
        <v>1.0116279069767442</v>
      </c>
      <c r="BC9" s="77">
        <v>-5.3307157958320639E-2</v>
      </c>
      <c r="BD9" s="154">
        <v>0.75</v>
      </c>
      <c r="BE9" s="144">
        <v>0.8</v>
      </c>
      <c r="BF9" s="5">
        <v>3</v>
      </c>
      <c r="BG9" s="5">
        <v>-9</v>
      </c>
      <c r="BK9" s="18" t="s">
        <v>6</v>
      </c>
      <c r="BL9" s="18">
        <v>1</v>
      </c>
      <c r="BM9" s="18">
        <v>0</v>
      </c>
      <c r="BN9" s="18">
        <v>1</v>
      </c>
      <c r="BO9" s="18">
        <v>4</v>
      </c>
      <c r="BP9" s="18">
        <v>5</v>
      </c>
      <c r="BQ9" s="138" t="s">
        <v>476</v>
      </c>
      <c r="BR9" s="138">
        <v>-2.23665441930417E-27</v>
      </c>
      <c r="BS9" s="138" t="s">
        <v>477</v>
      </c>
      <c r="BT9" s="138">
        <v>-1.03756657236054E-27</v>
      </c>
      <c r="BU9" s="138">
        <f t="shared" si="12"/>
        <v>-1.6371104958323551E-27</v>
      </c>
      <c r="BW9" s="18">
        <v>0.9</v>
      </c>
      <c r="BX9" s="18">
        <v>0.41</v>
      </c>
      <c r="BY9" s="18">
        <f t="shared" si="13"/>
        <v>0.49000000000000005</v>
      </c>
      <c r="BZ9" s="3">
        <v>0.79600000000000004</v>
      </c>
      <c r="CA9" s="18">
        <v>0.33666666666666667</v>
      </c>
      <c r="CB9" s="18">
        <v>0.83333333333333337</v>
      </c>
      <c r="CC9" s="18">
        <v>0.36000000000000004</v>
      </c>
      <c r="CD9" s="18">
        <v>0.48</v>
      </c>
      <c r="CE9" s="18">
        <v>6.5714285714285711E-2</v>
      </c>
      <c r="CF9" s="18">
        <v>0.02</v>
      </c>
      <c r="CG9" s="18">
        <v>0.98999999999999988</v>
      </c>
      <c r="CH9" s="18">
        <v>0.94</v>
      </c>
      <c r="CI9" s="18">
        <v>0.18666666666666668</v>
      </c>
      <c r="CJ9" s="18">
        <v>0.53333333333333333</v>
      </c>
      <c r="CY9" s="18">
        <v>-0.21150513730000001</v>
      </c>
      <c r="DA9" s="68"/>
      <c r="DB9" s="5"/>
      <c r="DC9" s="5"/>
      <c r="DD9" s="80"/>
      <c r="DE9" s="68"/>
      <c r="DF9" s="5"/>
      <c r="DG9" s="5"/>
      <c r="DH9" s="80"/>
      <c r="DI9" s="68"/>
      <c r="DJ9" s="5"/>
      <c r="DK9" s="5"/>
      <c r="DL9" s="80"/>
      <c r="DN9" s="68"/>
      <c r="DO9" s="5"/>
      <c r="DP9" s="5"/>
      <c r="DQ9" s="3"/>
      <c r="DR9" s="68"/>
      <c r="DS9" s="5"/>
      <c r="DT9" s="5"/>
      <c r="DU9" s="3"/>
      <c r="DY9" s="3"/>
      <c r="ED9" s="3"/>
      <c r="EH9" s="3"/>
      <c r="EL9" s="3"/>
      <c r="EN9" s="195" t="s">
        <v>476</v>
      </c>
      <c r="EO9" s="196">
        <v>24.485005336328701</v>
      </c>
      <c r="EP9" s="195" t="s">
        <v>477</v>
      </c>
      <c r="EQ9" s="196">
        <v>28.048564351254001</v>
      </c>
      <c r="ER9" s="196">
        <f t="shared" si="14"/>
        <v>26.266784843791349</v>
      </c>
      <c r="ES9" s="18">
        <v>6</v>
      </c>
      <c r="ET9" s="18">
        <v>2</v>
      </c>
      <c r="EU9" s="18">
        <v>6</v>
      </c>
      <c r="EV9" s="18">
        <v>-2</v>
      </c>
      <c r="EW9" s="18">
        <v>1</v>
      </c>
      <c r="EX9" s="18">
        <v>0</v>
      </c>
      <c r="EY9" s="18">
        <v>13</v>
      </c>
      <c r="EZ9" s="222"/>
      <c r="FA9" s="222"/>
      <c r="FB9" s="310">
        <v>7</v>
      </c>
      <c r="FC9" s="5">
        <v>77</v>
      </c>
      <c r="FD9" s="18">
        <v>38</v>
      </c>
      <c r="FE9" s="340">
        <v>11.5</v>
      </c>
      <c r="FF9" s="18">
        <v>0.79600000000000004</v>
      </c>
      <c r="FG9" s="18">
        <v>0.33666666666666667</v>
      </c>
      <c r="FH9" s="18">
        <v>0.83333333333333337</v>
      </c>
      <c r="FI9" s="18">
        <v>0.36000000000000004</v>
      </c>
      <c r="FJ9" s="18">
        <v>0.48</v>
      </c>
      <c r="FK9" s="18">
        <v>6.5714285714285711E-2</v>
      </c>
      <c r="FL9" s="18">
        <v>0.02</v>
      </c>
      <c r="FM9" s="18">
        <v>0.98999999999999988</v>
      </c>
      <c r="FN9" s="18">
        <v>0.94</v>
      </c>
      <c r="FO9" s="18">
        <v>0.18666666666666668</v>
      </c>
      <c r="FP9" s="18">
        <v>0.53333333333333333</v>
      </c>
      <c r="FQ9" s="322">
        <v>3</v>
      </c>
      <c r="FR9" s="5">
        <v>-6</v>
      </c>
      <c r="FS9" s="5">
        <v>9</v>
      </c>
      <c r="FT9" s="259">
        <v>0.79600000000000004</v>
      </c>
      <c r="FU9" s="72">
        <v>0.33666666666666667</v>
      </c>
      <c r="FV9" s="260">
        <v>0.83333333333333337</v>
      </c>
      <c r="FW9" s="261">
        <v>0.36000000000000004</v>
      </c>
      <c r="FX9" s="154">
        <v>0.48</v>
      </c>
      <c r="FY9" s="262">
        <v>6.5714285714285711E-2</v>
      </c>
      <c r="FZ9" s="263">
        <v>0.02</v>
      </c>
      <c r="GA9" s="264">
        <v>0.98999999999999988</v>
      </c>
      <c r="GB9" s="265">
        <v>0.94</v>
      </c>
      <c r="GC9" s="266">
        <v>0.18666666666666668</v>
      </c>
      <c r="GD9" s="267">
        <v>0.53333333333333333</v>
      </c>
      <c r="GE9" s="222"/>
      <c r="GF9" s="18">
        <v>6</v>
      </c>
      <c r="GG9" s="18">
        <v>2</v>
      </c>
      <c r="GH9" s="18">
        <v>6</v>
      </c>
      <c r="GI9" s="18">
        <v>-2</v>
      </c>
      <c r="GJ9" s="18">
        <v>1</v>
      </c>
      <c r="GK9" s="18">
        <v>0</v>
      </c>
      <c r="GL9" s="18">
        <v>13</v>
      </c>
      <c r="GN9" s="5">
        <v>112</v>
      </c>
      <c r="GO9" s="5">
        <v>79</v>
      </c>
      <c r="GP9" s="5">
        <v>119</v>
      </c>
      <c r="GQ9" s="5">
        <v>70</v>
      </c>
      <c r="GR9" s="5">
        <v>135</v>
      </c>
      <c r="GS9" s="144">
        <v>0.8</v>
      </c>
      <c r="GT9" s="222"/>
      <c r="GU9" s="222"/>
      <c r="GV9" s="373"/>
      <c r="GW9" s="79"/>
      <c r="GY9" s="222"/>
      <c r="GZ9" s="222"/>
      <c r="HA9" s="373"/>
      <c r="HB9" s="222"/>
      <c r="HC9" s="222"/>
      <c r="HD9" s="222"/>
      <c r="HE9" s="373"/>
      <c r="HF9" s="222"/>
      <c r="HG9" s="222"/>
      <c r="HH9" s="222"/>
      <c r="HI9" s="373"/>
      <c r="HJ9" s="222"/>
      <c r="HK9" s="79"/>
      <c r="HL9" s="79"/>
      <c r="HM9" s="373"/>
      <c r="HN9" s="79"/>
      <c r="HQ9" s="3"/>
      <c r="HU9" s="3"/>
      <c r="HY9" s="3"/>
      <c r="IC9" s="3">
        <f t="shared" si="31"/>
        <v>0</v>
      </c>
      <c r="IG9" s="3"/>
      <c r="IK9" s="3"/>
      <c r="IO9" s="3"/>
      <c r="IS9" s="3"/>
      <c r="IW9" s="3"/>
      <c r="JA9" s="3"/>
      <c r="JD9" s="18">
        <v>26.266784843791349</v>
      </c>
      <c r="JE9" s="18">
        <f t="shared" si="45"/>
        <v>0.26266784843791346</v>
      </c>
      <c r="JF9" s="18">
        <v>7</v>
      </c>
      <c r="JG9" s="338" t="s">
        <v>598</v>
      </c>
      <c r="JH9" s="138">
        <v>0.80543339894481802</v>
      </c>
      <c r="JI9" s="138"/>
      <c r="JJ9" s="338" t="s">
        <v>598</v>
      </c>
      <c r="JK9" s="138">
        <v>0.54469395132778797</v>
      </c>
      <c r="JL9" s="138"/>
      <c r="JM9" s="338" t="s">
        <v>598</v>
      </c>
      <c r="JN9" s="138">
        <v>0.23074434095395399</v>
      </c>
      <c r="JO9" s="18">
        <f t="shared" si="46"/>
        <v>0.76925565904604598</v>
      </c>
      <c r="JP9" s="338" t="s">
        <v>598</v>
      </c>
      <c r="JQ9" s="138">
        <v>0.43312696368429598</v>
      </c>
      <c r="JR9" s="138"/>
      <c r="JS9" s="138"/>
      <c r="JT9" s="338" t="s">
        <v>598</v>
      </c>
      <c r="JU9" s="138">
        <v>0.64500412182759004</v>
      </c>
      <c r="JV9" s="138"/>
      <c r="JW9" s="338" t="s">
        <v>598</v>
      </c>
      <c r="JX9" s="138">
        <v>0.50617146685065695</v>
      </c>
      <c r="JY9" s="138"/>
      <c r="JZ9" s="338" t="s">
        <v>598</v>
      </c>
      <c r="KA9" s="138">
        <v>0.25729225902945702</v>
      </c>
      <c r="KB9" s="138"/>
      <c r="KC9" s="338" t="s">
        <v>598</v>
      </c>
      <c r="KD9" s="138">
        <v>0.47799712935375999</v>
      </c>
      <c r="KE9" s="107"/>
      <c r="KF9" s="349"/>
      <c r="KG9" s="349"/>
      <c r="KH9" s="349"/>
      <c r="KI9" s="349"/>
      <c r="KJ9" s="349"/>
      <c r="KK9" s="349"/>
      <c r="KL9" s="349"/>
      <c r="KM9" s="349"/>
      <c r="KN9" s="355"/>
      <c r="KO9" s="145"/>
      <c r="KP9" s="145"/>
      <c r="KQ9" s="340">
        <v>11.5</v>
      </c>
      <c r="KR9" s="18">
        <v>0.79600000000000004</v>
      </c>
      <c r="KS9" s="18">
        <v>0.33666666666666667</v>
      </c>
      <c r="KT9" s="18">
        <v>0.83333333333333337</v>
      </c>
      <c r="KU9" s="18">
        <v>0.36000000000000004</v>
      </c>
      <c r="KV9" s="18">
        <v>0.48</v>
      </c>
      <c r="KW9" s="18">
        <v>6.5714285714285711E-2</v>
      </c>
      <c r="KX9" s="18">
        <v>0.02</v>
      </c>
      <c r="KY9" s="18">
        <v>0.98999999999999988</v>
      </c>
      <c r="KZ9" s="18">
        <v>0.94</v>
      </c>
      <c r="LA9" s="18">
        <v>0.18666666666666668</v>
      </c>
      <c r="LB9" s="18">
        <v>0.53333333333333333</v>
      </c>
      <c r="LC9" s="358" t="s">
        <v>629</v>
      </c>
      <c r="LD9" s="358">
        <v>11.5</v>
      </c>
      <c r="LE9" s="358">
        <v>7</v>
      </c>
      <c r="LF9" s="358">
        <v>4.5</v>
      </c>
      <c r="LG9" s="358">
        <v>18.5</v>
      </c>
      <c r="LH9" s="358">
        <v>17.5</v>
      </c>
      <c r="LI9" s="358">
        <v>10</v>
      </c>
      <c r="LJ9" s="144">
        <v>0.8</v>
      </c>
      <c r="LK9" s="145"/>
      <c r="LL9" s="107"/>
      <c r="LM9" s="108"/>
      <c r="LN9" s="5"/>
      <c r="LO9" s="108"/>
      <c r="LP9" s="108"/>
      <c r="LQ9" s="80"/>
      <c r="LR9" s="77"/>
      <c r="LS9" s="107"/>
      <c r="LT9" s="108"/>
      <c r="LU9" s="5"/>
      <c r="LV9" s="108"/>
      <c r="LW9" s="108"/>
      <c r="LX9" s="80"/>
      <c r="LY9" s="77"/>
      <c r="LZ9" s="107"/>
      <c r="MA9" s="108"/>
      <c r="MB9" s="5"/>
      <c r="MC9" s="108"/>
      <c r="MD9" s="108"/>
      <c r="ME9" s="80"/>
      <c r="MF9" s="77"/>
      <c r="MG9" s="107"/>
      <c r="MH9" s="108"/>
      <c r="MI9" s="5"/>
      <c r="MJ9" s="108"/>
      <c r="MK9" s="108"/>
      <c r="ML9" s="80"/>
      <c r="MM9" s="77"/>
    </row>
    <row r="10" spans="1:361" s="6" customFormat="1" ht="15.75" customHeight="1" thickBot="1" x14ac:dyDescent="0.25">
      <c r="A10" s="4" t="s">
        <v>7</v>
      </c>
      <c r="B10" s="6">
        <v>1</v>
      </c>
      <c r="C10" s="6">
        <v>3</v>
      </c>
      <c r="D10" s="6">
        <v>33</v>
      </c>
      <c r="E10" s="6">
        <v>57</v>
      </c>
      <c r="F10" s="6">
        <v>52</v>
      </c>
      <c r="G10" s="24">
        <v>36</v>
      </c>
      <c r="H10" s="222">
        <v>75</v>
      </c>
      <c r="I10" s="6">
        <v>15</v>
      </c>
      <c r="J10" s="6">
        <v>128</v>
      </c>
      <c r="K10" s="6">
        <v>125</v>
      </c>
      <c r="L10" s="6">
        <v>108</v>
      </c>
      <c r="M10" s="6">
        <v>66</v>
      </c>
      <c r="N10" s="6">
        <v>132</v>
      </c>
      <c r="O10" s="6">
        <v>14</v>
      </c>
      <c r="P10" s="6">
        <v>-7</v>
      </c>
      <c r="Q10" s="314" t="s">
        <v>267</v>
      </c>
      <c r="R10" s="6">
        <v>-1</v>
      </c>
      <c r="S10" s="6">
        <v>17</v>
      </c>
      <c r="T10" s="6">
        <v>4</v>
      </c>
      <c r="U10" s="6">
        <v>1</v>
      </c>
      <c r="V10" s="6">
        <v>-6</v>
      </c>
      <c r="W10" s="6">
        <v>3</v>
      </c>
      <c r="X10" s="6">
        <v>20</v>
      </c>
      <c r="Y10" s="6">
        <v>7</v>
      </c>
      <c r="Z10" s="315"/>
      <c r="AA10" s="316"/>
      <c r="AB10" s="317"/>
      <c r="AC10" s="318"/>
      <c r="AD10" s="318"/>
      <c r="AE10" s="319"/>
      <c r="AF10" s="190"/>
      <c r="AG10" s="136"/>
      <c r="AH10" s="136"/>
      <c r="AI10" s="136"/>
      <c r="AJ10" s="317"/>
      <c r="AK10" s="318"/>
      <c r="AL10" s="318"/>
      <c r="AM10" s="319"/>
      <c r="AN10" s="317"/>
      <c r="AO10" s="318"/>
      <c r="AP10" s="318"/>
      <c r="AQ10" s="319"/>
      <c r="AR10" s="317"/>
      <c r="AS10" s="318"/>
      <c r="AT10" s="318"/>
      <c r="AU10" s="319"/>
      <c r="AV10" s="179">
        <f t="shared" si="11"/>
        <v>0</v>
      </c>
      <c r="AW10" s="179">
        <f t="shared" si="0"/>
        <v>0</v>
      </c>
      <c r="AX10" s="179">
        <f t="shared" si="0"/>
        <v>0</v>
      </c>
      <c r="AY10" s="179">
        <f t="shared" si="0"/>
        <v>0</v>
      </c>
      <c r="AZ10" s="8"/>
      <c r="BA10" s="136"/>
      <c r="BC10" s="136"/>
      <c r="BD10" s="136">
        <v>1</v>
      </c>
      <c r="BE10" s="150">
        <v>1</v>
      </c>
      <c r="BF10" s="314" t="s">
        <v>267</v>
      </c>
      <c r="BG10" s="6">
        <v>-7</v>
      </c>
      <c r="BK10" s="6" t="s">
        <v>7</v>
      </c>
      <c r="BL10" s="6">
        <v>0</v>
      </c>
      <c r="BM10" s="6">
        <v>1</v>
      </c>
      <c r="BN10" s="6">
        <v>0</v>
      </c>
      <c r="BO10" s="6">
        <v>1</v>
      </c>
      <c r="BP10" s="6">
        <v>2</v>
      </c>
      <c r="BQ10" s="147"/>
      <c r="BR10" s="147"/>
      <c r="BS10" s="147"/>
      <c r="BT10" s="147"/>
      <c r="BU10" s="147"/>
      <c r="BV10" s="320"/>
      <c r="BW10" s="6">
        <v>1</v>
      </c>
      <c r="BX10" s="6">
        <v>0.28999999165500001</v>
      </c>
      <c r="BY10" s="6">
        <f t="shared" si="13"/>
        <v>0.71000000834499999</v>
      </c>
      <c r="BZ10" s="4">
        <v>0.78200000000000003</v>
      </c>
      <c r="CA10" s="6">
        <v>0.39999999999999997</v>
      </c>
      <c r="CB10" s="6">
        <v>0.62666666666666659</v>
      </c>
      <c r="CC10" s="6">
        <v>0.5</v>
      </c>
      <c r="CD10" s="6">
        <v>0.68333333333333324</v>
      </c>
      <c r="CE10" s="6">
        <v>0.37285714285714283</v>
      </c>
      <c r="CF10" s="6">
        <v>0.73499999999999999</v>
      </c>
      <c r="CG10" s="6">
        <v>0.91999999999999993</v>
      </c>
      <c r="CH10" s="6">
        <v>0.93</v>
      </c>
      <c r="CI10" s="6">
        <v>0.8933333333333332</v>
      </c>
      <c r="CJ10" s="6">
        <v>0.39999999999999997</v>
      </c>
      <c r="CY10" s="18">
        <v>-0.1061128311</v>
      </c>
      <c r="DA10" s="67"/>
      <c r="DD10" s="7"/>
      <c r="DE10" s="67"/>
      <c r="DH10" s="7"/>
      <c r="DI10" s="67"/>
      <c r="DL10" s="7"/>
      <c r="DN10" s="67"/>
      <c r="DQ10" s="4"/>
      <c r="DR10" s="67"/>
      <c r="DU10" s="4"/>
      <c r="DY10" s="4"/>
      <c r="ED10" s="4"/>
      <c r="EH10" s="4"/>
      <c r="EL10" s="4"/>
      <c r="EN10" s="191"/>
      <c r="EO10" s="192"/>
      <c r="EP10" s="191"/>
      <c r="EQ10" s="192"/>
      <c r="ER10" s="192"/>
      <c r="ES10" s="6">
        <v>15</v>
      </c>
      <c r="ET10" s="6">
        <v>11</v>
      </c>
      <c r="EU10" s="6">
        <v>27</v>
      </c>
      <c r="EV10" s="6">
        <v>-3</v>
      </c>
      <c r="EW10" s="6">
        <v>5</v>
      </c>
      <c r="EX10" s="6">
        <v>16</v>
      </c>
      <c r="EY10" s="6">
        <v>71</v>
      </c>
      <c r="EZ10" s="320"/>
      <c r="FA10" s="320"/>
      <c r="FB10" s="321">
        <v>8</v>
      </c>
      <c r="FC10" s="237">
        <v>57</v>
      </c>
      <c r="FD10" s="237">
        <v>36</v>
      </c>
      <c r="FE10" s="341"/>
      <c r="FF10" s="6">
        <v>0.66800000199999998</v>
      </c>
      <c r="FG10" s="6">
        <v>0.3399999993333333</v>
      </c>
      <c r="FH10" s="6">
        <v>0.60000000033333323</v>
      </c>
      <c r="FI10" s="6">
        <v>0.48000000066666665</v>
      </c>
      <c r="FJ10" s="6">
        <v>0.50666666133333327</v>
      </c>
      <c r="FK10" s="6">
        <v>0.24857142542857141</v>
      </c>
      <c r="FL10" s="6">
        <v>0.65833333133333327</v>
      </c>
      <c r="FM10" s="6">
        <v>0.81666666833333323</v>
      </c>
      <c r="FN10" s="6">
        <v>0.42666665999999998</v>
      </c>
      <c r="FO10" s="6">
        <v>0.58999999633333322</v>
      </c>
      <c r="FP10" s="6">
        <v>0.38666666666666666</v>
      </c>
      <c r="FQ10" s="323" t="s">
        <v>267</v>
      </c>
      <c r="FR10" s="6">
        <v>1</v>
      </c>
      <c r="FS10" s="6">
        <v>7</v>
      </c>
      <c r="FT10" s="282">
        <v>0.78200000000000003</v>
      </c>
      <c r="FU10" s="71">
        <v>0.39999999999999997</v>
      </c>
      <c r="FV10" s="142">
        <v>0.62666666666666659</v>
      </c>
      <c r="FW10" s="147">
        <v>0.5</v>
      </c>
      <c r="FX10" s="136">
        <v>0.68333333333333324</v>
      </c>
      <c r="FY10" s="135">
        <v>0.37285714285714283</v>
      </c>
      <c r="FZ10" s="148">
        <v>0.73499999999999999</v>
      </c>
      <c r="GA10" s="149">
        <v>0.91999999999999993</v>
      </c>
      <c r="GB10" s="150">
        <v>0.93</v>
      </c>
      <c r="GC10" s="141">
        <v>0.8933333333333332</v>
      </c>
      <c r="GD10" s="283">
        <v>0.39999999999999997</v>
      </c>
      <c r="GE10" s="320"/>
      <c r="GF10" s="6">
        <v>15</v>
      </c>
      <c r="GG10" s="6">
        <v>11</v>
      </c>
      <c r="GH10" s="6">
        <v>27</v>
      </c>
      <c r="GI10" s="6">
        <v>-3</v>
      </c>
      <c r="GJ10" s="6">
        <v>5</v>
      </c>
      <c r="GK10" s="6">
        <v>16</v>
      </c>
      <c r="GL10" s="6">
        <v>71</v>
      </c>
      <c r="GN10" s="6">
        <v>128</v>
      </c>
      <c r="GO10" s="6">
        <v>125</v>
      </c>
      <c r="GP10" s="6">
        <v>108</v>
      </c>
      <c r="GQ10" s="6">
        <v>66</v>
      </c>
      <c r="GR10" s="6">
        <v>132</v>
      </c>
      <c r="GS10" s="150">
        <v>1</v>
      </c>
      <c r="GT10" s="320"/>
      <c r="GU10" s="320"/>
      <c r="GV10" s="373"/>
      <c r="GW10" s="79"/>
      <c r="GX10" s="18"/>
      <c r="GY10" s="320"/>
      <c r="GZ10" s="320"/>
      <c r="HA10" s="373"/>
      <c r="HB10" s="222"/>
      <c r="HC10" s="320"/>
      <c r="HD10" s="320"/>
      <c r="HE10" s="373"/>
      <c r="HF10" s="222"/>
      <c r="HG10" s="320"/>
      <c r="HH10" s="320"/>
      <c r="HI10" s="373"/>
      <c r="HJ10" s="222"/>
      <c r="HK10" s="79"/>
      <c r="HL10" s="79"/>
      <c r="HM10" s="374"/>
      <c r="HN10" s="79"/>
      <c r="HQ10" s="3"/>
      <c r="HR10" s="18"/>
      <c r="HU10" s="3"/>
      <c r="HV10" s="18"/>
      <c r="HY10" s="3"/>
      <c r="HZ10" s="18"/>
      <c r="IC10" s="3">
        <f t="shared" si="31"/>
        <v>0</v>
      </c>
      <c r="ID10" s="18"/>
      <c r="IG10" s="3"/>
      <c r="IH10" s="18"/>
      <c r="IK10" s="3"/>
      <c r="IL10" s="18"/>
      <c r="IO10" s="3"/>
      <c r="IP10" s="18"/>
      <c r="IS10" s="3"/>
      <c r="IT10" s="18"/>
      <c r="IW10" s="3"/>
      <c r="IX10" s="18"/>
      <c r="JA10" s="3"/>
      <c r="JB10" s="18"/>
      <c r="JC10" s="18"/>
      <c r="JE10" s="18"/>
      <c r="JF10" s="337">
        <v>8</v>
      </c>
      <c r="JG10" s="147"/>
      <c r="JH10" s="147"/>
      <c r="JI10" s="147"/>
      <c r="JJ10" s="147"/>
      <c r="JK10" s="147"/>
      <c r="JL10" s="147"/>
      <c r="JM10" s="147"/>
      <c r="JN10" s="147"/>
      <c r="JO10" s="18"/>
      <c r="JP10" s="147"/>
      <c r="JQ10" s="147"/>
      <c r="JR10" s="147"/>
      <c r="JS10" s="147"/>
      <c r="JT10" s="147"/>
      <c r="JU10" s="147"/>
      <c r="JV10" s="147"/>
      <c r="JW10" s="147"/>
      <c r="JX10" s="147"/>
      <c r="JY10" s="147"/>
      <c r="JZ10" s="147"/>
      <c r="KA10" s="147"/>
      <c r="KB10" s="147"/>
      <c r="KC10" s="147"/>
      <c r="KD10" s="147"/>
      <c r="KE10" s="350"/>
      <c r="KF10" s="342"/>
      <c r="KG10" s="342"/>
      <c r="KH10" s="349"/>
      <c r="KI10" s="342"/>
      <c r="KJ10" s="342"/>
      <c r="KK10" s="349"/>
      <c r="KL10" s="349"/>
      <c r="KM10" s="349"/>
      <c r="KN10" s="355"/>
      <c r="KO10" s="145"/>
      <c r="KP10" s="145"/>
      <c r="KQ10" s="341"/>
      <c r="KR10" s="6">
        <v>0.66800000199999998</v>
      </c>
      <c r="KS10" s="6">
        <v>0.3399999993333333</v>
      </c>
      <c r="KT10" s="6">
        <v>0.60000000033333323</v>
      </c>
      <c r="KU10" s="6">
        <v>0.48000000066666665</v>
      </c>
      <c r="KV10" s="6">
        <v>0.50666666133333327</v>
      </c>
      <c r="KW10" s="6">
        <v>0.24857142542857141</v>
      </c>
      <c r="KX10" s="6">
        <v>0.65833333133333327</v>
      </c>
      <c r="KY10" s="6">
        <v>0.81666666833333323</v>
      </c>
      <c r="KZ10" s="6">
        <v>0.42666665999999998</v>
      </c>
      <c r="LA10" s="6">
        <v>0.58999999633333322</v>
      </c>
      <c r="LB10" s="6">
        <v>0.38666666666666666</v>
      </c>
      <c r="LC10" s="358" t="s">
        <v>630</v>
      </c>
      <c r="LD10" s="358" t="s">
        <v>217</v>
      </c>
      <c r="LE10" s="358"/>
      <c r="LF10" s="358"/>
      <c r="LG10" s="358"/>
      <c r="LH10" s="358"/>
      <c r="LI10" s="358"/>
      <c r="LJ10" s="150">
        <v>1</v>
      </c>
      <c r="LK10" s="364"/>
      <c r="LL10" s="350"/>
      <c r="LM10" s="364"/>
      <c r="LN10" s="5"/>
      <c r="LO10" s="364"/>
      <c r="LP10" s="364"/>
      <c r="LQ10" s="80"/>
      <c r="LR10" s="77"/>
      <c r="LS10" s="350"/>
      <c r="LT10" s="364"/>
      <c r="LU10" s="5"/>
      <c r="LV10" s="364"/>
      <c r="LW10" s="364"/>
      <c r="LX10" s="80"/>
      <c r="LY10" s="77"/>
      <c r="LZ10" s="350"/>
      <c r="MA10" s="364"/>
      <c r="MB10" s="5"/>
      <c r="MC10" s="364"/>
      <c r="MD10" s="364"/>
      <c r="ME10" s="80"/>
      <c r="MF10" s="77"/>
      <c r="MG10" s="350"/>
      <c r="MH10" s="364"/>
      <c r="MI10" s="5"/>
      <c r="MJ10" s="364"/>
      <c r="MK10" s="364"/>
      <c r="ML10" s="80"/>
      <c r="MM10" s="77"/>
    </row>
    <row r="11" spans="1:361" s="18" customFormat="1" ht="15.75" customHeight="1" thickBot="1" x14ac:dyDescent="0.25">
      <c r="A11" s="3" t="s">
        <v>8</v>
      </c>
      <c r="B11" s="5">
        <v>0</v>
      </c>
      <c r="C11" s="5">
        <v>1</v>
      </c>
      <c r="D11" s="5">
        <v>26</v>
      </c>
      <c r="E11" s="5">
        <v>59</v>
      </c>
      <c r="F11" s="5">
        <v>54</v>
      </c>
      <c r="G11" s="18">
        <v>25</v>
      </c>
      <c r="H11" s="24">
        <v>117</v>
      </c>
      <c r="I11" s="5">
        <v>18</v>
      </c>
      <c r="J11" s="5">
        <v>160</v>
      </c>
      <c r="K11" s="5">
        <v>72</v>
      </c>
      <c r="L11" s="5">
        <v>92</v>
      </c>
      <c r="M11" s="5">
        <v>61</v>
      </c>
      <c r="N11" s="5">
        <v>166</v>
      </c>
      <c r="O11" s="5">
        <v>7</v>
      </c>
      <c r="P11" s="5">
        <v>-1</v>
      </c>
      <c r="Q11" s="5">
        <v>0</v>
      </c>
      <c r="R11" s="5">
        <v>1</v>
      </c>
      <c r="S11" s="5">
        <v>8</v>
      </c>
      <c r="T11" s="18">
        <v>7</v>
      </c>
      <c r="U11" s="5">
        <v>-1</v>
      </c>
      <c r="V11" s="5">
        <v>3</v>
      </c>
      <c r="W11" s="5">
        <v>11</v>
      </c>
      <c r="X11" s="5">
        <v>-8</v>
      </c>
      <c r="Y11" s="5">
        <v>1</v>
      </c>
      <c r="Z11" s="92">
        <v>-3.7704547368421E-2</v>
      </c>
      <c r="AA11" s="88">
        <v>14.5</v>
      </c>
      <c r="AB11" s="68">
        <v>84</v>
      </c>
      <c r="AC11" s="5">
        <v>77</v>
      </c>
      <c r="AD11" s="5">
        <v>108</v>
      </c>
      <c r="AE11" s="80">
        <v>90</v>
      </c>
      <c r="AF11" s="179">
        <v>4</v>
      </c>
      <c r="AG11" s="154">
        <v>7</v>
      </c>
      <c r="AH11" s="154">
        <v>-8</v>
      </c>
      <c r="AI11" s="154">
        <v>1</v>
      </c>
      <c r="AJ11" s="68">
        <v>88</v>
      </c>
      <c r="AK11" s="5">
        <v>84</v>
      </c>
      <c r="AL11" s="5">
        <v>100</v>
      </c>
      <c r="AM11" s="80">
        <v>91</v>
      </c>
      <c r="AN11" s="68">
        <v>84</v>
      </c>
      <c r="AO11" s="5">
        <v>77</v>
      </c>
      <c r="AP11" s="5">
        <v>108</v>
      </c>
      <c r="AQ11" s="80">
        <v>90</v>
      </c>
      <c r="AR11" s="68">
        <v>88</v>
      </c>
      <c r="AS11" s="5">
        <v>84</v>
      </c>
      <c r="AT11" s="5">
        <v>100</v>
      </c>
      <c r="AU11" s="80">
        <v>91</v>
      </c>
      <c r="AV11" s="179">
        <f t="shared" si="11"/>
        <v>-4</v>
      </c>
      <c r="AW11" s="179">
        <f t="shared" si="0"/>
        <v>-7</v>
      </c>
      <c r="AX11" s="179">
        <f t="shared" si="0"/>
        <v>8</v>
      </c>
      <c r="AY11" s="179">
        <f t="shared" si="0"/>
        <v>-1</v>
      </c>
      <c r="AZ11" s="9">
        <v>1.2857142857142858</v>
      </c>
      <c r="BA11" s="77">
        <v>0.14935064935064934</v>
      </c>
      <c r="BB11" s="18">
        <v>0.91666666666666663</v>
      </c>
      <c r="BC11" s="77">
        <v>-3.7878787878787956E-2</v>
      </c>
      <c r="BD11" s="154">
        <v>1</v>
      </c>
      <c r="BE11" s="144">
        <v>0.25</v>
      </c>
      <c r="BF11" s="5">
        <v>0</v>
      </c>
      <c r="BG11" s="5">
        <v>-1</v>
      </c>
      <c r="BK11" s="18" t="s">
        <v>8</v>
      </c>
      <c r="BL11" s="18">
        <v>0</v>
      </c>
      <c r="BM11" s="18">
        <v>0</v>
      </c>
      <c r="BN11" s="18">
        <v>1</v>
      </c>
      <c r="BO11" s="18">
        <v>1</v>
      </c>
      <c r="BP11" s="18">
        <v>2</v>
      </c>
      <c r="BQ11" s="138" t="s">
        <v>478</v>
      </c>
      <c r="BR11" s="138">
        <v>-1.8204670589212401E-28</v>
      </c>
      <c r="BS11" s="138" t="s">
        <v>479</v>
      </c>
      <c r="BT11" s="138">
        <v>-3.0624075809420199E-28</v>
      </c>
      <c r="BU11" s="138">
        <f t="shared" si="12"/>
        <v>-2.44143731993163E-28</v>
      </c>
      <c r="BW11" s="18">
        <v>1</v>
      </c>
      <c r="BX11" s="18">
        <v>0.30000001192100001</v>
      </c>
      <c r="BY11" s="18">
        <f t="shared" si="13"/>
        <v>0.69999998807899999</v>
      </c>
      <c r="BZ11" s="3">
        <v>0.18800000020000002</v>
      </c>
      <c r="CA11" s="18">
        <v>6.6666666666666671E-3</v>
      </c>
      <c r="CB11" s="18">
        <v>0.29000000133333331</v>
      </c>
      <c r="CC11" s="18">
        <v>0.52999999133333331</v>
      </c>
      <c r="CD11" s="18">
        <v>0.66666666666666663</v>
      </c>
      <c r="CE11" s="18">
        <v>2.4285714571428575E-2</v>
      </c>
      <c r="CF11" s="18">
        <v>0</v>
      </c>
      <c r="CG11" s="18">
        <v>0.45333333799999997</v>
      </c>
      <c r="CH11" s="18">
        <v>1</v>
      </c>
      <c r="CI11" s="18">
        <v>0.72999999933333337</v>
      </c>
      <c r="CJ11" s="18">
        <v>0.54000000166666673</v>
      </c>
      <c r="CK11" s="285" t="s">
        <v>529</v>
      </c>
      <c r="CL11" s="18">
        <v>1.468671265</v>
      </c>
      <c r="CM11" s="18">
        <v>-3.0254243939999999</v>
      </c>
      <c r="CN11" s="18">
        <v>-0.20431877879999999</v>
      </c>
      <c r="CO11" s="18">
        <v>-0.16001067660000001</v>
      </c>
      <c r="CP11" s="18">
        <v>5.5733252490000003E-2</v>
      </c>
      <c r="CQ11" s="18">
        <v>-0.16547764279999999</v>
      </c>
      <c r="CR11" s="18">
        <v>-0.13979975659999999</v>
      </c>
      <c r="CS11" s="18">
        <v>-0.18530570190000001</v>
      </c>
      <c r="CT11" s="18">
        <v>-0.27851456330000002</v>
      </c>
      <c r="CY11" s="18">
        <v>-0.38697662319999998</v>
      </c>
      <c r="CZ11" s="285" t="s">
        <v>529</v>
      </c>
      <c r="DA11" s="68">
        <v>11.497704349999999</v>
      </c>
      <c r="DB11" s="5">
        <v>13.30867402</v>
      </c>
      <c r="DC11" s="5">
        <v>14.96476354</v>
      </c>
      <c r="DD11" s="80">
        <f>AVERAGE(DA11,DC11)</f>
        <v>13.231233945</v>
      </c>
      <c r="DE11" s="68">
        <v>10.47452399</v>
      </c>
      <c r="DF11" s="5">
        <v>11.16413972</v>
      </c>
      <c r="DG11" s="5">
        <v>12.45880094</v>
      </c>
      <c r="DH11" s="80">
        <f>AVERAGE(DE11,DG11)</f>
        <v>11.466662464999999</v>
      </c>
      <c r="DI11" s="151">
        <f t="shared" ref="DI11:DL15" si="61">DE11-DA11</f>
        <v>-1.0231803599999996</v>
      </c>
      <c r="DJ11" s="24">
        <f t="shared" si="61"/>
        <v>-2.1445343000000001</v>
      </c>
      <c r="DK11" s="294">
        <f t="shared" si="61"/>
        <v>-2.5059626000000002</v>
      </c>
      <c r="DL11" s="244">
        <f t="shared" si="61"/>
        <v>-1.7645714800000007</v>
      </c>
      <c r="DM11" s="295" t="s">
        <v>529</v>
      </c>
      <c r="DN11" s="68">
        <v>2.3381888019999999</v>
      </c>
      <c r="DO11" s="5">
        <v>2.8519991689999999</v>
      </c>
      <c r="DP11" s="5">
        <v>2.8182886960000002</v>
      </c>
      <c r="DQ11" s="3">
        <f>AVERAGE(DN11,DP11)</f>
        <v>2.5782387490000001</v>
      </c>
      <c r="DR11" s="68">
        <v>3.4219476109999998</v>
      </c>
      <c r="DS11" s="5">
        <v>2.8031716649999998</v>
      </c>
      <c r="DT11" s="5">
        <v>4.4861837580000001</v>
      </c>
      <c r="DU11" s="3">
        <f>AVERAGE(DR11,DT11)</f>
        <v>3.9540656844999997</v>
      </c>
      <c r="DV11" s="24">
        <f t="shared" ref="DV11:DY15" si="62">DR11-DN11</f>
        <v>1.0837588089999999</v>
      </c>
      <c r="DW11" s="24">
        <f t="shared" si="62"/>
        <v>-4.8827504000000133E-2</v>
      </c>
      <c r="DX11" s="24">
        <f t="shared" si="62"/>
        <v>1.6678950619999999</v>
      </c>
      <c r="DY11" s="188">
        <f t="shared" si="62"/>
        <v>1.3758269354999997</v>
      </c>
      <c r="DZ11" s="295" t="s">
        <v>529</v>
      </c>
      <c r="EA11" s="18">
        <v>5.3950692499999997</v>
      </c>
      <c r="EB11" s="18">
        <v>8.1937316649999996</v>
      </c>
      <c r="EC11" s="18">
        <v>7.6361723870000002</v>
      </c>
      <c r="ED11" s="3">
        <f>AVERAGE(EA11,EC11)</f>
        <v>6.5156208185000004</v>
      </c>
      <c r="EE11" s="18">
        <v>4.6469136730000002</v>
      </c>
      <c r="EF11" s="18">
        <v>4.3288625280000002</v>
      </c>
      <c r="EG11" s="18">
        <v>4.5756612199999998</v>
      </c>
      <c r="EH11" s="3">
        <f>AVERAGE(EE11,EG11)</f>
        <v>4.6112874465000004</v>
      </c>
      <c r="EI11" s="24">
        <f t="shared" ref="EI11:EL15" si="63">EE11-EA11</f>
        <v>-0.74815557699999946</v>
      </c>
      <c r="EJ11" s="24">
        <f t="shared" si="63"/>
        <v>-3.8648691369999995</v>
      </c>
      <c r="EK11" s="24">
        <f t="shared" si="63"/>
        <v>-3.0605111670000005</v>
      </c>
      <c r="EL11" s="188">
        <f t="shared" si="63"/>
        <v>-1.904333372</v>
      </c>
      <c r="EM11" s="295" t="s">
        <v>529</v>
      </c>
      <c r="EN11" s="151" t="s">
        <v>478</v>
      </c>
      <c r="EO11" s="244">
        <v>89.845520028504495</v>
      </c>
      <c r="EP11" s="151" t="s">
        <v>479</v>
      </c>
      <c r="EQ11" s="244">
        <v>69.162383818088998</v>
      </c>
      <c r="ER11" s="244">
        <f t="shared" si="14"/>
        <v>79.503951923296739</v>
      </c>
      <c r="ES11" s="18">
        <v>2</v>
      </c>
      <c r="ET11" s="18">
        <v>7</v>
      </c>
      <c r="EU11" s="18">
        <v>9</v>
      </c>
      <c r="EV11" s="18">
        <v>1</v>
      </c>
      <c r="EW11" s="18">
        <v>2</v>
      </c>
      <c r="EX11" s="18">
        <v>0</v>
      </c>
      <c r="EY11" s="18">
        <v>21</v>
      </c>
      <c r="EZ11" s="5">
        <v>-3.0254243939999999</v>
      </c>
      <c r="FA11" s="18">
        <v>-17.072279242539452</v>
      </c>
      <c r="FB11" s="310">
        <v>9</v>
      </c>
      <c r="FC11" s="5">
        <v>59</v>
      </c>
      <c r="FD11" s="18">
        <v>25</v>
      </c>
      <c r="FE11" s="340">
        <v>14.5</v>
      </c>
      <c r="FF11" s="18">
        <v>0.18800000020000002</v>
      </c>
      <c r="FG11" s="18">
        <v>6.6666666666666671E-3</v>
      </c>
      <c r="FH11" s="18">
        <v>0.29000000133333331</v>
      </c>
      <c r="FI11" s="18">
        <v>0.52999999133333331</v>
      </c>
      <c r="FJ11" s="18">
        <v>0.66666666666666663</v>
      </c>
      <c r="FK11" s="18">
        <v>2.4285714571428575E-2</v>
      </c>
      <c r="FL11" s="18">
        <v>0</v>
      </c>
      <c r="FM11" s="18">
        <v>0.45333333799999997</v>
      </c>
      <c r="FN11" s="18">
        <v>1</v>
      </c>
      <c r="FO11" s="18">
        <v>0.72999999933333337</v>
      </c>
      <c r="FP11" s="18">
        <v>0.54000000166666673</v>
      </c>
      <c r="FQ11" s="322">
        <v>0</v>
      </c>
      <c r="FR11" s="5">
        <v>-1</v>
      </c>
      <c r="FS11" s="5">
        <v>1</v>
      </c>
      <c r="FT11" s="259">
        <v>0.18800000020000002</v>
      </c>
      <c r="FU11" s="72">
        <v>6.6666666666666671E-3</v>
      </c>
      <c r="FV11" s="260">
        <v>0.29000000133333331</v>
      </c>
      <c r="FW11" s="261">
        <v>0.52999999133333331</v>
      </c>
      <c r="FX11" s="154">
        <v>0.66666666666666663</v>
      </c>
      <c r="FY11" s="262">
        <v>2.4285714571428575E-2</v>
      </c>
      <c r="FZ11" s="263">
        <v>0</v>
      </c>
      <c r="GA11" s="264">
        <v>0.45333333799999997</v>
      </c>
      <c r="GB11" s="265">
        <v>1</v>
      </c>
      <c r="GC11" s="266">
        <v>0.72999999933333337</v>
      </c>
      <c r="GD11" s="267">
        <v>0.54000000166666673</v>
      </c>
      <c r="GE11" s="5">
        <v>-3.0254243939999999</v>
      </c>
      <c r="GF11" s="18">
        <v>2</v>
      </c>
      <c r="GG11" s="18">
        <v>7</v>
      </c>
      <c r="GH11" s="18">
        <v>9</v>
      </c>
      <c r="GI11" s="18">
        <v>1</v>
      </c>
      <c r="GJ11" s="18">
        <v>2</v>
      </c>
      <c r="GK11" s="18">
        <v>0</v>
      </c>
      <c r="GL11" s="18">
        <v>21</v>
      </c>
      <c r="GN11" s="5">
        <v>160</v>
      </c>
      <c r="GO11" s="5">
        <v>72</v>
      </c>
      <c r="GP11" s="5">
        <v>92</v>
      </c>
      <c r="GQ11" s="5">
        <v>61</v>
      </c>
      <c r="GR11" s="5">
        <v>166</v>
      </c>
      <c r="GS11" s="144">
        <v>0.25</v>
      </c>
      <c r="GT11" s="18">
        <v>93.466999999999999</v>
      </c>
      <c r="GU11" s="18">
        <v>80.575500000000005</v>
      </c>
      <c r="GV11" s="3">
        <f t="shared" si="15"/>
        <v>12.891499999999994</v>
      </c>
      <c r="GW11" s="5">
        <f t="shared" si="16"/>
        <v>1.1599928017821795</v>
      </c>
      <c r="GX11" s="18">
        <f t="shared" si="17"/>
        <v>6.4455294264868068E-2</v>
      </c>
      <c r="GY11" s="18">
        <v>78.631500000000003</v>
      </c>
      <c r="GZ11" s="18">
        <v>70.873199999999997</v>
      </c>
      <c r="HA11" s="3">
        <f t="shared" si="18"/>
        <v>7.7583000000000055</v>
      </c>
      <c r="HB11" s="18">
        <f t="shared" si="19"/>
        <v>1.1094673303872269</v>
      </c>
      <c r="HC11" s="18">
        <v>92.334199999999996</v>
      </c>
      <c r="HD11" s="18">
        <v>85.747200000000007</v>
      </c>
      <c r="HE11" s="3">
        <f t="shared" si="20"/>
        <v>6.5869999999999891</v>
      </c>
      <c r="HF11" s="18">
        <f t="shared" si="21"/>
        <v>1.0768188349007313</v>
      </c>
      <c r="HG11" s="18">
        <v>41.701700000000002</v>
      </c>
      <c r="HH11" s="18">
        <v>56.959499999999998</v>
      </c>
      <c r="HI11" s="3">
        <f t="shared" si="22"/>
        <v>-15.257799999999996</v>
      </c>
      <c r="HJ11" s="18">
        <f t="shared" si="23"/>
        <v>0.73212896882872924</v>
      </c>
      <c r="HK11" s="5">
        <v>113.14400000000001</v>
      </c>
      <c r="HL11" s="5">
        <v>92.5745</v>
      </c>
      <c r="HM11" s="3">
        <f t="shared" si="24"/>
        <v>20.569500000000005</v>
      </c>
      <c r="HN11" s="5">
        <f t="shared" si="60"/>
        <v>1.2221940167108654</v>
      </c>
      <c r="HO11" s="18">
        <v>61.835500000000003</v>
      </c>
      <c r="HP11" s="18">
        <v>52.742800000000003</v>
      </c>
      <c r="HQ11" s="3">
        <f t="shared" si="25"/>
        <v>9.0927000000000007</v>
      </c>
      <c r="HR11" s="18">
        <f t="shared" si="26"/>
        <v>1.1723969906792966</v>
      </c>
      <c r="HS11" s="18">
        <v>63.552300000000002</v>
      </c>
      <c r="HT11" s="18">
        <v>56.298499999999997</v>
      </c>
      <c r="HU11" s="3">
        <f t="shared" si="27"/>
        <v>7.2538000000000054</v>
      </c>
      <c r="HV11" s="18">
        <f t="shared" si="28"/>
        <v>1.1288453511194794</v>
      </c>
      <c r="HW11" s="18">
        <v>60.647500000000001</v>
      </c>
      <c r="HX11" s="18">
        <v>55.482300000000002</v>
      </c>
      <c r="HY11" s="3">
        <f t="shared" si="29"/>
        <v>5.1651999999999987</v>
      </c>
      <c r="HZ11" s="18">
        <f t="shared" si="30"/>
        <v>1.0930963568561505</v>
      </c>
      <c r="IA11" s="18">
        <v>52.150199999999998</v>
      </c>
      <c r="IB11" s="18">
        <v>45.530099999999997</v>
      </c>
      <c r="IC11" s="3">
        <f t="shared" si="31"/>
        <v>6.6201000000000008</v>
      </c>
      <c r="ID11" s="18">
        <f t="shared" si="32"/>
        <v>1.1454005152635289</v>
      </c>
      <c r="IE11" s="18">
        <v>43.303800000000003</v>
      </c>
      <c r="IF11" s="18">
        <v>50.890300000000003</v>
      </c>
      <c r="IG11" s="3">
        <f t="shared" si="33"/>
        <v>-7.5865000000000009</v>
      </c>
      <c r="IH11" s="18">
        <f t="shared" si="34"/>
        <v>0.85092443943148299</v>
      </c>
      <c r="II11" s="18">
        <v>65.724999999999994</v>
      </c>
      <c r="IJ11" s="18">
        <v>59.487699999999997</v>
      </c>
      <c r="IK11" s="3">
        <f t="shared" si="35"/>
        <v>6.2372999999999976</v>
      </c>
      <c r="IL11" s="18">
        <f t="shared" si="36"/>
        <v>1.1048502463534478</v>
      </c>
      <c r="IM11" s="18">
        <v>84.295299999999997</v>
      </c>
      <c r="IN11" s="18">
        <v>79.565799999999996</v>
      </c>
      <c r="IO11" s="3">
        <f t="shared" si="37"/>
        <v>4.7295000000000016</v>
      </c>
      <c r="IP11" s="18">
        <f t="shared" si="38"/>
        <v>1.0594413680249555</v>
      </c>
      <c r="IQ11" s="18">
        <v>56.403500000000001</v>
      </c>
      <c r="IR11" s="18">
        <v>50.467500000000001</v>
      </c>
      <c r="IS11" s="3">
        <f t="shared" si="39"/>
        <v>5.9359999999999999</v>
      </c>
      <c r="IT11" s="18">
        <f t="shared" si="40"/>
        <v>1.1176202506563631</v>
      </c>
      <c r="IU11" s="18">
        <v>62.968800000000002</v>
      </c>
      <c r="IV11" s="18">
        <v>54.052</v>
      </c>
      <c r="IW11" s="3">
        <f t="shared" si="41"/>
        <v>8.9168000000000021</v>
      </c>
      <c r="IX11" s="18">
        <f t="shared" si="42"/>
        <v>1.1649670687486124</v>
      </c>
      <c r="IY11" s="18">
        <v>70.757499999999993</v>
      </c>
      <c r="IZ11" s="18">
        <v>61.775500000000001</v>
      </c>
      <c r="JA11" s="3">
        <f t="shared" si="43"/>
        <v>8.9819999999999922</v>
      </c>
      <c r="JB11" s="18">
        <f t="shared" si="44"/>
        <v>1.1453974472080355</v>
      </c>
      <c r="JC11" s="18">
        <f>LOG(HN11)</f>
        <v>8.7140153286757074E-2</v>
      </c>
      <c r="JD11" s="18">
        <v>79.503951923296739</v>
      </c>
      <c r="JE11" s="18">
        <f t="shared" si="45"/>
        <v>0.79503951923296734</v>
      </c>
      <c r="JG11" s="336" t="s">
        <v>599</v>
      </c>
      <c r="JH11" s="18">
        <v>0.52955631006998105</v>
      </c>
      <c r="JJ11" s="336" t="s">
        <v>599</v>
      </c>
      <c r="JK11" s="18">
        <v>0.444742717221358</v>
      </c>
      <c r="JM11" s="336" t="s">
        <v>599</v>
      </c>
      <c r="JN11" s="18">
        <v>0.57132012192061998</v>
      </c>
      <c r="JO11" s="18">
        <f t="shared" si="46"/>
        <v>0.42867987807938002</v>
      </c>
      <c r="JP11" s="336" t="s">
        <v>599</v>
      </c>
      <c r="JQ11" s="18">
        <v>0.66814086301810804</v>
      </c>
      <c r="JT11" s="336" t="s">
        <v>599</v>
      </c>
      <c r="JU11" s="18">
        <v>0.57568601175968503</v>
      </c>
      <c r="JW11" s="336" t="s">
        <v>599</v>
      </c>
      <c r="JX11" s="18">
        <v>0.61226929492436</v>
      </c>
      <c r="JZ11" s="336" t="s">
        <v>599</v>
      </c>
      <c r="KA11" s="18">
        <v>0.78780867342828897</v>
      </c>
      <c r="KC11" s="336" t="s">
        <v>599</v>
      </c>
      <c r="KD11" s="18">
        <v>0.80135305576066596</v>
      </c>
      <c r="KE11" s="68" t="s">
        <v>529</v>
      </c>
      <c r="KF11" s="347">
        <v>3.5999999999999999E-3</v>
      </c>
      <c r="KG11" s="347">
        <v>-1.09E-2</v>
      </c>
      <c r="KH11" s="347">
        <f t="shared" si="47"/>
        <v>-3.65E-3</v>
      </c>
      <c r="KI11" s="348">
        <v>1.15E-2</v>
      </c>
      <c r="KJ11" s="348">
        <v>1.6799999999999999E-2</v>
      </c>
      <c r="KK11" s="348">
        <f t="shared" si="48"/>
        <v>1.4149999999999999E-2</v>
      </c>
      <c r="KL11" s="347">
        <f t="shared" si="49"/>
        <v>1.78E-2</v>
      </c>
      <c r="KM11" s="347">
        <f t="shared" si="50"/>
        <v>-3.8767123287671232</v>
      </c>
      <c r="KN11" s="354">
        <f>KM11+3.878</f>
        <v>1.2876712328768747E-3</v>
      </c>
      <c r="KO11" s="18">
        <f t="shared" si="51"/>
        <v>-2.8901950065207025</v>
      </c>
      <c r="KP11" s="145"/>
      <c r="KQ11" s="340">
        <v>14.5</v>
      </c>
      <c r="KR11" s="18">
        <v>0.18800000020000002</v>
      </c>
      <c r="KS11" s="18">
        <v>6.6666666666666671E-3</v>
      </c>
      <c r="KT11" s="18">
        <v>0.29000000133333331</v>
      </c>
      <c r="KU11" s="18">
        <v>0.52999999133333331</v>
      </c>
      <c r="KV11" s="18">
        <v>0.66666666666666663</v>
      </c>
      <c r="KW11" s="18">
        <v>2.4285714571428575E-2</v>
      </c>
      <c r="KX11" s="18">
        <v>0</v>
      </c>
      <c r="KY11" s="18">
        <v>0.45333333799999997</v>
      </c>
      <c r="KZ11" s="18">
        <v>1</v>
      </c>
      <c r="LA11" s="18">
        <v>0.72999999933333337</v>
      </c>
      <c r="LB11" s="18">
        <v>0.54000000166666673</v>
      </c>
      <c r="LC11" s="358" t="s">
        <v>631</v>
      </c>
      <c r="LD11" s="358">
        <v>14.5</v>
      </c>
      <c r="LE11" s="358">
        <v>17</v>
      </c>
      <c r="LF11" s="358">
        <v>17</v>
      </c>
      <c r="LG11" s="358">
        <v>5.5</v>
      </c>
      <c r="LH11" s="358">
        <v>10</v>
      </c>
      <c r="LI11" s="358">
        <v>6</v>
      </c>
      <c r="LJ11" s="144">
        <v>0.25</v>
      </c>
      <c r="LK11" s="158" t="s">
        <v>529</v>
      </c>
      <c r="LL11" s="68">
        <v>0.4834</v>
      </c>
      <c r="LM11" s="5">
        <v>0.4914</v>
      </c>
      <c r="LN11" s="5">
        <f t="shared" si="52"/>
        <v>0.4874</v>
      </c>
      <c r="LO11" s="5">
        <v>0.51880000000000004</v>
      </c>
      <c r="LP11" s="5">
        <v>0.53449999999999998</v>
      </c>
      <c r="LQ11" s="80">
        <f t="shared" si="53"/>
        <v>0.52665000000000006</v>
      </c>
      <c r="LR11" s="77">
        <f t="shared" si="54"/>
        <v>-3.9250000000000063E-2</v>
      </c>
      <c r="LS11" s="68">
        <v>9.5755999999999997</v>
      </c>
      <c r="LT11" s="5">
        <v>11.264099999999999</v>
      </c>
      <c r="LU11" s="5">
        <f t="shared" si="55"/>
        <v>10.41985</v>
      </c>
      <c r="LV11" s="5">
        <v>12.825900000000001</v>
      </c>
      <c r="LW11" s="5">
        <v>14.8575</v>
      </c>
      <c r="LX11" s="80">
        <f t="shared" si="56"/>
        <v>13.841699999999999</v>
      </c>
      <c r="LY11" s="77">
        <f t="shared" si="57"/>
        <v>-3.4218499999999992</v>
      </c>
      <c r="LZ11" s="68">
        <v>1.0619000000000001</v>
      </c>
      <c r="MA11" s="5">
        <v>1.0507</v>
      </c>
      <c r="MB11" s="5">
        <f>AVERAGE(LZ11:MA11)</f>
        <v>1.0563</v>
      </c>
      <c r="MC11" s="5">
        <v>0.98640000000000005</v>
      </c>
      <c r="MD11" s="5">
        <v>0.97729999999999995</v>
      </c>
      <c r="ME11" s="80">
        <f>AVERAGE(MC11:MD11)</f>
        <v>0.98185</v>
      </c>
      <c r="MF11" s="77">
        <f t="shared" si="58"/>
        <v>7.4450000000000016E-2</v>
      </c>
      <c r="MG11" s="68">
        <v>0.27960000000000002</v>
      </c>
      <c r="MH11" s="5">
        <v>0.30570000000000003</v>
      </c>
      <c r="MI11" s="5">
        <f>AVERAGE(MG11:MH11)</f>
        <v>0.29265000000000002</v>
      </c>
      <c r="MJ11" s="5">
        <v>0.38840000000000002</v>
      </c>
      <c r="MK11" s="5">
        <v>0.438</v>
      </c>
      <c r="ML11" s="80">
        <f>AVERAGE(MJ11:MK11)</f>
        <v>0.41320000000000001</v>
      </c>
      <c r="MM11" s="77">
        <f t="shared" si="59"/>
        <v>-0.12054999999999999</v>
      </c>
      <c r="MO11" s="5">
        <v>-1.717963288</v>
      </c>
      <c r="MP11" s="5">
        <v>3.823484439</v>
      </c>
      <c r="MQ11" s="5">
        <v>3.1657128330000002</v>
      </c>
      <c r="MR11" s="5">
        <v>1.8575094400000001</v>
      </c>
      <c r="MS11" s="292">
        <v>2.5532704329999998</v>
      </c>
      <c r="MT11" s="18">
        <v>-3.0254243939999999</v>
      </c>
      <c r="MU11" s="18">
        <v>2.397657095</v>
      </c>
      <c r="MV11" s="18">
        <v>4.2232056470000003</v>
      </c>
      <c r="MW11" s="18">
        <v>3.1952437950000001</v>
      </c>
    </row>
    <row r="12" spans="1:361" s="18" customFormat="1" ht="16.5" customHeight="1" thickBot="1" x14ac:dyDescent="0.25">
      <c r="A12" s="3" t="s">
        <v>9</v>
      </c>
      <c r="B12" s="5">
        <v>0</v>
      </c>
      <c r="C12" s="5">
        <v>5</v>
      </c>
      <c r="D12" s="5">
        <v>29</v>
      </c>
      <c r="E12" s="5">
        <v>19</v>
      </c>
      <c r="F12" s="5">
        <v>44</v>
      </c>
      <c r="G12" s="18">
        <v>40</v>
      </c>
      <c r="H12" s="24">
        <v>118</v>
      </c>
      <c r="I12" s="5">
        <v>15</v>
      </c>
      <c r="J12" s="5">
        <v>106</v>
      </c>
      <c r="K12" s="5">
        <v>118</v>
      </c>
      <c r="L12" s="5">
        <v>101</v>
      </c>
      <c r="M12" s="5">
        <v>78</v>
      </c>
      <c r="N12" s="5">
        <v>109</v>
      </c>
      <c r="O12" s="5">
        <v>2.5</v>
      </c>
      <c r="P12" s="5">
        <v>-10</v>
      </c>
      <c r="Q12" s="5">
        <v>2</v>
      </c>
      <c r="R12" s="5">
        <v>2</v>
      </c>
      <c r="S12" s="5">
        <v>14</v>
      </c>
      <c r="T12" s="18">
        <v>2</v>
      </c>
      <c r="U12" s="5">
        <v>-2</v>
      </c>
      <c r="V12" s="5">
        <v>9</v>
      </c>
      <c r="W12" s="5">
        <v>10</v>
      </c>
      <c r="X12" s="5">
        <v>5</v>
      </c>
      <c r="Y12" s="5">
        <v>10</v>
      </c>
      <c r="Z12" s="92">
        <v>4.3502402631579E-2</v>
      </c>
      <c r="AA12" s="88">
        <v>11</v>
      </c>
      <c r="AB12" s="68">
        <v>95</v>
      </c>
      <c r="AC12" s="5">
        <v>90</v>
      </c>
      <c r="AD12" s="5">
        <v>103</v>
      </c>
      <c r="AE12" s="80">
        <v>96</v>
      </c>
      <c r="AF12" s="179">
        <v>0</v>
      </c>
      <c r="AG12" s="154">
        <v>-2</v>
      </c>
      <c r="AH12" s="154">
        <v>9</v>
      </c>
      <c r="AI12" s="154">
        <v>2</v>
      </c>
      <c r="AJ12" s="68">
        <v>95</v>
      </c>
      <c r="AK12" s="5">
        <v>88</v>
      </c>
      <c r="AL12" s="5">
        <v>112</v>
      </c>
      <c r="AM12" s="80">
        <v>98</v>
      </c>
      <c r="AN12" s="68">
        <v>95</v>
      </c>
      <c r="AO12" s="5">
        <v>90</v>
      </c>
      <c r="AP12" s="5">
        <v>103</v>
      </c>
      <c r="AQ12" s="80">
        <v>96</v>
      </c>
      <c r="AR12" s="68">
        <v>95</v>
      </c>
      <c r="AS12" s="5">
        <v>88</v>
      </c>
      <c r="AT12" s="5">
        <v>112</v>
      </c>
      <c r="AU12" s="80">
        <v>98</v>
      </c>
      <c r="AV12" s="179">
        <f t="shared" si="11"/>
        <v>0</v>
      </c>
      <c r="AW12" s="179">
        <f t="shared" si="0"/>
        <v>2</v>
      </c>
      <c r="AX12" s="179">
        <f t="shared" si="0"/>
        <v>-9</v>
      </c>
      <c r="AY12" s="179">
        <f t="shared" si="0"/>
        <v>-2</v>
      </c>
      <c r="AZ12" s="9">
        <v>1.0842105263157895</v>
      </c>
      <c r="BA12" s="77">
        <v>-9.4736842105263008E-2</v>
      </c>
      <c r="BB12" s="18">
        <v>0.94736842105263153</v>
      </c>
      <c r="BC12" s="77">
        <v>2.1052631578947323E-2</v>
      </c>
      <c r="BD12" s="154">
        <v>0.97</v>
      </c>
      <c r="BE12" s="144">
        <v>0</v>
      </c>
      <c r="BF12" s="5">
        <v>2</v>
      </c>
      <c r="BG12" s="5">
        <v>-10</v>
      </c>
      <c r="BK12" s="18" t="s">
        <v>9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38" t="s">
        <v>480</v>
      </c>
      <c r="BR12" s="138">
        <v>4.9383535401985099E-27</v>
      </c>
      <c r="BS12" s="138" t="s">
        <v>481</v>
      </c>
      <c r="BT12" s="138">
        <v>4.7310489295057099E-27</v>
      </c>
      <c r="BU12" s="138">
        <f t="shared" si="12"/>
        <v>4.8347012348521102E-27</v>
      </c>
      <c r="BW12" s="18">
        <v>1</v>
      </c>
      <c r="BX12" s="18">
        <v>0</v>
      </c>
      <c r="BY12" s="18">
        <f t="shared" si="13"/>
        <v>1</v>
      </c>
      <c r="BZ12" s="3">
        <v>0.16200000000000001</v>
      </c>
      <c r="CA12" s="18">
        <v>0.10666666666666667</v>
      </c>
      <c r="CB12" s="18">
        <v>0.11333333333333333</v>
      </c>
      <c r="CC12" s="18">
        <v>7.0000000000000007E-2</v>
      </c>
      <c r="CD12" s="18">
        <v>0.67333333333333334</v>
      </c>
      <c r="CE12" s="18">
        <v>0.63428571428571423</v>
      </c>
      <c r="CF12" s="18">
        <v>0.25333333333333335</v>
      </c>
      <c r="CG12" s="18">
        <v>0.42333333333333334</v>
      </c>
      <c r="CH12" s="18">
        <v>0.96333333333333326</v>
      </c>
      <c r="CI12" s="18">
        <v>0.03</v>
      </c>
      <c r="CJ12" s="18">
        <v>0.15666666666666665</v>
      </c>
      <c r="CK12" s="296" t="s">
        <v>530</v>
      </c>
      <c r="CL12" s="18">
        <v>1.0856230659999999</v>
      </c>
      <c r="CM12" s="18">
        <v>-1.202560635</v>
      </c>
      <c r="CN12" s="18">
        <v>-0.73623574599999997</v>
      </c>
      <c r="CO12" s="18">
        <v>-0.46553508230000001</v>
      </c>
      <c r="CP12" s="18">
        <v>-0.54200883030000002</v>
      </c>
      <c r="CQ12" s="18">
        <v>-0.29437390720000001</v>
      </c>
      <c r="CR12" s="18">
        <v>-0.40736839229999999</v>
      </c>
      <c r="CS12" s="18">
        <v>-6.0932764340000001E-2</v>
      </c>
      <c r="CT12" s="18">
        <v>-0.47228327040000001</v>
      </c>
      <c r="CY12" s="18">
        <v>0.273186333</v>
      </c>
      <c r="CZ12" s="296" t="s">
        <v>530</v>
      </c>
      <c r="DA12" s="68">
        <v>13.627632589999999</v>
      </c>
      <c r="DB12" s="5">
        <v>11.987173200000001</v>
      </c>
      <c r="DC12" s="5">
        <v>18.56488328</v>
      </c>
      <c r="DD12" s="80">
        <f>AVERAGE(DA12,DC12)</f>
        <v>16.096257935000001</v>
      </c>
      <c r="DE12" s="68">
        <v>8.5172163310000002</v>
      </c>
      <c r="DF12" s="5">
        <v>8.3996779470000007</v>
      </c>
      <c r="DG12" s="5">
        <v>9.2746390099999996</v>
      </c>
      <c r="DH12" s="80">
        <f>AVERAGE(DE12,DG12)</f>
        <v>8.8959276705000008</v>
      </c>
      <c r="DI12" s="151">
        <f t="shared" si="61"/>
        <v>-5.1104162589999991</v>
      </c>
      <c r="DJ12" s="24">
        <f t="shared" si="61"/>
        <v>-3.5874952530000002</v>
      </c>
      <c r="DK12" s="294">
        <f t="shared" si="61"/>
        <v>-9.2902442700000005</v>
      </c>
      <c r="DL12" s="244">
        <f t="shared" si="61"/>
        <v>-7.2003302644999998</v>
      </c>
      <c r="DM12" s="297" t="s">
        <v>530</v>
      </c>
      <c r="DN12" s="68">
        <v>3.7475685470000002</v>
      </c>
      <c r="DO12" s="5">
        <v>3.83344628</v>
      </c>
      <c r="DP12" s="5">
        <v>5.5062615959999999</v>
      </c>
      <c r="DQ12" s="3">
        <f>AVERAGE(DN12,DP12)</f>
        <v>4.6269150715</v>
      </c>
      <c r="DR12" s="68">
        <v>4.5413385499999999</v>
      </c>
      <c r="DS12" s="5">
        <v>3.2617624919999999</v>
      </c>
      <c r="DT12" s="5">
        <v>4.6758254570000002</v>
      </c>
      <c r="DU12" s="3">
        <f>AVERAGE(DR12,DT12)</f>
        <v>4.6085820035000005</v>
      </c>
      <c r="DV12" s="24">
        <f t="shared" si="62"/>
        <v>0.79377000299999967</v>
      </c>
      <c r="DW12" s="24">
        <f t="shared" si="62"/>
        <v>-0.57168378800000008</v>
      </c>
      <c r="DX12" s="24">
        <f t="shared" si="62"/>
        <v>-0.83043613899999968</v>
      </c>
      <c r="DY12" s="188">
        <f t="shared" si="62"/>
        <v>-1.8333067999999564E-2</v>
      </c>
      <c r="DZ12" s="297" t="s">
        <v>530</v>
      </c>
      <c r="EA12" s="18">
        <v>15.535241170000001</v>
      </c>
      <c r="EB12" s="18">
        <v>16.482100549999998</v>
      </c>
      <c r="EC12" s="18">
        <v>23.365291450000001</v>
      </c>
      <c r="ED12" s="3">
        <f>AVERAGE(EA12,EC12)</f>
        <v>19.45026631</v>
      </c>
      <c r="EE12" s="18">
        <v>11.51627193</v>
      </c>
      <c r="EF12" s="18">
        <v>11.135217730000001</v>
      </c>
      <c r="EG12" s="18">
        <v>10.210541600000001</v>
      </c>
      <c r="EH12" s="3">
        <f>AVERAGE(EE12,EG12)</f>
        <v>10.863406765000001</v>
      </c>
      <c r="EI12" s="24">
        <f t="shared" si="63"/>
        <v>-4.0189692400000006</v>
      </c>
      <c r="EJ12" s="24">
        <f t="shared" si="63"/>
        <v>-5.3468828199999976</v>
      </c>
      <c r="EK12" s="24">
        <f t="shared" si="63"/>
        <v>-13.15474985</v>
      </c>
      <c r="EL12" s="188">
        <f t="shared" si="63"/>
        <v>-8.5868595449999994</v>
      </c>
      <c r="EM12" s="297" t="s">
        <v>530</v>
      </c>
      <c r="EN12" s="151" t="s">
        <v>480</v>
      </c>
      <c r="EO12" s="244">
        <v>128.777100966365</v>
      </c>
      <c r="EP12" s="151" t="s">
        <v>481</v>
      </c>
      <c r="EQ12" s="244">
        <v>124.65199171866399</v>
      </c>
      <c r="ER12" s="244">
        <f t="shared" si="14"/>
        <v>126.7145463425145</v>
      </c>
      <c r="ES12" s="18">
        <v>2</v>
      </c>
      <c r="ET12" s="18">
        <v>7</v>
      </c>
      <c r="EU12" s="18">
        <v>22</v>
      </c>
      <c r="EV12" s="18">
        <v>-4</v>
      </c>
      <c r="EW12" s="18">
        <v>8</v>
      </c>
      <c r="EX12" s="18">
        <v>2</v>
      </c>
      <c r="EY12" s="18">
        <v>37</v>
      </c>
      <c r="EZ12" s="5">
        <v>-1.202560635</v>
      </c>
      <c r="FA12" s="18">
        <v>-49.416843312340902</v>
      </c>
      <c r="FB12" s="310">
        <v>10</v>
      </c>
      <c r="FC12" s="5">
        <v>19</v>
      </c>
      <c r="FD12" s="18">
        <v>40</v>
      </c>
      <c r="FE12" s="340">
        <v>11</v>
      </c>
      <c r="FF12" s="18">
        <v>0.16200000000000001</v>
      </c>
      <c r="FG12" s="18">
        <v>0.10666666666666667</v>
      </c>
      <c r="FH12" s="18">
        <v>0.11333333333333333</v>
      </c>
      <c r="FI12" s="18">
        <v>7.0000000000000007E-2</v>
      </c>
      <c r="FJ12" s="18">
        <v>0.67333333333333334</v>
      </c>
      <c r="FK12" s="18">
        <v>0.63428571428571423</v>
      </c>
      <c r="FL12" s="18">
        <v>0.25333333333333335</v>
      </c>
      <c r="FM12" s="18">
        <v>0.42333333333333334</v>
      </c>
      <c r="FN12" s="18">
        <v>0.96333333333333326</v>
      </c>
      <c r="FO12" s="18">
        <v>0.03</v>
      </c>
      <c r="FP12" s="18">
        <v>0.15666666666666665</v>
      </c>
      <c r="FQ12" s="322">
        <v>2</v>
      </c>
      <c r="FR12" s="5">
        <v>-2</v>
      </c>
      <c r="FS12" s="5">
        <v>10</v>
      </c>
      <c r="FT12" s="259">
        <v>0.16200000000000001</v>
      </c>
      <c r="FU12" s="72">
        <v>0.10666666666666667</v>
      </c>
      <c r="FV12" s="260">
        <v>0.11333333333333333</v>
      </c>
      <c r="FW12" s="261">
        <v>7.0000000000000007E-2</v>
      </c>
      <c r="FX12" s="154">
        <v>0.67333333333333334</v>
      </c>
      <c r="FY12" s="262">
        <v>0.63428571428571423</v>
      </c>
      <c r="FZ12" s="263">
        <v>0.25333333333333335</v>
      </c>
      <c r="GA12" s="264">
        <v>0.42333333333333334</v>
      </c>
      <c r="GB12" s="265">
        <v>0.96333333333333326</v>
      </c>
      <c r="GC12" s="266">
        <v>0.03</v>
      </c>
      <c r="GD12" s="267">
        <v>0.15666666666666665</v>
      </c>
      <c r="GE12" s="5">
        <v>-1.202560635</v>
      </c>
      <c r="GF12" s="18">
        <v>2</v>
      </c>
      <c r="GG12" s="18">
        <v>7</v>
      </c>
      <c r="GH12" s="18">
        <v>22</v>
      </c>
      <c r="GI12" s="18">
        <v>-4</v>
      </c>
      <c r="GJ12" s="18">
        <v>8</v>
      </c>
      <c r="GK12" s="18">
        <v>2</v>
      </c>
      <c r="GL12" s="18">
        <v>37</v>
      </c>
      <c r="GN12" s="5">
        <v>106</v>
      </c>
      <c r="GO12" s="5">
        <v>118</v>
      </c>
      <c r="GP12" s="5">
        <v>101</v>
      </c>
      <c r="GQ12" s="5">
        <v>78</v>
      </c>
      <c r="GR12" s="5">
        <v>109</v>
      </c>
      <c r="GS12" s="144">
        <v>0</v>
      </c>
      <c r="GT12" s="18">
        <v>62.848500000000001</v>
      </c>
      <c r="GU12" s="18">
        <v>49.441699999999997</v>
      </c>
      <c r="GV12" s="3">
        <f t="shared" si="15"/>
        <v>13.406800000000004</v>
      </c>
      <c r="GW12" s="5">
        <f t="shared" si="16"/>
        <v>1.2711638151600775</v>
      </c>
      <c r="GX12" s="18">
        <f t="shared" si="17"/>
        <v>0.10420152178587605</v>
      </c>
      <c r="GY12" s="18">
        <v>58.258499999999998</v>
      </c>
      <c r="GZ12" s="18">
        <v>50.772100000000002</v>
      </c>
      <c r="HA12" s="3">
        <f t="shared" si="18"/>
        <v>7.4863999999999962</v>
      </c>
      <c r="HB12" s="18">
        <f t="shared" si="19"/>
        <v>1.1474510607203561</v>
      </c>
      <c r="HC12" s="18">
        <v>62.5655</v>
      </c>
      <c r="HD12" s="18">
        <v>52.158200000000001</v>
      </c>
      <c r="HE12" s="3">
        <f t="shared" si="20"/>
        <v>10.407299999999999</v>
      </c>
      <c r="HF12" s="18">
        <f t="shared" si="21"/>
        <v>1.1995333427917374</v>
      </c>
      <c r="HG12" s="18">
        <v>30.526700000000002</v>
      </c>
      <c r="HH12" s="18">
        <v>35.608600000000003</v>
      </c>
      <c r="HI12" s="3">
        <f t="shared" si="22"/>
        <v>-5.081900000000001</v>
      </c>
      <c r="HJ12" s="18">
        <f t="shared" si="23"/>
        <v>0.85728447622203618</v>
      </c>
      <c r="HK12" s="5">
        <v>65.219800000000006</v>
      </c>
      <c r="HL12" s="5">
        <v>41.837899999999998</v>
      </c>
      <c r="HM12" s="3">
        <f t="shared" si="24"/>
        <v>23.381900000000009</v>
      </c>
      <c r="HN12" s="5">
        <f t="shared" si="60"/>
        <v>1.5588688724816497</v>
      </c>
      <c r="HO12" s="18">
        <v>50.633000000000003</v>
      </c>
      <c r="HP12" s="18">
        <v>43.856400000000001</v>
      </c>
      <c r="HQ12" s="3">
        <f t="shared" si="25"/>
        <v>6.776600000000002</v>
      </c>
      <c r="HR12" s="18">
        <f t="shared" si="26"/>
        <v>1.154517926688009</v>
      </c>
      <c r="HS12" s="18">
        <v>50.200600000000001</v>
      </c>
      <c r="HT12" s="18">
        <v>52.476700000000001</v>
      </c>
      <c r="HU12" s="3">
        <f t="shared" si="27"/>
        <v>-2.2760999999999996</v>
      </c>
      <c r="HV12" s="18">
        <f t="shared" si="28"/>
        <v>0.95662646469766588</v>
      </c>
      <c r="HW12" s="18">
        <v>52.735999999999997</v>
      </c>
      <c r="HX12" s="18">
        <v>54.232300000000002</v>
      </c>
      <c r="HY12" s="3">
        <f t="shared" si="29"/>
        <v>-1.4963000000000051</v>
      </c>
      <c r="HZ12" s="18">
        <f t="shared" si="30"/>
        <v>0.97240943127988289</v>
      </c>
      <c r="IA12" s="18">
        <v>44.004399999999997</v>
      </c>
      <c r="IB12" s="18">
        <v>45.985300000000002</v>
      </c>
      <c r="IC12" s="3">
        <f t="shared" si="31"/>
        <v>-1.9809000000000054</v>
      </c>
      <c r="ID12" s="18">
        <f t="shared" si="32"/>
        <v>0.95692319067180154</v>
      </c>
      <c r="IE12" s="18">
        <v>42.220500000000001</v>
      </c>
      <c r="IF12" s="18">
        <v>43.197200000000002</v>
      </c>
      <c r="IG12" s="3">
        <f t="shared" si="33"/>
        <v>-0.97670000000000101</v>
      </c>
      <c r="IH12" s="18">
        <f t="shared" si="34"/>
        <v>0.97738973822377373</v>
      </c>
      <c r="II12" s="18">
        <v>52.311799999999998</v>
      </c>
      <c r="IJ12" s="18">
        <v>51.56</v>
      </c>
      <c r="IK12" s="3">
        <f t="shared" si="35"/>
        <v>0.7517999999999958</v>
      </c>
      <c r="IL12" s="18">
        <f t="shared" si="36"/>
        <v>1.0145810705973621</v>
      </c>
      <c r="IM12" s="18">
        <v>66.355199999999996</v>
      </c>
      <c r="IN12" s="18">
        <v>65.227999999999994</v>
      </c>
      <c r="IO12" s="3">
        <f t="shared" si="37"/>
        <v>1.127200000000002</v>
      </c>
      <c r="IP12" s="18">
        <f t="shared" si="38"/>
        <v>1.0172809223033055</v>
      </c>
      <c r="IQ12" s="18">
        <v>44.939300000000003</v>
      </c>
      <c r="IR12" s="18">
        <v>42.237000000000002</v>
      </c>
      <c r="IS12" s="3">
        <f t="shared" si="39"/>
        <v>2.702300000000001</v>
      </c>
      <c r="IT12" s="18">
        <f t="shared" si="40"/>
        <v>1.0639794492980088</v>
      </c>
      <c r="IU12" s="18">
        <v>48.941699999999997</v>
      </c>
      <c r="IV12" s="18">
        <v>47.719700000000003</v>
      </c>
      <c r="IW12" s="3">
        <f t="shared" si="41"/>
        <v>1.2219999999999942</v>
      </c>
      <c r="IX12" s="18">
        <f t="shared" si="42"/>
        <v>1.0256078726396016</v>
      </c>
      <c r="IY12" s="18">
        <v>56.542200000000001</v>
      </c>
      <c r="IZ12" s="18">
        <v>55.5045</v>
      </c>
      <c r="JA12" s="3">
        <f t="shared" si="43"/>
        <v>1.037700000000001</v>
      </c>
      <c r="JB12" s="18">
        <f t="shared" si="44"/>
        <v>1.0186957814231279</v>
      </c>
      <c r="JC12" s="18">
        <f>LOG(HN12)</f>
        <v>0.19280958513577795</v>
      </c>
      <c r="JF12" s="18">
        <v>10</v>
      </c>
      <c r="KE12" s="67" t="s">
        <v>530</v>
      </c>
      <c r="KF12" s="343">
        <v>4.4499999999999998E-2</v>
      </c>
      <c r="KG12" s="343">
        <v>5.2699999999999997E-2</v>
      </c>
      <c r="KH12" s="347">
        <f t="shared" si="47"/>
        <v>4.8599999999999997E-2</v>
      </c>
      <c r="KI12" s="344">
        <v>6.6600000000000006E-2</v>
      </c>
      <c r="KJ12" s="344">
        <v>4.8000000000000001E-2</v>
      </c>
      <c r="KK12" s="348">
        <f t="shared" si="48"/>
        <v>5.7300000000000004E-2</v>
      </c>
      <c r="KL12" s="347">
        <f t="shared" si="49"/>
        <v>8.7000000000000063E-3</v>
      </c>
      <c r="KM12" s="347">
        <f t="shared" si="50"/>
        <v>1.1790123456790125</v>
      </c>
      <c r="KN12" s="354">
        <f t="shared" ref="KN12:KN22" si="64">KM12+3.878</f>
        <v>5.0570123456790128</v>
      </c>
      <c r="KO12" s="18">
        <f t="shared" si="51"/>
        <v>0.70389401387650852</v>
      </c>
      <c r="KP12" s="18">
        <v>0.70389401387650852</v>
      </c>
      <c r="KQ12" s="340">
        <v>11</v>
      </c>
      <c r="KR12" s="18">
        <v>0.16200000000000001</v>
      </c>
      <c r="KS12" s="18">
        <v>0.10666666666666667</v>
      </c>
      <c r="KT12" s="18">
        <v>0.11333333333333333</v>
      </c>
      <c r="KU12" s="18">
        <v>7.0000000000000007E-2</v>
      </c>
      <c r="KV12" s="18">
        <v>0.67333333333333334</v>
      </c>
      <c r="KW12" s="18">
        <v>0.63428571428571423</v>
      </c>
      <c r="KX12" s="18">
        <v>0.25333333333333335</v>
      </c>
      <c r="KY12" s="18">
        <v>0.42333333333333334</v>
      </c>
      <c r="KZ12" s="18">
        <v>0.96333333333333326</v>
      </c>
      <c r="LA12" s="18">
        <v>0.03</v>
      </c>
      <c r="LB12" s="18">
        <v>0.15666666666666665</v>
      </c>
      <c r="LC12" s="358" t="s">
        <v>632</v>
      </c>
      <c r="LD12" s="358">
        <v>11</v>
      </c>
      <c r="LE12" s="358">
        <v>0.5</v>
      </c>
      <c r="LF12" s="358">
        <v>0.5</v>
      </c>
      <c r="LG12" s="358">
        <v>12</v>
      </c>
      <c r="LH12" s="358">
        <v>0</v>
      </c>
      <c r="LI12" s="358">
        <v>1</v>
      </c>
      <c r="LJ12" s="144">
        <v>0</v>
      </c>
      <c r="LK12" s="158" t="s">
        <v>530</v>
      </c>
      <c r="LL12" s="68">
        <v>0.44719999999999999</v>
      </c>
      <c r="LM12" s="5">
        <v>0.45229999999999998</v>
      </c>
      <c r="LN12" s="5">
        <f t="shared" si="52"/>
        <v>0.44974999999999998</v>
      </c>
      <c r="LO12" s="5">
        <v>0.54579999999999995</v>
      </c>
      <c r="LP12" s="5">
        <v>0.55259999999999998</v>
      </c>
      <c r="LQ12" s="80">
        <f t="shared" si="53"/>
        <v>0.54919999999999991</v>
      </c>
      <c r="LR12" s="77">
        <f t="shared" si="54"/>
        <v>-9.9449999999999927E-2</v>
      </c>
      <c r="LS12" s="68">
        <v>7.5542999999999996</v>
      </c>
      <c r="LT12" s="5">
        <v>7.7354000000000003</v>
      </c>
      <c r="LU12" s="5">
        <f t="shared" si="55"/>
        <v>7.6448499999999999</v>
      </c>
      <c r="LV12" s="5">
        <v>15.8299</v>
      </c>
      <c r="LW12" s="5">
        <v>18.400400000000001</v>
      </c>
      <c r="LX12" s="80">
        <f t="shared" si="56"/>
        <v>17.11515</v>
      </c>
      <c r="LY12" s="77">
        <f t="shared" si="57"/>
        <v>-9.4702999999999999</v>
      </c>
      <c r="LZ12" s="68">
        <v>1.0713999999999999</v>
      </c>
      <c r="MA12" s="5">
        <v>1.0674999999999999</v>
      </c>
      <c r="MB12" s="5">
        <f>AVERAGE(LZ12:MA12)</f>
        <v>1.0694499999999998</v>
      </c>
      <c r="MC12" s="5">
        <v>0.94159999999999999</v>
      </c>
      <c r="MD12" s="5">
        <v>0.93300000000000005</v>
      </c>
      <c r="ME12" s="80">
        <f>AVERAGE(MC12:MD12)</f>
        <v>0.93730000000000002</v>
      </c>
      <c r="MF12" s="77">
        <f t="shared" si="58"/>
        <v>0.13214999999999977</v>
      </c>
      <c r="MG12" s="68">
        <v>0.1981</v>
      </c>
      <c r="MH12" s="5">
        <v>0.2102</v>
      </c>
      <c r="MI12" s="5">
        <f>AVERAGE(MG12:MH12)</f>
        <v>0.20415</v>
      </c>
      <c r="MJ12" s="5">
        <v>0.44500000000000001</v>
      </c>
      <c r="MK12" s="5">
        <v>0.44319999999999998</v>
      </c>
      <c r="ML12" s="80">
        <f>AVERAGE(MJ12:MK12)</f>
        <v>0.44409999999999999</v>
      </c>
      <c r="MM12" s="77">
        <f t="shared" si="59"/>
        <v>-0.23995</v>
      </c>
      <c r="MO12" s="5">
        <v>-4.2447475609999996</v>
      </c>
      <c r="MP12" s="5">
        <v>2.6252675110000001</v>
      </c>
      <c r="MQ12" s="5">
        <v>1.9097551779999999</v>
      </c>
      <c r="MR12" s="5">
        <v>1.8739730699999999</v>
      </c>
      <c r="MS12" s="292">
        <v>2.0675218860000002</v>
      </c>
      <c r="MT12" s="18">
        <v>-1.202560635</v>
      </c>
      <c r="MU12" s="18">
        <v>4.7713950589999996</v>
      </c>
      <c r="MV12" s="18">
        <v>4.3606291920000002</v>
      </c>
      <c r="MW12" s="18">
        <v>4.5919304299999997</v>
      </c>
    </row>
    <row r="13" spans="1:361" s="18" customFormat="1" ht="16.5" customHeight="1" thickBot="1" x14ac:dyDescent="0.25">
      <c r="A13" s="3" t="s">
        <v>10</v>
      </c>
      <c r="B13" s="5">
        <v>0</v>
      </c>
      <c r="C13" s="5">
        <v>8</v>
      </c>
      <c r="D13" s="5">
        <v>28</v>
      </c>
      <c r="E13" s="5">
        <v>75</v>
      </c>
      <c r="F13" s="5">
        <v>49</v>
      </c>
      <c r="G13" s="18">
        <v>52</v>
      </c>
      <c r="H13" s="24">
        <v>145</v>
      </c>
      <c r="I13" s="5">
        <v>18</v>
      </c>
      <c r="J13" s="5">
        <v>124</v>
      </c>
      <c r="K13" s="5">
        <v>123</v>
      </c>
      <c r="L13" s="5">
        <v>108</v>
      </c>
      <c r="M13" s="5">
        <v>82</v>
      </c>
      <c r="N13" s="5">
        <v>135</v>
      </c>
      <c r="O13" s="5">
        <v>0.5</v>
      </c>
      <c r="P13" s="5">
        <v>-1</v>
      </c>
      <c r="Q13" s="5">
        <v>2</v>
      </c>
      <c r="R13" s="5">
        <v>1</v>
      </c>
      <c r="S13" s="5">
        <v>9</v>
      </c>
      <c r="T13" s="18">
        <v>9</v>
      </c>
      <c r="U13" s="5">
        <v>-1</v>
      </c>
      <c r="V13" s="5">
        <v>4</v>
      </c>
      <c r="W13" s="5">
        <v>0</v>
      </c>
      <c r="X13" s="5">
        <v>-1</v>
      </c>
      <c r="Y13" s="5">
        <v>1</v>
      </c>
      <c r="Z13" s="92">
        <v>-2.6179147368421002E-2</v>
      </c>
      <c r="AA13" s="88">
        <v>8.5</v>
      </c>
      <c r="AB13" s="68">
        <v>100</v>
      </c>
      <c r="AC13" s="5">
        <v>87</v>
      </c>
      <c r="AD13" s="5">
        <v>115</v>
      </c>
      <c r="AE13" s="80">
        <v>101</v>
      </c>
      <c r="AF13" s="179">
        <v>11</v>
      </c>
      <c r="AG13" s="154">
        <v>15</v>
      </c>
      <c r="AH13" s="154">
        <v>11</v>
      </c>
      <c r="AI13" s="154">
        <v>12</v>
      </c>
      <c r="AJ13" s="68">
        <v>111</v>
      </c>
      <c r="AK13" s="5">
        <v>102</v>
      </c>
      <c r="AL13" s="5">
        <v>126</v>
      </c>
      <c r="AM13" s="80">
        <v>113</v>
      </c>
      <c r="AN13" s="68">
        <v>100</v>
      </c>
      <c r="AO13" s="5">
        <v>87</v>
      </c>
      <c r="AP13" s="5">
        <v>115</v>
      </c>
      <c r="AQ13" s="80">
        <v>101</v>
      </c>
      <c r="AR13" s="68">
        <v>111</v>
      </c>
      <c r="AS13" s="5">
        <v>102</v>
      </c>
      <c r="AT13" s="5">
        <v>126</v>
      </c>
      <c r="AU13" s="80">
        <v>113</v>
      </c>
      <c r="AV13" s="179">
        <f t="shared" si="11"/>
        <v>-11</v>
      </c>
      <c r="AW13" s="179">
        <f t="shared" si="0"/>
        <v>-15</v>
      </c>
      <c r="AX13" s="179">
        <f t="shared" si="0"/>
        <v>-11</v>
      </c>
      <c r="AY13" s="179">
        <f t="shared" si="0"/>
        <v>-12</v>
      </c>
      <c r="AZ13" s="9">
        <v>1.1499999999999999</v>
      </c>
      <c r="BA13" s="77">
        <v>1.4864864864864824E-2</v>
      </c>
      <c r="BB13" s="18">
        <v>0.87</v>
      </c>
      <c r="BC13" s="77">
        <v>-4.8918918918918974E-2</v>
      </c>
      <c r="BD13" s="154">
        <v>0.28999999165500001</v>
      </c>
      <c r="BE13" s="144">
        <v>0.10000000149</v>
      </c>
      <c r="BF13" s="5">
        <v>2</v>
      </c>
      <c r="BG13" s="5">
        <v>-1</v>
      </c>
      <c r="BK13" s="18" t="s">
        <v>10</v>
      </c>
      <c r="BL13" s="18">
        <v>-5</v>
      </c>
      <c r="BM13" s="221">
        <v>-10</v>
      </c>
      <c r="BN13" s="21">
        <v>-8</v>
      </c>
      <c r="BO13" s="18">
        <v>-8</v>
      </c>
      <c r="BP13" s="18">
        <v>-26</v>
      </c>
      <c r="BQ13" s="138"/>
      <c r="BR13" s="138"/>
      <c r="BS13" s="138"/>
      <c r="BT13" s="138"/>
      <c r="BU13" s="138"/>
      <c r="BV13" s="222"/>
      <c r="BW13" s="18">
        <v>0.47999998927100002</v>
      </c>
      <c r="BX13" s="18">
        <v>0.109999999404</v>
      </c>
      <c r="BY13" s="18">
        <f t="shared" si="13"/>
        <v>0.369999989867</v>
      </c>
      <c r="BZ13" s="3">
        <v>8.7999998400000001E-2</v>
      </c>
      <c r="CA13" s="18">
        <v>0.16999999933333335</v>
      </c>
      <c r="CB13" s="18">
        <v>0.19333333266666666</v>
      </c>
      <c r="CC13" s="18">
        <v>5.0000000999999995E-2</v>
      </c>
      <c r="CD13" s="18">
        <v>0</v>
      </c>
      <c r="CE13" s="18">
        <v>0.11000000057142857</v>
      </c>
      <c r="CF13" s="18">
        <v>2.4999999666666672E-2</v>
      </c>
      <c r="CG13" s="18">
        <v>0.1766666733333333</v>
      </c>
      <c r="CH13" s="18">
        <v>0.56000000233333325</v>
      </c>
      <c r="CI13" s="18">
        <v>5.9999999333333331E-2</v>
      </c>
      <c r="CJ13" s="18">
        <v>4.3333333666666668E-2</v>
      </c>
      <c r="CK13" s="285" t="s">
        <v>531</v>
      </c>
      <c r="CL13" s="18">
        <v>1.03214019</v>
      </c>
      <c r="CM13" s="18">
        <v>-0.80597653049999995</v>
      </c>
      <c r="CN13" s="18">
        <v>-0.17369222500000001</v>
      </c>
      <c r="CO13" s="18">
        <v>-2.4710641420000001E-3</v>
      </c>
      <c r="CP13" s="18">
        <v>-0.42972363419999998</v>
      </c>
      <c r="CQ13" s="18">
        <v>-0.68886163560000002</v>
      </c>
      <c r="CR13" s="18">
        <v>-0.21420504679999999</v>
      </c>
      <c r="CS13" s="18">
        <v>-0.57120965339999996</v>
      </c>
      <c r="CT13" s="18">
        <v>-0.51399470059999997</v>
      </c>
      <c r="CY13" s="18">
        <v>0.3107015501</v>
      </c>
      <c r="CZ13" s="285" t="s">
        <v>531</v>
      </c>
      <c r="DA13" s="68">
        <v>15.19973283</v>
      </c>
      <c r="DB13" s="5">
        <v>15.39336215</v>
      </c>
      <c r="DC13" s="5">
        <v>14.24500184</v>
      </c>
      <c r="DD13" s="80">
        <f>AVERAGE(DA13,DC13)</f>
        <v>14.722367335000001</v>
      </c>
      <c r="DE13" s="68">
        <v>9.5187383039999993</v>
      </c>
      <c r="DF13" s="5">
        <v>8.6606581499999997</v>
      </c>
      <c r="DG13" s="5">
        <v>8.7751716399999999</v>
      </c>
      <c r="DH13" s="80">
        <f>AVERAGE(DE13,DG13)</f>
        <v>9.1469549719999996</v>
      </c>
      <c r="DI13" s="151">
        <f t="shared" si="61"/>
        <v>-5.680994526000001</v>
      </c>
      <c r="DJ13" s="24">
        <f t="shared" si="61"/>
        <v>-6.732704</v>
      </c>
      <c r="DK13" s="294">
        <f t="shared" si="61"/>
        <v>-5.4698302000000005</v>
      </c>
      <c r="DL13" s="244">
        <f t="shared" si="61"/>
        <v>-5.5754123630000016</v>
      </c>
      <c r="DM13" s="295" t="s">
        <v>531</v>
      </c>
      <c r="DN13" s="68">
        <v>4.7950903079999998</v>
      </c>
      <c r="DO13" s="5">
        <v>5.8539388929999996</v>
      </c>
      <c r="DP13" s="5">
        <v>5.3245884830000003</v>
      </c>
      <c r="DQ13" s="3">
        <f>AVERAGE(DN13,DP13)</f>
        <v>5.0598393955000001</v>
      </c>
      <c r="DR13" s="68">
        <v>3.922202972</v>
      </c>
      <c r="DS13" s="5">
        <v>4.8116416150000001</v>
      </c>
      <c r="DT13" s="5">
        <v>4.2326210809999996</v>
      </c>
      <c r="DU13" s="3">
        <f>AVERAGE(DR13,DT13)</f>
        <v>4.0774120264999993</v>
      </c>
      <c r="DV13" s="24">
        <f t="shared" si="62"/>
        <v>-0.87288733599999979</v>
      </c>
      <c r="DW13" s="24">
        <f t="shared" si="62"/>
        <v>-1.0422972779999995</v>
      </c>
      <c r="DX13" s="24">
        <f t="shared" si="62"/>
        <v>-1.0919674020000008</v>
      </c>
      <c r="DY13" s="188">
        <f t="shared" si="62"/>
        <v>-0.98242736900000072</v>
      </c>
      <c r="DZ13" s="295" t="s">
        <v>531</v>
      </c>
      <c r="EA13" s="18">
        <v>18.190954219999998</v>
      </c>
      <c r="EB13" s="18">
        <v>11.709819489999999</v>
      </c>
      <c r="EC13" s="18">
        <v>13.89472219</v>
      </c>
      <c r="ED13" s="3">
        <f>AVERAGE(EA13,EC13)</f>
        <v>16.042838204999999</v>
      </c>
      <c r="EE13" s="18">
        <v>4.3374135530000002</v>
      </c>
      <c r="EF13" s="18">
        <v>5.6419672380000003</v>
      </c>
      <c r="EG13" s="18">
        <v>4.022873658</v>
      </c>
      <c r="EH13" s="3">
        <f>AVERAGE(EE13,EG13)</f>
        <v>4.1801436054999996</v>
      </c>
      <c r="EI13" s="24">
        <f t="shared" si="63"/>
        <v>-13.853540666999997</v>
      </c>
      <c r="EJ13" s="24">
        <f t="shared" si="63"/>
        <v>-6.0678522519999989</v>
      </c>
      <c r="EK13" s="24">
        <f t="shared" si="63"/>
        <v>-9.8718485319999996</v>
      </c>
      <c r="EL13" s="188">
        <f t="shared" si="63"/>
        <v>-11.862694599499999</v>
      </c>
      <c r="EM13" s="295" t="s">
        <v>531</v>
      </c>
      <c r="EN13" s="195"/>
      <c r="EO13" s="196"/>
      <c r="EP13" s="195"/>
      <c r="EQ13" s="196"/>
      <c r="ER13" s="196"/>
      <c r="ES13" s="18">
        <v>3</v>
      </c>
      <c r="ET13" s="18">
        <v>4</v>
      </c>
      <c r="EU13" s="18">
        <v>9</v>
      </c>
      <c r="EV13" s="18">
        <v>-1</v>
      </c>
      <c r="EW13" s="18">
        <v>0</v>
      </c>
      <c r="EX13" s="18">
        <v>1</v>
      </c>
      <c r="EY13" s="18">
        <v>16</v>
      </c>
      <c r="EZ13" s="5">
        <v>-0.80597653049999995</v>
      </c>
      <c r="FA13" s="18">
        <v>-15.737834870417045</v>
      </c>
      <c r="FB13" s="310">
        <v>11</v>
      </c>
      <c r="FC13" s="5">
        <v>75</v>
      </c>
      <c r="FD13" s="18">
        <v>52</v>
      </c>
      <c r="FE13" s="340">
        <v>8.5</v>
      </c>
      <c r="FF13" s="18">
        <v>8.7999998400000001E-2</v>
      </c>
      <c r="FG13" s="18">
        <v>0.16999999933333335</v>
      </c>
      <c r="FH13" s="18">
        <v>0.18666666600000001</v>
      </c>
      <c r="FI13" s="18">
        <v>5.0000000999999995E-2</v>
      </c>
      <c r="FJ13" s="18">
        <v>0</v>
      </c>
      <c r="FK13" s="18">
        <v>0.11000000057142857</v>
      </c>
      <c r="FL13" s="18">
        <v>2.4999999666666672E-2</v>
      </c>
      <c r="FM13" s="18">
        <v>0.17333333999999997</v>
      </c>
      <c r="FN13" s="18">
        <v>0.56000000233333325</v>
      </c>
      <c r="FO13" s="18">
        <v>5.9999999333333331E-2</v>
      </c>
      <c r="FP13" s="18">
        <v>4.3333333666666668E-2</v>
      </c>
      <c r="FQ13" s="322">
        <v>2</v>
      </c>
      <c r="FR13" s="5">
        <v>-1</v>
      </c>
      <c r="FS13" s="5">
        <v>1</v>
      </c>
      <c r="FT13" s="259">
        <v>8.7999998400000001E-2</v>
      </c>
      <c r="FU13" s="72">
        <v>0.16999999933333335</v>
      </c>
      <c r="FV13" s="260">
        <v>0.19333333266666666</v>
      </c>
      <c r="FW13" s="261">
        <v>5.0000000999999995E-2</v>
      </c>
      <c r="FX13" s="154">
        <v>0</v>
      </c>
      <c r="FY13" s="262">
        <v>0.11000000057142857</v>
      </c>
      <c r="FZ13" s="263">
        <v>2.4999999666666672E-2</v>
      </c>
      <c r="GA13" s="264">
        <v>0.1766666733333333</v>
      </c>
      <c r="GB13" s="265">
        <v>0.56000000233333325</v>
      </c>
      <c r="GC13" s="266">
        <v>5.9999999333333331E-2</v>
      </c>
      <c r="GD13" s="267">
        <v>4.3333333666666668E-2</v>
      </c>
      <c r="GE13" s="5">
        <v>-0.80597653049999995</v>
      </c>
      <c r="GF13" s="18">
        <v>3</v>
      </c>
      <c r="GG13" s="18">
        <v>4</v>
      </c>
      <c r="GH13" s="18">
        <v>9</v>
      </c>
      <c r="GI13" s="18">
        <v>-1</v>
      </c>
      <c r="GJ13" s="18">
        <v>0</v>
      </c>
      <c r="GK13" s="18">
        <v>1</v>
      </c>
      <c r="GL13" s="18">
        <v>16</v>
      </c>
      <c r="GN13" s="5">
        <v>124</v>
      </c>
      <c r="GO13" s="5">
        <v>123</v>
      </c>
      <c r="GP13" s="5">
        <v>108</v>
      </c>
      <c r="GQ13" s="5">
        <v>82</v>
      </c>
      <c r="GR13" s="5">
        <v>135</v>
      </c>
      <c r="GS13" s="144">
        <v>0.10000000149</v>
      </c>
      <c r="GT13" s="6">
        <v>83.384</v>
      </c>
      <c r="GU13" s="6">
        <v>86.637500000000003</v>
      </c>
      <c r="GV13" s="3">
        <f t="shared" si="15"/>
        <v>-3.2535000000000025</v>
      </c>
      <c r="GW13" s="5">
        <f t="shared" si="16"/>
        <v>0.96244697734814599</v>
      </c>
      <c r="GX13" s="18">
        <f t="shared" si="17"/>
        <v>-1.6623187096773632E-2</v>
      </c>
      <c r="GY13" s="6">
        <v>75.497299999999996</v>
      </c>
      <c r="GZ13" s="6">
        <v>74.965199999999996</v>
      </c>
      <c r="HA13" s="3">
        <f t="shared" si="18"/>
        <v>0.5320999999999998</v>
      </c>
      <c r="HB13" s="18">
        <f t="shared" si="19"/>
        <v>1.0070979601201624</v>
      </c>
      <c r="HC13" s="6">
        <v>88.269000000000005</v>
      </c>
      <c r="HD13" s="6">
        <v>82.826800000000006</v>
      </c>
      <c r="HE13" s="3">
        <f t="shared" si="20"/>
        <v>5.4421999999999997</v>
      </c>
      <c r="HF13" s="18">
        <f t="shared" si="21"/>
        <v>1.0657057860499259</v>
      </c>
      <c r="HG13" s="6">
        <v>60.139299999999999</v>
      </c>
      <c r="HH13" s="6">
        <v>84.186499999999995</v>
      </c>
      <c r="HI13" s="3">
        <f t="shared" si="22"/>
        <v>-24.047199999999997</v>
      </c>
      <c r="HJ13" s="18">
        <f t="shared" si="23"/>
        <v>0.7143580027676647</v>
      </c>
      <c r="HK13" s="5">
        <v>102.12</v>
      </c>
      <c r="HL13" s="5">
        <v>101.86</v>
      </c>
      <c r="HM13" s="3">
        <f t="shared" si="24"/>
        <v>0.26000000000000512</v>
      </c>
      <c r="HN13" s="5">
        <f t="shared" si="60"/>
        <v>1.0025525230708816</v>
      </c>
      <c r="HO13" s="6">
        <v>55.971499999999999</v>
      </c>
      <c r="HP13" s="6">
        <v>61.247</v>
      </c>
      <c r="HQ13" s="3">
        <f t="shared" si="25"/>
        <v>-5.275500000000001</v>
      </c>
      <c r="HR13" s="18">
        <f t="shared" si="26"/>
        <v>0.91386516890623215</v>
      </c>
      <c r="HS13" s="6">
        <v>54.939300000000003</v>
      </c>
      <c r="HT13" s="6">
        <v>65.137699999999995</v>
      </c>
      <c r="HU13" s="3">
        <f t="shared" si="27"/>
        <v>-10.198399999999992</v>
      </c>
      <c r="HV13" s="18">
        <f t="shared" si="28"/>
        <v>0.84343321916493841</v>
      </c>
      <c r="HW13" s="6">
        <v>50.546999999999997</v>
      </c>
      <c r="HX13" s="6">
        <v>60.912300000000002</v>
      </c>
      <c r="HY13" s="3">
        <f t="shared" si="29"/>
        <v>-10.365300000000005</v>
      </c>
      <c r="HZ13" s="18">
        <f t="shared" si="30"/>
        <v>0.8298323983825926</v>
      </c>
      <c r="IA13" s="6">
        <v>43.347099999999998</v>
      </c>
      <c r="IB13" s="6">
        <v>49.195599999999999</v>
      </c>
      <c r="IC13" s="3">
        <f t="shared" si="31"/>
        <v>-5.8485000000000014</v>
      </c>
      <c r="ID13" s="18">
        <f t="shared" si="32"/>
        <v>0.88111741700477275</v>
      </c>
      <c r="IE13" s="6">
        <v>47.617400000000004</v>
      </c>
      <c r="IF13" s="6">
        <v>41.518000000000001</v>
      </c>
      <c r="IG13" s="3">
        <f t="shared" si="33"/>
        <v>6.0994000000000028</v>
      </c>
      <c r="IH13" s="18">
        <f t="shared" si="34"/>
        <v>1.1469097740738958</v>
      </c>
      <c r="II13" s="6">
        <v>58.385800000000003</v>
      </c>
      <c r="IJ13" s="6">
        <v>66.313699999999997</v>
      </c>
      <c r="IK13" s="3">
        <f t="shared" si="35"/>
        <v>-7.927899999999994</v>
      </c>
      <c r="IL13" s="18">
        <f t="shared" si="36"/>
        <v>0.88044853476732565</v>
      </c>
      <c r="IM13" s="6">
        <v>71.082999999999998</v>
      </c>
      <c r="IN13" s="6">
        <v>83.578500000000005</v>
      </c>
      <c r="IO13" s="3">
        <f t="shared" si="37"/>
        <v>-12.495500000000007</v>
      </c>
      <c r="IP13" s="18">
        <f t="shared" si="38"/>
        <v>0.85049384710182641</v>
      </c>
      <c r="IQ13" s="6">
        <v>51.748800000000003</v>
      </c>
      <c r="IR13" s="6">
        <v>56.300199999999997</v>
      </c>
      <c r="IS13" s="3">
        <f t="shared" si="39"/>
        <v>-4.5513999999999939</v>
      </c>
      <c r="IT13" s="18">
        <f t="shared" si="40"/>
        <v>0.91915836888678915</v>
      </c>
      <c r="IU13" s="6">
        <v>48.759700000000002</v>
      </c>
      <c r="IV13" s="6">
        <v>58.522799999999997</v>
      </c>
      <c r="IW13" s="3">
        <f t="shared" si="41"/>
        <v>-9.7630999999999943</v>
      </c>
      <c r="IX13" s="18">
        <f t="shared" si="42"/>
        <v>0.83317442090945759</v>
      </c>
      <c r="IY13" s="6">
        <v>56.963500000000003</v>
      </c>
      <c r="IZ13" s="6">
        <v>66.778499999999994</v>
      </c>
      <c r="JA13" s="3">
        <f t="shared" si="43"/>
        <v>-9.8149999999999906</v>
      </c>
      <c r="JB13" s="18">
        <f t="shared" si="44"/>
        <v>0.85302155633924104</v>
      </c>
      <c r="JC13" s="18">
        <f>LOG(HN13)</f>
        <v>1.1071342920533338E-3</v>
      </c>
      <c r="JF13" s="18">
        <v>11</v>
      </c>
      <c r="JG13" s="138"/>
      <c r="JH13" s="138"/>
      <c r="JI13" s="138"/>
      <c r="JJ13" s="138"/>
      <c r="JK13" s="138"/>
      <c r="JL13" s="138"/>
      <c r="JM13" s="138"/>
      <c r="JN13" s="138"/>
      <c r="JP13" s="138"/>
      <c r="JQ13" s="138"/>
      <c r="JR13" s="138"/>
      <c r="JS13" s="138"/>
      <c r="JT13" s="138"/>
      <c r="JU13" s="138"/>
      <c r="JV13" s="138"/>
      <c r="JW13" s="138"/>
      <c r="JX13" s="138"/>
      <c r="JY13" s="138"/>
      <c r="JZ13" s="138"/>
      <c r="KA13" s="138"/>
      <c r="KB13" s="138"/>
      <c r="KC13" s="138"/>
      <c r="KD13" s="138"/>
      <c r="KE13" s="68" t="s">
        <v>531</v>
      </c>
      <c r="KF13" s="347">
        <v>1.7399999999999999E-2</v>
      </c>
      <c r="KG13" s="347">
        <v>1.0200000000000001E-2</v>
      </c>
      <c r="KH13" s="347">
        <f t="shared" si="47"/>
        <v>1.38E-2</v>
      </c>
      <c r="KI13" s="348">
        <v>4.2000000000000003E-2</v>
      </c>
      <c r="KJ13" s="348">
        <v>2.2100000000000002E-2</v>
      </c>
      <c r="KK13" s="348">
        <f t="shared" si="48"/>
        <v>3.2050000000000002E-2</v>
      </c>
      <c r="KL13" s="347">
        <f t="shared" si="49"/>
        <v>1.8250000000000002E-2</v>
      </c>
      <c r="KM13" s="347">
        <f t="shared" si="50"/>
        <v>2.3224637681159424</v>
      </c>
      <c r="KN13" s="354">
        <f t="shared" si="64"/>
        <v>6.2004637681159425</v>
      </c>
      <c r="KO13" s="18">
        <f t="shared" si="51"/>
        <v>0.79242417407907229</v>
      </c>
      <c r="KP13" s="18">
        <v>0.79242417407907229</v>
      </c>
      <c r="KQ13" s="340">
        <v>8.5</v>
      </c>
      <c r="KR13" s="18">
        <v>8.7999998400000001E-2</v>
      </c>
      <c r="KS13" s="18">
        <v>0.16999999933333335</v>
      </c>
      <c r="KT13" s="18">
        <v>0.18666666600000001</v>
      </c>
      <c r="KU13" s="18">
        <v>5.0000000999999995E-2</v>
      </c>
      <c r="KV13" s="18">
        <v>0</v>
      </c>
      <c r="KW13" s="18">
        <v>0.11000000057142857</v>
      </c>
      <c r="KX13" s="18">
        <v>2.4999999666666672E-2</v>
      </c>
      <c r="KY13" s="18">
        <v>0.17333333999999997</v>
      </c>
      <c r="KZ13" s="18">
        <v>0.56000000233333325</v>
      </c>
      <c r="LA13" s="18">
        <v>5.9999999333333331E-2</v>
      </c>
      <c r="LB13" s="18">
        <v>4.3333333666666668E-2</v>
      </c>
      <c r="LC13" s="358" t="s">
        <v>633</v>
      </c>
      <c r="LD13" s="358">
        <v>8.5</v>
      </c>
      <c r="LE13" s="358">
        <v>6</v>
      </c>
      <c r="LF13" s="358">
        <v>2.5</v>
      </c>
      <c r="LG13" s="358">
        <v>9.5</v>
      </c>
      <c r="LH13" s="358">
        <v>0.5</v>
      </c>
      <c r="LI13" s="358">
        <v>0</v>
      </c>
      <c r="LJ13" s="144">
        <v>0.10000000149</v>
      </c>
      <c r="LK13" s="158" t="s">
        <v>531</v>
      </c>
      <c r="LL13" s="68">
        <v>0.49099999999999999</v>
      </c>
      <c r="LM13" s="5">
        <v>0.49669999999999997</v>
      </c>
      <c r="LN13" s="5">
        <f t="shared" si="52"/>
        <v>0.49385000000000001</v>
      </c>
      <c r="LO13" s="5">
        <v>0.5554</v>
      </c>
      <c r="LP13" s="5">
        <v>0.55459999999999998</v>
      </c>
      <c r="LQ13" s="80">
        <f t="shared" si="53"/>
        <v>0.55499999999999994</v>
      </c>
      <c r="LR13" s="77">
        <f t="shared" si="54"/>
        <v>-6.1149999999999927E-2</v>
      </c>
      <c r="LS13" s="68">
        <v>8.5007999999999999</v>
      </c>
      <c r="LT13" s="5">
        <v>8.4449000000000005</v>
      </c>
      <c r="LU13" s="5">
        <f t="shared" si="55"/>
        <v>8.4728500000000011</v>
      </c>
      <c r="LV13" s="5">
        <v>16.980899999999998</v>
      </c>
      <c r="LW13" s="5">
        <v>16.044599999999999</v>
      </c>
      <c r="LX13" s="80">
        <f t="shared" si="56"/>
        <v>16.512749999999997</v>
      </c>
      <c r="LY13" s="77">
        <f t="shared" si="57"/>
        <v>-8.0398999999999958</v>
      </c>
      <c r="LZ13" s="68">
        <v>1.0485</v>
      </c>
      <c r="MA13" s="5">
        <v>1.0269999999999999</v>
      </c>
      <c r="MB13" s="5">
        <f>AVERAGE(LZ13:MA13)</f>
        <v>1.03775</v>
      </c>
      <c r="MC13" s="5">
        <v>0.95379999999999998</v>
      </c>
      <c r="MD13" s="5">
        <v>0.94810000000000005</v>
      </c>
      <c r="ME13" s="80">
        <f>AVERAGE(MC13:MD13)</f>
        <v>0.95094999999999996</v>
      </c>
      <c r="MF13" s="77">
        <f t="shared" si="58"/>
        <v>8.6799999999999988E-2</v>
      </c>
      <c r="MG13" s="68">
        <v>0.31890000000000002</v>
      </c>
      <c r="MH13" s="5">
        <v>0.316</v>
      </c>
      <c r="MI13" s="5">
        <f>AVERAGE(MG13:MH13)</f>
        <v>0.31745000000000001</v>
      </c>
      <c r="MJ13" s="5">
        <v>0.45639999999999997</v>
      </c>
      <c r="MK13" s="5">
        <v>0.46110000000000001</v>
      </c>
      <c r="ML13" s="80">
        <f>AVERAGE(MJ13:MK13)</f>
        <v>0.45874999999999999</v>
      </c>
      <c r="MM13" s="77">
        <f t="shared" si="59"/>
        <v>-0.14129999999999998</v>
      </c>
      <c r="MO13" s="5">
        <v>0.35526945980000002</v>
      </c>
      <c r="MP13" s="5">
        <v>1.4316235289999999</v>
      </c>
      <c r="MQ13" s="5">
        <v>2.9481303080000001</v>
      </c>
      <c r="MR13" s="5">
        <v>2.1556093920000001</v>
      </c>
      <c r="MS13" s="292">
        <v>2.0979807309999998</v>
      </c>
      <c r="MT13" s="18">
        <v>-0.80597653049999995</v>
      </c>
      <c r="MU13" s="18">
        <v>1.602838309</v>
      </c>
      <c r="MV13" s="18">
        <v>2.859210687</v>
      </c>
      <c r="MW13" s="18">
        <v>2.1517505240000001</v>
      </c>
    </row>
    <row r="14" spans="1:361" s="18" customFormat="1" ht="15.75" customHeight="1" x14ac:dyDescent="0.2">
      <c r="A14" s="3" t="s">
        <v>11</v>
      </c>
      <c r="B14" s="79"/>
      <c r="C14" s="5">
        <v>3</v>
      </c>
      <c r="D14" s="5">
        <v>23</v>
      </c>
      <c r="E14" s="5">
        <v>49</v>
      </c>
      <c r="F14" s="5">
        <v>56</v>
      </c>
      <c r="G14" s="18">
        <v>30</v>
      </c>
      <c r="H14" s="79">
        <v>103</v>
      </c>
      <c r="I14" s="5">
        <v>21</v>
      </c>
      <c r="J14" s="5">
        <v>126</v>
      </c>
      <c r="K14" s="5">
        <v>121</v>
      </c>
      <c r="L14" s="5">
        <v>142</v>
      </c>
      <c r="M14" s="5">
        <v>79</v>
      </c>
      <c r="N14" s="5">
        <v>148</v>
      </c>
      <c r="O14" s="5">
        <v>0</v>
      </c>
      <c r="P14" s="5">
        <v>-2</v>
      </c>
      <c r="Q14" s="5">
        <v>0</v>
      </c>
      <c r="R14" s="5">
        <v>-8</v>
      </c>
      <c r="S14" s="5">
        <v>12</v>
      </c>
      <c r="T14" s="18">
        <v>10</v>
      </c>
      <c r="U14" s="5">
        <v>8</v>
      </c>
      <c r="V14" s="5">
        <v>-14</v>
      </c>
      <c r="W14" s="5">
        <v>4</v>
      </c>
      <c r="X14" s="5">
        <v>-14</v>
      </c>
      <c r="Y14" s="5">
        <v>2</v>
      </c>
      <c r="Z14" s="92">
        <v>-4.0417647368421003E-2</v>
      </c>
      <c r="AA14" s="88">
        <v>4</v>
      </c>
      <c r="AB14" s="68">
        <v>84</v>
      </c>
      <c r="AC14" s="5">
        <v>84</v>
      </c>
      <c r="AD14" s="5">
        <v>88</v>
      </c>
      <c r="AE14" s="80">
        <v>85</v>
      </c>
      <c r="AF14" s="179">
        <v>-5</v>
      </c>
      <c r="AG14" s="154">
        <v>-2</v>
      </c>
      <c r="AH14" s="154">
        <v>7</v>
      </c>
      <c r="AI14" s="154">
        <v>0</v>
      </c>
      <c r="AJ14" s="68">
        <v>79</v>
      </c>
      <c r="AK14" s="5">
        <v>82</v>
      </c>
      <c r="AL14" s="5">
        <v>95</v>
      </c>
      <c r="AM14" s="80">
        <v>85</v>
      </c>
      <c r="AN14" s="68">
        <v>84</v>
      </c>
      <c r="AO14" s="5">
        <v>84</v>
      </c>
      <c r="AP14" s="5">
        <v>88</v>
      </c>
      <c r="AQ14" s="80">
        <v>85</v>
      </c>
      <c r="AR14" s="68">
        <v>79</v>
      </c>
      <c r="AS14" s="5">
        <v>82</v>
      </c>
      <c r="AT14" s="5">
        <v>95</v>
      </c>
      <c r="AU14" s="80">
        <v>85</v>
      </c>
      <c r="AV14" s="179">
        <f t="shared" si="11"/>
        <v>5</v>
      </c>
      <c r="AW14" s="179">
        <f t="shared" si="0"/>
        <v>2</v>
      </c>
      <c r="AX14" s="179">
        <f t="shared" si="0"/>
        <v>-7</v>
      </c>
      <c r="AY14" s="179">
        <f t="shared" si="0"/>
        <v>0</v>
      </c>
      <c r="AZ14" s="9">
        <v>1.0476190476190477</v>
      </c>
      <c r="BA14" s="77">
        <v>-0.15491259795057255</v>
      </c>
      <c r="BB14" s="18">
        <v>1</v>
      </c>
      <c r="BC14" s="77">
        <v>-3.7974683544303778E-2</v>
      </c>
      <c r="BD14" s="154">
        <v>0.68</v>
      </c>
      <c r="BE14" s="144">
        <v>0.11</v>
      </c>
      <c r="BF14" s="5">
        <v>0</v>
      </c>
      <c r="BG14" s="5">
        <v>-2</v>
      </c>
      <c r="BK14" s="18" t="s">
        <v>11</v>
      </c>
      <c r="BL14" s="18">
        <v>0</v>
      </c>
      <c r="BM14" s="18">
        <v>0</v>
      </c>
      <c r="BN14" s="18">
        <v>-2</v>
      </c>
      <c r="BO14" s="18">
        <v>0</v>
      </c>
      <c r="BP14" s="18">
        <v>-2</v>
      </c>
      <c r="BQ14" s="138" t="s">
        <v>482</v>
      </c>
      <c r="BR14" s="138">
        <v>-7.34009615125169E-27</v>
      </c>
      <c r="BS14" s="138" t="s">
        <v>483</v>
      </c>
      <c r="BT14" s="138">
        <v>-9.3468631265256302E-27</v>
      </c>
      <c r="BU14" s="138">
        <f t="shared" si="12"/>
        <v>-8.3434796388886608E-27</v>
      </c>
      <c r="BW14" s="18">
        <v>0.28000000000000003</v>
      </c>
      <c r="BX14" s="18">
        <v>0.18</v>
      </c>
      <c r="BY14" s="18">
        <f t="shared" si="13"/>
        <v>0.10000000000000003</v>
      </c>
      <c r="BZ14" s="3">
        <v>0.16799999999999998</v>
      </c>
      <c r="CA14" s="18">
        <v>0</v>
      </c>
      <c r="CB14" s="18">
        <v>0</v>
      </c>
      <c r="CC14" s="18">
        <v>1.3333333333333334E-2</v>
      </c>
      <c r="CD14" s="18">
        <v>0</v>
      </c>
      <c r="CE14" s="18">
        <v>9.4285714285714278E-2</v>
      </c>
      <c r="CF14" s="18">
        <v>0</v>
      </c>
      <c r="CG14" s="18">
        <v>0.48</v>
      </c>
      <c r="CH14" s="18">
        <v>1</v>
      </c>
      <c r="CI14" s="18">
        <v>1</v>
      </c>
      <c r="CJ14" s="18">
        <v>0</v>
      </c>
      <c r="CK14" s="285" t="s">
        <v>532</v>
      </c>
      <c r="CL14" s="18">
        <v>1.9248468110000001</v>
      </c>
      <c r="CM14" s="18">
        <v>-1.464961551</v>
      </c>
      <c r="CN14" s="18">
        <v>-0.5096687862</v>
      </c>
      <c r="CO14" s="18">
        <v>-0.61029177369999998</v>
      </c>
      <c r="CP14" s="18">
        <v>-0.39863949970000001</v>
      </c>
      <c r="CQ14" s="18">
        <v>-0.32027882969999999</v>
      </c>
      <c r="CR14" s="18">
        <v>-0.42942973109999999</v>
      </c>
      <c r="CS14" s="18">
        <v>-0.33995394410000002</v>
      </c>
      <c r="CT14" s="18">
        <v>-0.56519255069999996</v>
      </c>
      <c r="CY14" s="18">
        <v>-0.1382037357</v>
      </c>
      <c r="CZ14" s="285" t="s">
        <v>532</v>
      </c>
      <c r="DA14" s="68">
        <v>16.638373130000002</v>
      </c>
      <c r="DB14" s="5">
        <v>16.247323260000002</v>
      </c>
      <c r="DC14" s="5">
        <v>20.983431530000001</v>
      </c>
      <c r="DD14" s="80">
        <f>AVERAGE(DA14,DC14)</f>
        <v>18.810902330000001</v>
      </c>
      <c r="DE14" s="68">
        <v>10.54526188</v>
      </c>
      <c r="DF14" s="5">
        <v>11.107842229999999</v>
      </c>
      <c r="DG14" s="5">
        <v>10.993757349999999</v>
      </c>
      <c r="DH14" s="80">
        <f>AVERAGE(DE14,DG14)</f>
        <v>10.769509615</v>
      </c>
      <c r="DI14" s="151">
        <f t="shared" si="61"/>
        <v>-6.0931112500000015</v>
      </c>
      <c r="DJ14" s="298">
        <f t="shared" si="61"/>
        <v>-5.1394810300000024</v>
      </c>
      <c r="DK14" s="294">
        <f t="shared" si="61"/>
        <v>-9.9896741800000015</v>
      </c>
      <c r="DL14" s="244">
        <f t="shared" si="61"/>
        <v>-8.0413927150000006</v>
      </c>
      <c r="DM14" s="295" t="s">
        <v>532</v>
      </c>
      <c r="DN14" s="68">
        <v>6.8954525990000004</v>
      </c>
      <c r="DO14" s="5">
        <v>4.7858671680000002</v>
      </c>
      <c r="DP14" s="5">
        <v>6.94477469</v>
      </c>
      <c r="DQ14" s="3">
        <f>AVERAGE(DN14,DP14)</f>
        <v>6.9201136445000007</v>
      </c>
      <c r="DR14" s="68">
        <v>2.7998925699999999</v>
      </c>
      <c r="DS14" s="5">
        <v>2.6797561820000002</v>
      </c>
      <c r="DT14" s="5">
        <v>2.964048069</v>
      </c>
      <c r="DU14" s="3">
        <f>AVERAGE(DR14,DT14)</f>
        <v>2.8819703194999997</v>
      </c>
      <c r="DV14" s="24">
        <f t="shared" si="62"/>
        <v>-4.0955600290000005</v>
      </c>
      <c r="DW14" s="298">
        <f t="shared" si="62"/>
        <v>-2.106110986</v>
      </c>
      <c r="DX14" s="24">
        <f t="shared" si="62"/>
        <v>-3.9807266210000001</v>
      </c>
      <c r="DY14" s="188">
        <f t="shared" si="62"/>
        <v>-4.0381433250000009</v>
      </c>
      <c r="DZ14" s="295" t="s">
        <v>532</v>
      </c>
      <c r="EA14" s="18">
        <v>11.63639622</v>
      </c>
      <c r="EB14" s="18">
        <v>10.41976618</v>
      </c>
      <c r="EC14" s="18">
        <v>11.610182760000001</v>
      </c>
      <c r="ED14" s="3">
        <f>AVERAGE(EA14,EC14)</f>
        <v>11.623289490000001</v>
      </c>
      <c r="EE14" s="18">
        <v>4.0648692430000004</v>
      </c>
      <c r="EF14" s="18">
        <v>4.0911439679999999</v>
      </c>
      <c r="EG14" s="18">
        <v>3.382114375</v>
      </c>
      <c r="EH14" s="3">
        <f>AVERAGE(EE14,EG14)</f>
        <v>3.7234918090000004</v>
      </c>
      <c r="EI14" s="24">
        <f t="shared" si="63"/>
        <v>-7.5715269769999995</v>
      </c>
      <c r="EJ14" s="298">
        <f t="shared" si="63"/>
        <v>-6.328622212</v>
      </c>
      <c r="EK14" s="24">
        <f t="shared" si="63"/>
        <v>-8.2280683850000003</v>
      </c>
      <c r="EL14" s="188">
        <f t="shared" si="63"/>
        <v>-7.8997976810000008</v>
      </c>
      <c r="EM14" s="295" t="s">
        <v>532</v>
      </c>
      <c r="EN14" s="151" t="s">
        <v>482</v>
      </c>
      <c r="EO14" s="244">
        <v>39.902176146699702</v>
      </c>
      <c r="EP14" s="151" t="s">
        <v>483</v>
      </c>
      <c r="EQ14" s="244">
        <v>27.929237024576199</v>
      </c>
      <c r="ER14" s="244">
        <f t="shared" si="14"/>
        <v>33.915706585637949</v>
      </c>
      <c r="ES14" s="18">
        <v>-2</v>
      </c>
      <c r="ET14" s="18">
        <v>1</v>
      </c>
      <c r="EU14" s="18">
        <v>4</v>
      </c>
      <c r="EV14" s="18">
        <v>1</v>
      </c>
      <c r="EW14" s="18">
        <v>2</v>
      </c>
      <c r="EX14" s="18">
        <v>0</v>
      </c>
      <c r="EY14" s="18">
        <v>6</v>
      </c>
      <c r="EZ14" s="5">
        <v>-1.464961551</v>
      </c>
      <c r="FA14" s="18">
        <v>-44.743404562670186</v>
      </c>
      <c r="FB14" s="310">
        <v>12</v>
      </c>
      <c r="FC14" s="5">
        <v>49</v>
      </c>
      <c r="FD14" s="18">
        <v>30</v>
      </c>
      <c r="FE14" s="340">
        <v>4</v>
      </c>
      <c r="FF14" s="18">
        <v>0.16799999999999998</v>
      </c>
      <c r="FG14" s="18">
        <v>0</v>
      </c>
      <c r="FH14" s="18">
        <v>0</v>
      </c>
      <c r="FI14" s="18">
        <v>1.3333333333333334E-2</v>
      </c>
      <c r="FJ14" s="18">
        <v>0</v>
      </c>
      <c r="FK14" s="18">
        <v>9.1428571428571415E-2</v>
      </c>
      <c r="FL14" s="18">
        <v>0</v>
      </c>
      <c r="FM14" s="18">
        <v>0.48</v>
      </c>
      <c r="FN14" s="18">
        <v>0.98666666666666669</v>
      </c>
      <c r="FO14" s="18">
        <v>0.97666666666666668</v>
      </c>
      <c r="FP14" s="18">
        <v>0</v>
      </c>
      <c r="FQ14" s="322">
        <v>0</v>
      </c>
      <c r="FR14" s="5">
        <v>8</v>
      </c>
      <c r="FS14" s="5">
        <v>2</v>
      </c>
      <c r="FT14" s="259">
        <v>0.16799999999999998</v>
      </c>
      <c r="FU14" s="72">
        <v>0</v>
      </c>
      <c r="FV14" s="260">
        <v>0</v>
      </c>
      <c r="FW14" s="261">
        <v>1.3333333333333334E-2</v>
      </c>
      <c r="FX14" s="154">
        <v>0</v>
      </c>
      <c r="FY14" s="262">
        <v>9.4285714285714278E-2</v>
      </c>
      <c r="FZ14" s="263">
        <v>0</v>
      </c>
      <c r="GA14" s="264">
        <v>0.48</v>
      </c>
      <c r="GB14" s="265">
        <v>1</v>
      </c>
      <c r="GC14" s="266">
        <v>1</v>
      </c>
      <c r="GD14" s="267">
        <v>0</v>
      </c>
      <c r="GE14" s="5">
        <v>-1.464961551</v>
      </c>
      <c r="GF14" s="18">
        <v>-2</v>
      </c>
      <c r="GG14" s="18">
        <v>1</v>
      </c>
      <c r="GH14" s="18">
        <v>4</v>
      </c>
      <c r="GI14" s="18">
        <v>1</v>
      </c>
      <c r="GJ14" s="18">
        <v>2</v>
      </c>
      <c r="GK14" s="18">
        <v>0</v>
      </c>
      <c r="GL14" s="18">
        <v>6</v>
      </c>
      <c r="GN14" s="5">
        <v>126</v>
      </c>
      <c r="GO14" s="5">
        <v>121</v>
      </c>
      <c r="GP14" s="5">
        <v>142</v>
      </c>
      <c r="GQ14" s="5">
        <v>79</v>
      </c>
      <c r="GR14" s="5">
        <v>148</v>
      </c>
      <c r="GS14" s="144">
        <v>0.11</v>
      </c>
      <c r="GT14" s="18">
        <v>63.950699999999998</v>
      </c>
      <c r="GU14" s="18">
        <v>58.256</v>
      </c>
      <c r="GV14" s="3">
        <f t="shared" si="15"/>
        <v>5.6946999999999974</v>
      </c>
      <c r="GW14" s="5">
        <f t="shared" si="16"/>
        <v>1.0977530211480362</v>
      </c>
      <c r="GX14" s="18">
        <f t="shared" si="17"/>
        <v>4.050464100859634E-2</v>
      </c>
      <c r="GY14" s="18">
        <v>55.167999999999999</v>
      </c>
      <c r="GZ14" s="18">
        <v>47.944099999999999</v>
      </c>
      <c r="HA14" s="3">
        <f t="shared" si="18"/>
        <v>7.2239000000000004</v>
      </c>
      <c r="HB14" s="18">
        <f t="shared" si="19"/>
        <v>1.1506733883835549</v>
      </c>
      <c r="HC14" s="18">
        <v>60.094299999999997</v>
      </c>
      <c r="HD14" s="18">
        <v>51.881500000000003</v>
      </c>
      <c r="HE14" s="3">
        <f t="shared" si="20"/>
        <v>8.2127999999999943</v>
      </c>
      <c r="HF14" s="18">
        <f t="shared" si="21"/>
        <v>1.158299201063963</v>
      </c>
      <c r="HG14" s="18">
        <v>36.954799999999999</v>
      </c>
      <c r="HH14" s="18">
        <v>46.120800000000003</v>
      </c>
      <c r="HI14" s="3">
        <f t="shared" si="22"/>
        <v>-9.1660000000000039</v>
      </c>
      <c r="HJ14" s="18">
        <f t="shared" si="23"/>
        <v>0.80126103623527767</v>
      </c>
      <c r="HK14" s="5">
        <v>78.503699999999995</v>
      </c>
      <c r="HL14" s="5">
        <v>61.514499999999998</v>
      </c>
      <c r="HM14" s="3">
        <f t="shared" si="24"/>
        <v>16.989199999999997</v>
      </c>
      <c r="HN14" s="5">
        <f t="shared" si="60"/>
        <v>1.2761820383811946</v>
      </c>
      <c r="HO14" s="18">
        <v>50.860399999999998</v>
      </c>
      <c r="HP14" s="18">
        <v>51.941499999999998</v>
      </c>
      <c r="HQ14" s="3">
        <f t="shared" si="25"/>
        <v>-1.0810999999999993</v>
      </c>
      <c r="HR14" s="18">
        <f t="shared" si="26"/>
        <v>0.97918619985945732</v>
      </c>
      <c r="HS14" s="18">
        <v>52.973199999999999</v>
      </c>
      <c r="HT14" s="18">
        <v>57.261800000000001</v>
      </c>
      <c r="HU14" s="3">
        <f t="shared" si="27"/>
        <v>-4.2886000000000024</v>
      </c>
      <c r="HV14" s="18">
        <f t="shared" si="28"/>
        <v>0.92510539312421192</v>
      </c>
      <c r="HW14" s="18">
        <v>53.551699999999997</v>
      </c>
      <c r="HX14" s="18">
        <v>54.403500000000001</v>
      </c>
      <c r="HY14" s="3">
        <f t="shared" si="29"/>
        <v>-0.85180000000000433</v>
      </c>
      <c r="HZ14" s="18">
        <f t="shared" si="30"/>
        <v>0.9843429191136599</v>
      </c>
      <c r="IA14" s="18">
        <v>46.323300000000003</v>
      </c>
      <c r="IB14" s="18">
        <v>49.111499999999999</v>
      </c>
      <c r="IC14" s="3">
        <f t="shared" si="31"/>
        <v>-2.7881999999999962</v>
      </c>
      <c r="ID14" s="18">
        <f t="shared" si="32"/>
        <v>0.94322714639137484</v>
      </c>
      <c r="IE14" s="18">
        <v>47.684100000000001</v>
      </c>
      <c r="IF14" s="18">
        <v>44.785800000000002</v>
      </c>
      <c r="IG14" s="3">
        <f t="shared" si="33"/>
        <v>2.898299999999999</v>
      </c>
      <c r="IH14" s="18">
        <f t="shared" si="34"/>
        <v>1.0647147086799833</v>
      </c>
      <c r="II14" s="18">
        <v>58.941699999999997</v>
      </c>
      <c r="IJ14" s="18">
        <v>60.303800000000003</v>
      </c>
      <c r="IK14" s="3">
        <f t="shared" si="35"/>
        <v>-1.3621000000000052</v>
      </c>
      <c r="IL14" s="18">
        <f t="shared" si="36"/>
        <v>0.97741270036050787</v>
      </c>
      <c r="IM14" s="18">
        <v>69.585999999999999</v>
      </c>
      <c r="IN14" s="18">
        <v>76.763999999999996</v>
      </c>
      <c r="IO14" s="3">
        <f t="shared" si="37"/>
        <v>-7.1779999999999973</v>
      </c>
      <c r="IP14" s="18">
        <f t="shared" si="38"/>
        <v>0.90649262675212339</v>
      </c>
      <c r="IQ14" s="18">
        <v>45.022100000000002</v>
      </c>
      <c r="IR14" s="18">
        <v>45.204700000000003</v>
      </c>
      <c r="IS14" s="3">
        <f t="shared" si="39"/>
        <v>-0.18260000000000076</v>
      </c>
      <c r="IT14" s="18">
        <f t="shared" si="40"/>
        <v>0.99596059701756678</v>
      </c>
      <c r="IU14" s="18">
        <v>51.340400000000002</v>
      </c>
      <c r="IV14" s="18">
        <v>53.494500000000002</v>
      </c>
      <c r="IW14" s="3">
        <f t="shared" si="41"/>
        <v>-2.1540999999999997</v>
      </c>
      <c r="IX14" s="18">
        <f t="shared" si="42"/>
        <v>0.95973230892895534</v>
      </c>
      <c r="IY14" s="18">
        <v>60.508699999999997</v>
      </c>
      <c r="IZ14" s="18">
        <v>65.884</v>
      </c>
      <c r="JA14" s="3">
        <f t="shared" si="43"/>
        <v>-5.3753000000000029</v>
      </c>
      <c r="JB14" s="18">
        <f t="shared" si="44"/>
        <v>0.9184126646833829</v>
      </c>
      <c r="JC14" s="18">
        <f>LOG(HN14)</f>
        <v>0.10591262785350319</v>
      </c>
      <c r="JD14" s="18">
        <v>33.915706585637949</v>
      </c>
      <c r="JE14" s="18">
        <f t="shared" si="45"/>
        <v>0.3391570658563795</v>
      </c>
      <c r="JG14" s="336" t="s">
        <v>600</v>
      </c>
      <c r="JH14" s="18">
        <v>0.45074725458954601</v>
      </c>
      <c r="JJ14" s="336" t="s">
        <v>600</v>
      </c>
      <c r="JK14" s="18">
        <v>0.13695586756907999</v>
      </c>
      <c r="JM14" s="336" t="s">
        <v>600</v>
      </c>
      <c r="JN14" s="18">
        <v>0.41898596648429598</v>
      </c>
      <c r="JO14" s="18">
        <f t="shared" si="46"/>
        <v>0.58101403351570402</v>
      </c>
      <c r="JP14" s="336" t="s">
        <v>600</v>
      </c>
      <c r="JQ14" s="18">
        <v>0.556797753637713</v>
      </c>
      <c r="JT14" s="336" t="s">
        <v>600</v>
      </c>
      <c r="JU14" s="18">
        <v>0.48387493329701498</v>
      </c>
      <c r="JW14" s="336" t="s">
        <v>600</v>
      </c>
      <c r="JX14" s="18">
        <v>0.15888542134873901</v>
      </c>
      <c r="JZ14" s="336" t="s">
        <v>600</v>
      </c>
      <c r="KA14" s="18">
        <v>0.339413542425751</v>
      </c>
      <c r="KC14" s="336" t="s">
        <v>600</v>
      </c>
      <c r="KD14" s="18">
        <v>0.40430423876962901</v>
      </c>
      <c r="KE14" s="68" t="s">
        <v>532</v>
      </c>
      <c r="KF14" s="347">
        <v>3.9600000000000003E-2</v>
      </c>
      <c r="KG14" s="347">
        <v>3.32E-2</v>
      </c>
      <c r="KH14" s="347">
        <f t="shared" si="47"/>
        <v>3.6400000000000002E-2</v>
      </c>
      <c r="KI14" s="348">
        <v>8.0799999999999997E-2</v>
      </c>
      <c r="KJ14" s="348">
        <v>5.5199999999999999E-2</v>
      </c>
      <c r="KK14" s="348">
        <f t="shared" si="48"/>
        <v>6.8000000000000005E-2</v>
      </c>
      <c r="KL14" s="347">
        <f t="shared" si="49"/>
        <v>3.1600000000000003E-2</v>
      </c>
      <c r="KM14" s="347">
        <f t="shared" si="50"/>
        <v>1.8681318681318682</v>
      </c>
      <c r="KN14" s="354">
        <f t="shared" si="64"/>
        <v>5.7461318681318687</v>
      </c>
      <c r="KO14" s="18">
        <f t="shared" si="51"/>
        <v>0.75937558840581787</v>
      </c>
      <c r="KP14" s="18">
        <v>0.75937558840581787</v>
      </c>
      <c r="KQ14" s="340">
        <v>4</v>
      </c>
      <c r="KR14" s="18">
        <v>0.16799999999999998</v>
      </c>
      <c r="KS14" s="18">
        <v>0</v>
      </c>
      <c r="KT14" s="18">
        <v>0</v>
      </c>
      <c r="KU14" s="18">
        <v>1.3333333333333334E-2</v>
      </c>
      <c r="KV14" s="18">
        <v>0</v>
      </c>
      <c r="KW14" s="18">
        <v>9.1428571428571415E-2</v>
      </c>
      <c r="KX14" s="18">
        <v>0</v>
      </c>
      <c r="KY14" s="18">
        <v>0.48</v>
      </c>
      <c r="KZ14" s="18">
        <v>0.98666666666666669</v>
      </c>
      <c r="LA14" s="18">
        <v>0.97666666666666668</v>
      </c>
      <c r="LB14" s="18">
        <v>0</v>
      </c>
      <c r="LC14" s="358" t="s">
        <v>634</v>
      </c>
      <c r="LD14" s="358">
        <v>4</v>
      </c>
      <c r="LE14" s="358">
        <v>4</v>
      </c>
      <c r="LF14" s="358">
        <v>0</v>
      </c>
      <c r="LG14" s="358">
        <v>5</v>
      </c>
      <c r="LH14" s="358">
        <v>6.5</v>
      </c>
      <c r="LI14" s="358">
        <v>0</v>
      </c>
      <c r="LJ14" s="144">
        <v>0.11</v>
      </c>
      <c r="LK14" s="158" t="s">
        <v>532</v>
      </c>
      <c r="LL14" s="68">
        <v>0.47589999999999999</v>
      </c>
      <c r="LM14" s="5">
        <v>0.48330000000000001</v>
      </c>
      <c r="LN14" s="5">
        <f t="shared" si="52"/>
        <v>0.47960000000000003</v>
      </c>
      <c r="LO14" s="5">
        <v>0.55230000000000001</v>
      </c>
      <c r="LP14" s="5">
        <v>0.53269999999999995</v>
      </c>
      <c r="LQ14" s="80">
        <f t="shared" si="53"/>
        <v>0.54249999999999998</v>
      </c>
      <c r="LR14" s="77">
        <f t="shared" si="54"/>
        <v>-6.2899999999999956E-2</v>
      </c>
      <c r="LS14" s="68">
        <v>8.9411000000000005</v>
      </c>
      <c r="LT14" s="5">
        <v>9.7805</v>
      </c>
      <c r="LU14" s="5">
        <f t="shared" si="55"/>
        <v>9.3608000000000011</v>
      </c>
      <c r="LV14" s="5">
        <v>18.723299999999998</v>
      </c>
      <c r="LW14" s="5">
        <v>18.832599999999999</v>
      </c>
      <c r="LX14" s="80">
        <f t="shared" si="56"/>
        <v>18.777949999999997</v>
      </c>
      <c r="LY14" s="77">
        <f t="shared" si="57"/>
        <v>-9.4171499999999959</v>
      </c>
      <c r="LZ14" s="68">
        <v>1.0734999999999999</v>
      </c>
      <c r="MA14" s="5">
        <v>1.0567</v>
      </c>
      <c r="MB14" s="5">
        <f>AVERAGE(LZ14:MA14)</f>
        <v>1.0650999999999999</v>
      </c>
      <c r="MC14" s="5">
        <v>0.94720000000000004</v>
      </c>
      <c r="MD14" s="5">
        <v>0.97750000000000004</v>
      </c>
      <c r="ME14" s="80">
        <f>AVERAGE(MC14:MD14)</f>
        <v>0.96235000000000004</v>
      </c>
      <c r="MF14" s="77">
        <f t="shared" si="58"/>
        <v>0.1027499999999999</v>
      </c>
      <c r="MG14" s="68">
        <v>0.2437</v>
      </c>
      <c r="MH14" s="5">
        <v>0.27100000000000002</v>
      </c>
      <c r="MI14" s="5">
        <f>AVERAGE(MG14:MH14)</f>
        <v>0.25735000000000002</v>
      </c>
      <c r="MJ14" s="5">
        <v>0.45669999999999999</v>
      </c>
      <c r="MK14" s="5">
        <v>0.42330000000000001</v>
      </c>
      <c r="ML14" s="80">
        <f>AVERAGE(MJ14:MK14)</f>
        <v>0.44</v>
      </c>
      <c r="MM14" s="77">
        <f t="shared" si="59"/>
        <v>-0.18264999999999998</v>
      </c>
      <c r="MO14" s="5">
        <v>0.29598647630000002</v>
      </c>
      <c r="MP14" s="5">
        <v>2.664299722</v>
      </c>
      <c r="MQ14" s="5">
        <v>4.1392239169999998</v>
      </c>
      <c r="MR14" s="5">
        <v>2.5048735259999999</v>
      </c>
      <c r="MS14" s="292">
        <v>2.7994683899999999</v>
      </c>
      <c r="MT14" s="18">
        <v>-1.464961551</v>
      </c>
      <c r="MU14" s="18">
        <v>0.27721569089999998</v>
      </c>
      <c r="MV14" s="18">
        <v>0.70734676549999997</v>
      </c>
      <c r="MW14" s="18">
        <v>0.4651410265</v>
      </c>
    </row>
    <row r="15" spans="1:361" s="18" customFormat="1" ht="16.5" customHeight="1" thickBot="1" x14ac:dyDescent="0.25">
      <c r="A15" s="3" t="s">
        <v>12</v>
      </c>
      <c r="B15" s="5">
        <v>0</v>
      </c>
      <c r="C15" s="5">
        <v>6</v>
      </c>
      <c r="D15" s="5">
        <v>29</v>
      </c>
      <c r="E15" s="5">
        <v>56</v>
      </c>
      <c r="F15" s="5">
        <v>48</v>
      </c>
      <c r="G15" s="18">
        <v>32</v>
      </c>
      <c r="H15" s="24">
        <v>123</v>
      </c>
      <c r="I15" s="5">
        <v>12</v>
      </c>
      <c r="J15" s="5">
        <v>110</v>
      </c>
      <c r="K15" s="5">
        <v>106</v>
      </c>
      <c r="L15" s="5">
        <v>110</v>
      </c>
      <c r="M15" s="5">
        <v>94</v>
      </c>
      <c r="N15" s="5">
        <v>130</v>
      </c>
      <c r="O15" s="5">
        <v>0</v>
      </c>
      <c r="P15" s="5">
        <v>1</v>
      </c>
      <c r="Q15" s="5">
        <v>2</v>
      </c>
      <c r="R15" s="5">
        <v>-4</v>
      </c>
      <c r="S15" s="5">
        <v>17</v>
      </c>
      <c r="T15" s="18">
        <v>5</v>
      </c>
      <c r="U15" s="5">
        <v>4</v>
      </c>
      <c r="V15" s="5">
        <v>4</v>
      </c>
      <c r="W15" s="5">
        <v>0</v>
      </c>
      <c r="X15" s="5">
        <v>-10</v>
      </c>
      <c r="Y15" s="5">
        <v>-1</v>
      </c>
      <c r="Z15" s="92">
        <v>3.2763402631579001E-2</v>
      </c>
      <c r="AA15" s="88">
        <v>13</v>
      </c>
      <c r="AB15" s="68"/>
      <c r="AC15" s="5"/>
      <c r="AD15" s="5"/>
      <c r="AE15" s="80"/>
      <c r="AF15" s="179"/>
      <c r="AG15" s="154"/>
      <c r="AH15" s="154"/>
      <c r="AI15" s="154"/>
      <c r="AJ15" s="68"/>
      <c r="AK15" s="5"/>
      <c r="AL15" s="5"/>
      <c r="AM15" s="80"/>
      <c r="AN15" s="127">
        <v>72</v>
      </c>
      <c r="AO15" s="79">
        <v>69</v>
      </c>
      <c r="AP15" s="79">
        <v>80</v>
      </c>
      <c r="AQ15" s="128">
        <v>74</v>
      </c>
      <c r="AR15" s="127">
        <v>84</v>
      </c>
      <c r="AS15" s="79">
        <v>81</v>
      </c>
      <c r="AT15" s="79">
        <v>89</v>
      </c>
      <c r="AU15" s="128">
        <v>85</v>
      </c>
      <c r="AV15" s="179">
        <f t="shared" si="11"/>
        <v>-12</v>
      </c>
      <c r="AW15" s="179">
        <f t="shared" si="0"/>
        <v>-12</v>
      </c>
      <c r="AX15" s="179">
        <f t="shared" si="0"/>
        <v>-9</v>
      </c>
      <c r="AY15" s="179">
        <f t="shared" si="0"/>
        <v>-11</v>
      </c>
      <c r="AZ15" s="9"/>
      <c r="BA15" s="77"/>
      <c r="BC15" s="77"/>
      <c r="BD15" s="154">
        <v>0.17000000178800001</v>
      </c>
      <c r="BE15" s="144">
        <v>0</v>
      </c>
      <c r="BF15" s="5">
        <v>2</v>
      </c>
      <c r="BG15" s="5">
        <v>1</v>
      </c>
      <c r="BK15" s="18" t="s">
        <v>12</v>
      </c>
      <c r="BL15" s="18">
        <v>-7</v>
      </c>
      <c r="BM15" s="221">
        <v>-20</v>
      </c>
      <c r="BN15" s="21">
        <v>-21</v>
      </c>
      <c r="BO15" s="18">
        <v>-15</v>
      </c>
      <c r="BP15" s="18">
        <v>-56</v>
      </c>
      <c r="BQ15" s="138" t="s">
        <v>484</v>
      </c>
      <c r="BR15" s="138">
        <v>-9.0182271931635306E-27</v>
      </c>
      <c r="BS15" s="138" t="s">
        <v>485</v>
      </c>
      <c r="BT15" s="138">
        <v>-8.7769157560261197E-27</v>
      </c>
      <c r="BU15" s="138">
        <f t="shared" si="12"/>
        <v>-8.8975714745948245E-27</v>
      </c>
      <c r="BW15" s="18">
        <v>0</v>
      </c>
      <c r="BX15" s="18">
        <v>0.33000001311299998</v>
      </c>
      <c r="BY15" s="18">
        <f t="shared" si="13"/>
        <v>-0.33000001311299998</v>
      </c>
      <c r="BZ15" s="3">
        <v>0.22399999722841998</v>
      </c>
      <c r="CA15" s="18">
        <v>0.34333332690082669</v>
      </c>
      <c r="CB15" s="18">
        <v>0.23666665578900001</v>
      </c>
      <c r="CC15" s="18">
        <v>0.45999999841066669</v>
      </c>
      <c r="CD15" s="18">
        <v>0</v>
      </c>
      <c r="CE15" s="18">
        <v>0.32714286313521146</v>
      </c>
      <c r="CF15" s="18">
        <v>0.26333333024150002</v>
      </c>
      <c r="CG15" s="18">
        <v>0.78666667143500002</v>
      </c>
      <c r="CH15" s="18">
        <v>0.85666666428233329</v>
      </c>
      <c r="CI15" s="18">
        <v>0.91666664679833332</v>
      </c>
      <c r="CJ15" s="18">
        <v>0.26000000039733334</v>
      </c>
      <c r="CK15" s="296" t="s">
        <v>533</v>
      </c>
      <c r="CL15" s="18">
        <v>2.5291545759999998</v>
      </c>
      <c r="CM15" s="18">
        <v>-2.4568252099999999</v>
      </c>
      <c r="CN15" s="18">
        <v>-0.16142878090000001</v>
      </c>
      <c r="CO15" s="18">
        <v>-0.1936849632</v>
      </c>
      <c r="CP15" s="18">
        <v>-0.14744812900000001</v>
      </c>
      <c r="CQ15" s="18">
        <v>-0.12919013200000001</v>
      </c>
      <c r="CR15" s="18">
        <v>-9.5423213189999995E-2</v>
      </c>
      <c r="CS15" s="18">
        <v>1.8204501389999999E-2</v>
      </c>
      <c r="CT15" s="18">
        <v>0.13647798799999999</v>
      </c>
      <c r="CY15" s="18">
        <v>-0.1220478493</v>
      </c>
      <c r="CZ15" s="296" t="s">
        <v>533</v>
      </c>
      <c r="DA15" s="68">
        <v>11.15136846</v>
      </c>
      <c r="DB15" s="5">
        <v>11.704502509999999</v>
      </c>
      <c r="DC15" s="5">
        <v>9.2459522819999993</v>
      </c>
      <c r="DD15" s="80">
        <f>AVERAGE(DA15,DC15)</f>
        <v>10.198660370999999</v>
      </c>
      <c r="DE15" s="68">
        <v>14.551470180000001</v>
      </c>
      <c r="DF15" s="5">
        <v>11.138767359999999</v>
      </c>
      <c r="DG15" s="5">
        <v>11.34871231</v>
      </c>
      <c r="DH15" s="80">
        <f>AVERAGE(DE15,DG15)</f>
        <v>12.950091244999999</v>
      </c>
      <c r="DI15" s="151">
        <f t="shared" si="61"/>
        <v>3.4001017200000003</v>
      </c>
      <c r="DJ15" s="24">
        <f t="shared" si="61"/>
        <v>-0.56573515000000008</v>
      </c>
      <c r="DK15" s="294">
        <f t="shared" si="61"/>
        <v>2.1027600280000005</v>
      </c>
      <c r="DL15" s="244">
        <f t="shared" si="61"/>
        <v>2.7514308740000004</v>
      </c>
      <c r="DM15" s="297" t="s">
        <v>533</v>
      </c>
      <c r="DN15" s="68">
        <v>2.3970312109999998</v>
      </c>
      <c r="DO15" s="5">
        <v>2.7319091819999999</v>
      </c>
      <c r="DP15" s="5">
        <v>2.4690295199999999</v>
      </c>
      <c r="DQ15" s="3">
        <f>AVERAGE(DN15,DP15)</f>
        <v>2.4330303654999996</v>
      </c>
      <c r="DR15" s="68">
        <v>8.6300701390000008</v>
      </c>
      <c r="DS15" s="5">
        <v>8.9645766990000002</v>
      </c>
      <c r="DT15" s="5">
        <v>8.2010395220000003</v>
      </c>
      <c r="DU15" s="3">
        <f>AVERAGE(DR15,DT15)</f>
        <v>8.4155548304999996</v>
      </c>
      <c r="DV15" s="24">
        <f t="shared" si="62"/>
        <v>6.2330389280000009</v>
      </c>
      <c r="DW15" s="24">
        <f t="shared" si="62"/>
        <v>6.2326675170000003</v>
      </c>
      <c r="DX15" s="24">
        <f t="shared" si="62"/>
        <v>5.7320100020000009</v>
      </c>
      <c r="DY15" s="188">
        <f t="shared" si="62"/>
        <v>5.982524465</v>
      </c>
      <c r="DZ15" s="297" t="s">
        <v>533</v>
      </c>
      <c r="EA15" s="18">
        <v>3.4608413090000001</v>
      </c>
      <c r="EB15" s="18">
        <v>3.8564063709999998</v>
      </c>
      <c r="EC15" s="18">
        <v>4.2031446350000001</v>
      </c>
      <c r="ED15" s="3">
        <f>AVERAGE(EA15,EC15)</f>
        <v>3.8319929720000001</v>
      </c>
      <c r="EE15" s="18">
        <v>5.7949181449999996</v>
      </c>
      <c r="EF15" s="18">
        <v>4.793611855</v>
      </c>
      <c r="EG15" s="18">
        <v>5.2584251130000004</v>
      </c>
      <c r="EH15" s="3">
        <f>AVERAGE(EE15,EG15)</f>
        <v>5.526671629</v>
      </c>
      <c r="EI15" s="24">
        <f t="shared" si="63"/>
        <v>2.3340768359999995</v>
      </c>
      <c r="EJ15" s="24">
        <f t="shared" si="63"/>
        <v>0.93720548400000014</v>
      </c>
      <c r="EK15" s="24">
        <f t="shared" si="63"/>
        <v>1.0552804780000002</v>
      </c>
      <c r="EL15" s="188">
        <f t="shared" si="63"/>
        <v>1.6946786569999999</v>
      </c>
      <c r="EM15" s="297" t="s">
        <v>533</v>
      </c>
      <c r="EN15" s="151" t="s">
        <v>484</v>
      </c>
      <c r="EO15" s="244">
        <v>33.449927609530803</v>
      </c>
      <c r="EP15" s="151" t="s">
        <v>485</v>
      </c>
      <c r="EQ15" s="244">
        <v>27.466217800960798</v>
      </c>
      <c r="ER15" s="244">
        <f t="shared" si="14"/>
        <v>30.458072705245801</v>
      </c>
      <c r="ES15" s="18">
        <v>9</v>
      </c>
      <c r="ET15" s="18">
        <v>12</v>
      </c>
      <c r="EU15" s="18">
        <v>14</v>
      </c>
      <c r="EV15" s="18">
        <v>0</v>
      </c>
      <c r="EW15" s="18">
        <v>10</v>
      </c>
      <c r="EX15" s="18">
        <v>8</v>
      </c>
      <c r="EY15" s="18">
        <v>53</v>
      </c>
      <c r="EZ15" s="5">
        <v>-2.4568252099999999</v>
      </c>
      <c r="FA15" s="18">
        <v>-14.171700224610195</v>
      </c>
      <c r="FB15" s="310">
        <v>13</v>
      </c>
      <c r="FC15" s="5">
        <v>56</v>
      </c>
      <c r="FD15" s="18">
        <v>32</v>
      </c>
      <c r="FE15" s="340">
        <v>13</v>
      </c>
      <c r="FF15" s="18">
        <v>0.21599999740722797</v>
      </c>
      <c r="FG15" s="18">
        <v>0.33333332712433333</v>
      </c>
      <c r="FH15" s="18">
        <v>0.23333332253017333</v>
      </c>
      <c r="FI15" s="18">
        <v>0.45666666515184001</v>
      </c>
      <c r="FJ15" s="18">
        <v>0</v>
      </c>
      <c r="FK15" s="18">
        <v>0.20142857836814859</v>
      </c>
      <c r="FL15" s="18">
        <v>0.25666666372384667</v>
      </c>
      <c r="FM15" s="18">
        <v>0.77333333839970664</v>
      </c>
      <c r="FN15" s="18">
        <v>0.84999999776467994</v>
      </c>
      <c r="FO15" s="18">
        <v>0.90666664702183997</v>
      </c>
      <c r="FP15" s="18">
        <v>0.25333333387967999</v>
      </c>
      <c r="FQ15" s="322">
        <v>2</v>
      </c>
      <c r="FR15" s="5">
        <v>4</v>
      </c>
      <c r="FS15" s="5">
        <v>-1</v>
      </c>
      <c r="FT15" s="259">
        <v>0.22399999722841998</v>
      </c>
      <c r="FU15" s="72">
        <v>0.34333332690082669</v>
      </c>
      <c r="FV15" s="260">
        <v>0.23666665578900001</v>
      </c>
      <c r="FW15" s="261">
        <v>0.45999999841066669</v>
      </c>
      <c r="FX15" s="154">
        <v>0</v>
      </c>
      <c r="FY15" s="262">
        <v>0.32714286313521146</v>
      </c>
      <c r="FZ15" s="263">
        <v>0.26333333024150002</v>
      </c>
      <c r="GA15" s="264">
        <v>0.78666667143500002</v>
      </c>
      <c r="GB15" s="265">
        <v>0.85666666428233329</v>
      </c>
      <c r="GC15" s="266">
        <v>0.91666664679833332</v>
      </c>
      <c r="GD15" s="267">
        <v>0.26000000039733334</v>
      </c>
      <c r="GE15" s="5">
        <v>-2.4568252099999999</v>
      </c>
      <c r="GF15" s="18">
        <v>9</v>
      </c>
      <c r="GG15" s="18">
        <v>12</v>
      </c>
      <c r="GH15" s="18">
        <v>14</v>
      </c>
      <c r="GI15" s="18">
        <v>0</v>
      </c>
      <c r="GJ15" s="18">
        <v>10</v>
      </c>
      <c r="GK15" s="18">
        <v>8</v>
      </c>
      <c r="GL15" s="18">
        <v>53</v>
      </c>
      <c r="GN15" s="5">
        <v>110</v>
      </c>
      <c r="GO15" s="5">
        <v>106</v>
      </c>
      <c r="GP15" s="5">
        <v>110</v>
      </c>
      <c r="GQ15" s="5">
        <v>94</v>
      </c>
      <c r="GR15" s="5">
        <v>130</v>
      </c>
      <c r="GS15" s="144">
        <v>0</v>
      </c>
      <c r="GT15" s="18">
        <v>87.306299999999993</v>
      </c>
      <c r="GU15" s="18">
        <v>72.881200000000007</v>
      </c>
      <c r="GV15" s="3">
        <f t="shared" si="15"/>
        <v>14.425099999999986</v>
      </c>
      <c r="GW15" s="5">
        <f t="shared" si="16"/>
        <v>1.1979262141677138</v>
      </c>
      <c r="GX15" s="18">
        <f t="shared" si="17"/>
        <v>7.8430068665414798E-2</v>
      </c>
      <c r="GY15" s="18">
        <v>79.683800000000005</v>
      </c>
      <c r="GZ15" s="18">
        <v>71.456699999999998</v>
      </c>
      <c r="HA15" s="3">
        <f t="shared" si="18"/>
        <v>8.2271000000000072</v>
      </c>
      <c r="HB15" s="18">
        <f t="shared" si="19"/>
        <v>1.1151340602070905</v>
      </c>
      <c r="HC15" s="18">
        <v>92.716700000000003</v>
      </c>
      <c r="HD15" s="18">
        <v>76.600800000000007</v>
      </c>
      <c r="HE15" s="3">
        <f t="shared" si="20"/>
        <v>16.115899999999996</v>
      </c>
      <c r="HF15" s="18">
        <f t="shared" si="21"/>
        <v>1.210388142160395</v>
      </c>
      <c r="HG15" s="18">
        <v>18.858499999999999</v>
      </c>
      <c r="HH15" s="18">
        <v>31.942900000000002</v>
      </c>
      <c r="HI15" s="3">
        <f t="shared" si="22"/>
        <v>-13.084400000000002</v>
      </c>
      <c r="HJ15" s="18">
        <f t="shared" si="23"/>
        <v>0.59038158714456102</v>
      </c>
      <c r="HK15" s="5">
        <v>97.450299999999999</v>
      </c>
      <c r="HL15" s="5">
        <v>68.361800000000002</v>
      </c>
      <c r="HM15" s="3">
        <f t="shared" si="24"/>
        <v>29.088499999999996</v>
      </c>
      <c r="HN15" s="5">
        <f t="shared" si="60"/>
        <v>1.4255081054038952</v>
      </c>
      <c r="HO15" s="18">
        <v>60.066000000000003</v>
      </c>
      <c r="HP15" s="18">
        <v>55.732999999999997</v>
      </c>
      <c r="HQ15" s="3">
        <f t="shared" si="25"/>
        <v>4.3330000000000055</v>
      </c>
      <c r="HR15" s="18">
        <f t="shared" si="26"/>
        <v>1.077745680297131</v>
      </c>
      <c r="HS15" s="18">
        <v>54.769199999999998</v>
      </c>
      <c r="HT15" s="18">
        <v>54.5505</v>
      </c>
      <c r="HU15" s="3">
        <f t="shared" si="27"/>
        <v>0.21869999999999834</v>
      </c>
      <c r="HV15" s="18">
        <f t="shared" si="28"/>
        <v>1.0040091291555531</v>
      </c>
      <c r="HW15" s="18">
        <v>54.628700000000002</v>
      </c>
      <c r="HX15" s="18">
        <v>54.026200000000003</v>
      </c>
      <c r="HY15" s="3">
        <f t="shared" si="29"/>
        <v>0.60249999999999915</v>
      </c>
      <c r="HZ15" s="18">
        <f t="shared" si="30"/>
        <v>1.0111519966238602</v>
      </c>
      <c r="IA15" s="18">
        <v>44.230800000000002</v>
      </c>
      <c r="IB15" s="18">
        <v>46.600700000000003</v>
      </c>
      <c r="IC15" s="3">
        <f t="shared" si="31"/>
        <v>-2.3699000000000012</v>
      </c>
      <c r="ID15" s="18">
        <f t="shared" si="32"/>
        <v>0.94914454074724197</v>
      </c>
      <c r="IE15" s="18">
        <v>40.200899999999997</v>
      </c>
      <c r="IF15" s="18">
        <v>40.547600000000003</v>
      </c>
      <c r="IG15" s="3">
        <f t="shared" si="33"/>
        <v>-0.34670000000000556</v>
      </c>
      <c r="IH15" s="18">
        <f t="shared" si="34"/>
        <v>0.99144955558405412</v>
      </c>
      <c r="II15" s="18">
        <v>55.444000000000003</v>
      </c>
      <c r="IJ15" s="18">
        <v>54.529000000000003</v>
      </c>
      <c r="IK15" s="3">
        <f t="shared" si="35"/>
        <v>0.91499999999999915</v>
      </c>
      <c r="IL15" s="18">
        <f t="shared" si="36"/>
        <v>1.0167800619853655</v>
      </c>
      <c r="IM15" s="18">
        <v>74.649699999999996</v>
      </c>
      <c r="IN15" s="18">
        <v>68.677000000000007</v>
      </c>
      <c r="IO15" s="3">
        <f t="shared" si="37"/>
        <v>5.972699999999989</v>
      </c>
      <c r="IP15" s="18">
        <f t="shared" si="38"/>
        <v>1.0869679805466166</v>
      </c>
      <c r="IQ15" s="18">
        <v>53.734299999999998</v>
      </c>
      <c r="IR15" s="18">
        <v>52.527500000000003</v>
      </c>
      <c r="IS15" s="3">
        <f t="shared" si="39"/>
        <v>1.2067999999999941</v>
      </c>
      <c r="IT15" s="18">
        <f t="shared" si="40"/>
        <v>1.0229746323354432</v>
      </c>
      <c r="IU15" s="18">
        <v>48.323700000000002</v>
      </c>
      <c r="IV15" s="18">
        <v>49.0777</v>
      </c>
      <c r="IW15" s="3">
        <f t="shared" si="41"/>
        <v>-0.75399999999999778</v>
      </c>
      <c r="IX15" s="18">
        <f t="shared" si="42"/>
        <v>0.98463660684995435</v>
      </c>
      <c r="IY15" s="18">
        <v>57.869</v>
      </c>
      <c r="IZ15" s="18">
        <v>53.752299999999998</v>
      </c>
      <c r="JA15" s="3">
        <f t="shared" si="43"/>
        <v>4.1167000000000016</v>
      </c>
      <c r="JB15" s="18">
        <f t="shared" si="44"/>
        <v>1.0765864902525102</v>
      </c>
      <c r="JC15" s="18">
        <f>LOG(HN15)</f>
        <v>0.15396969104020175</v>
      </c>
      <c r="JD15" s="18">
        <v>30.458072705245801</v>
      </c>
      <c r="JE15" s="18">
        <f t="shared" si="45"/>
        <v>0.30458072705245803</v>
      </c>
      <c r="JG15" s="336" t="s">
        <v>601</v>
      </c>
      <c r="JH15" s="18">
        <v>0.86475330332808598</v>
      </c>
      <c r="JJ15" s="336" t="s">
        <v>601</v>
      </c>
      <c r="JK15" s="18">
        <v>0.44840550636168702</v>
      </c>
      <c r="JM15" s="336" t="s">
        <v>601</v>
      </c>
      <c r="JN15" s="18">
        <v>0.22169790828017299</v>
      </c>
      <c r="JO15" s="18">
        <f t="shared" si="46"/>
        <v>0.77830209171982701</v>
      </c>
      <c r="JP15" s="336" t="s">
        <v>601</v>
      </c>
      <c r="JQ15" s="18">
        <v>1.0452296563539301</v>
      </c>
      <c r="JT15" s="336" t="s">
        <v>601</v>
      </c>
      <c r="JU15" s="18">
        <v>1.2112296365055899</v>
      </c>
      <c r="JW15" s="336" t="s">
        <v>601</v>
      </c>
      <c r="JX15" s="18">
        <v>0.67474344867617897</v>
      </c>
      <c r="JZ15" s="336" t="s">
        <v>601</v>
      </c>
      <c r="KA15" s="18">
        <v>0.30438071930323501</v>
      </c>
      <c r="KC15" s="336" t="s">
        <v>601</v>
      </c>
      <c r="KD15" s="18">
        <v>1.04861229876158</v>
      </c>
      <c r="KE15" s="68" t="s">
        <v>533</v>
      </c>
      <c r="KF15" s="347">
        <v>7.3000000000000001E-3</v>
      </c>
      <c r="KG15" s="347">
        <v>1.41E-2</v>
      </c>
      <c r="KH15" s="347">
        <f t="shared" si="47"/>
        <v>1.0699999999999999E-2</v>
      </c>
      <c r="KI15" s="348">
        <v>2.46E-2</v>
      </c>
      <c r="KJ15" s="348">
        <v>5.4199999999999998E-2</v>
      </c>
      <c r="KK15" s="348">
        <f t="shared" si="48"/>
        <v>3.9399999999999998E-2</v>
      </c>
      <c r="KL15" s="347">
        <f t="shared" si="49"/>
        <v>2.8699999999999996E-2</v>
      </c>
      <c r="KM15" s="347">
        <f t="shared" si="50"/>
        <v>3.6822429906542054</v>
      </c>
      <c r="KN15" s="354">
        <f t="shared" si="64"/>
        <v>7.5602429906542055</v>
      </c>
      <c r="KO15" s="18">
        <f t="shared" si="51"/>
        <v>0.87853575420548791</v>
      </c>
      <c r="KP15" s="18">
        <v>0.87853575420548791</v>
      </c>
      <c r="KQ15" s="340">
        <v>13</v>
      </c>
      <c r="KR15" s="18">
        <v>0.21599999740722797</v>
      </c>
      <c r="KS15" s="18">
        <v>0.33333332712433333</v>
      </c>
      <c r="KT15" s="18">
        <v>0.23333332253017333</v>
      </c>
      <c r="KU15" s="18">
        <v>0.45666666515184001</v>
      </c>
      <c r="KV15" s="18">
        <v>0</v>
      </c>
      <c r="KW15" s="18">
        <v>0.20142857836814859</v>
      </c>
      <c r="KX15" s="18">
        <v>0.25666666372384667</v>
      </c>
      <c r="KY15" s="18">
        <v>0.77333333839970664</v>
      </c>
      <c r="KZ15" s="18">
        <v>0.84999999776467994</v>
      </c>
      <c r="LA15" s="18">
        <v>0.90666664702183997</v>
      </c>
      <c r="LB15" s="18">
        <v>0.25333333387967999</v>
      </c>
      <c r="LC15" s="358" t="s">
        <v>635</v>
      </c>
      <c r="LD15" s="358">
        <v>13</v>
      </c>
      <c r="LE15" s="358">
        <v>10.5</v>
      </c>
      <c r="LF15" s="358">
        <v>3</v>
      </c>
      <c r="LG15" s="358">
        <v>10</v>
      </c>
      <c r="LH15" s="358">
        <v>0</v>
      </c>
      <c r="LI15" s="358">
        <v>0</v>
      </c>
      <c r="LJ15" s="144">
        <v>0</v>
      </c>
      <c r="LK15" s="158" t="s">
        <v>533</v>
      </c>
      <c r="LL15" s="68">
        <v>0.47949999999999998</v>
      </c>
      <c r="LM15" s="5">
        <v>0.47170000000000001</v>
      </c>
      <c r="LN15" s="5">
        <f t="shared" si="52"/>
        <v>0.47560000000000002</v>
      </c>
      <c r="LO15" s="5">
        <v>0.52729999999999999</v>
      </c>
      <c r="LP15" s="5">
        <v>0.50970000000000004</v>
      </c>
      <c r="LQ15" s="80">
        <f t="shared" si="53"/>
        <v>0.51849999999999996</v>
      </c>
      <c r="LR15" s="77">
        <f t="shared" si="54"/>
        <v>-4.2899999999999938E-2</v>
      </c>
      <c r="LS15" s="68">
        <v>9.3074999999999992</v>
      </c>
      <c r="LT15" s="5">
        <v>8.2177000000000007</v>
      </c>
      <c r="LU15" s="5">
        <f t="shared" si="55"/>
        <v>8.7625999999999991</v>
      </c>
      <c r="LV15" s="5">
        <v>11.643599999999999</v>
      </c>
      <c r="LW15" s="5">
        <v>9.3986000000000001</v>
      </c>
      <c r="LX15" s="80">
        <f t="shared" si="56"/>
        <v>10.521100000000001</v>
      </c>
      <c r="LY15" s="77">
        <f t="shared" si="57"/>
        <v>-1.7585000000000015</v>
      </c>
      <c r="LZ15" s="68">
        <v>1.0339</v>
      </c>
      <c r="MA15" s="5">
        <v>1.0162</v>
      </c>
      <c r="MB15" s="5">
        <f>AVERAGE(LZ15:MA15)</f>
        <v>1.02505</v>
      </c>
      <c r="MC15" s="5">
        <v>0.97299999999999998</v>
      </c>
      <c r="MD15" s="5">
        <v>0.98380000000000001</v>
      </c>
      <c r="ME15" s="80">
        <f>AVERAGE(MC15:MD15)</f>
        <v>0.97839999999999994</v>
      </c>
      <c r="MF15" s="77">
        <f t="shared" si="58"/>
        <v>4.665000000000008E-2</v>
      </c>
      <c r="MG15" s="68">
        <v>0.27210000000000001</v>
      </c>
      <c r="MH15" s="5">
        <v>0.25869999999999999</v>
      </c>
      <c r="MI15" s="5">
        <f>AVERAGE(MG15:MH15)</f>
        <v>0.26539999999999997</v>
      </c>
      <c r="MJ15" s="5">
        <v>0.39789999999999998</v>
      </c>
      <c r="MK15" s="5">
        <v>0.33860000000000001</v>
      </c>
      <c r="ML15" s="80">
        <f>AVERAGE(MJ15:MK15)</f>
        <v>0.36824999999999997</v>
      </c>
      <c r="MM15" s="77">
        <f t="shared" si="59"/>
        <v>-0.10285</v>
      </c>
      <c r="MO15" s="5">
        <v>-1.2205032899999999</v>
      </c>
      <c r="MP15" s="5">
        <v>0.2022895408</v>
      </c>
      <c r="MQ15" s="5">
        <v>0.68542742150000002</v>
      </c>
      <c r="MR15" s="5">
        <v>0.93827117390000003</v>
      </c>
      <c r="MS15" s="292">
        <v>0.71472542989999999</v>
      </c>
      <c r="MT15" s="18">
        <v>-2.4568252099999999</v>
      </c>
      <c r="MU15" s="18">
        <v>0.53457400649999998</v>
      </c>
      <c r="MV15" s="18">
        <v>1.817774848</v>
      </c>
      <c r="MW15" s="18">
        <v>1.095207644</v>
      </c>
    </row>
    <row r="16" spans="1:361" s="18" customFormat="1" ht="15.75" customHeight="1" thickBot="1" x14ac:dyDescent="0.25">
      <c r="A16" s="3" t="s">
        <v>13</v>
      </c>
      <c r="B16" s="5">
        <v>3</v>
      </c>
      <c r="C16" s="5">
        <v>1</v>
      </c>
      <c r="D16" s="5">
        <v>26</v>
      </c>
      <c r="E16" s="5">
        <v>44</v>
      </c>
      <c r="F16" s="5">
        <v>43</v>
      </c>
      <c r="G16" s="18">
        <v>34</v>
      </c>
      <c r="H16" s="24">
        <v>111</v>
      </c>
      <c r="I16" s="5">
        <v>19</v>
      </c>
      <c r="J16" s="5">
        <v>121</v>
      </c>
      <c r="K16" s="5">
        <v>109</v>
      </c>
      <c r="L16" s="5">
        <v>111</v>
      </c>
      <c r="M16" s="5">
        <v>49</v>
      </c>
      <c r="N16" s="5">
        <v>156</v>
      </c>
      <c r="O16" s="5">
        <v>16.5</v>
      </c>
      <c r="P16" s="5">
        <v>6</v>
      </c>
      <c r="Q16" s="5">
        <v>1</v>
      </c>
      <c r="R16" s="5">
        <v>-12</v>
      </c>
      <c r="S16" s="5">
        <v>8</v>
      </c>
      <c r="T16" s="18">
        <v>6</v>
      </c>
      <c r="U16" s="5">
        <v>12</v>
      </c>
      <c r="V16" s="5">
        <v>14</v>
      </c>
      <c r="W16" s="5">
        <v>3</v>
      </c>
      <c r="X16" s="5">
        <v>-10</v>
      </c>
      <c r="Y16" s="5">
        <v>-6</v>
      </c>
      <c r="Z16" s="93">
        <v>0.47624340263157905</v>
      </c>
      <c r="AA16" s="88">
        <v>14.5</v>
      </c>
      <c r="AB16" s="68">
        <v>84</v>
      </c>
      <c r="AC16" s="5">
        <v>86</v>
      </c>
      <c r="AD16" s="5">
        <v>92</v>
      </c>
      <c r="AE16" s="80">
        <v>87</v>
      </c>
      <c r="AF16" s="179">
        <v>-4</v>
      </c>
      <c r="AG16" s="154">
        <v>-2</v>
      </c>
      <c r="AH16" s="154">
        <v>7</v>
      </c>
      <c r="AI16" s="154">
        <v>1</v>
      </c>
      <c r="AJ16" s="68">
        <v>80</v>
      </c>
      <c r="AK16" s="5">
        <v>84</v>
      </c>
      <c r="AL16" s="5">
        <v>99</v>
      </c>
      <c r="AM16" s="80">
        <v>88</v>
      </c>
      <c r="AN16" s="68">
        <v>84</v>
      </c>
      <c r="AO16" s="5">
        <v>86</v>
      </c>
      <c r="AP16" s="5">
        <v>92</v>
      </c>
      <c r="AQ16" s="80">
        <v>87</v>
      </c>
      <c r="AR16" s="68">
        <v>80</v>
      </c>
      <c r="AS16" s="5">
        <v>84</v>
      </c>
      <c r="AT16" s="5">
        <v>99</v>
      </c>
      <c r="AU16" s="80">
        <v>88</v>
      </c>
      <c r="AV16" s="179">
        <f t="shared" si="11"/>
        <v>4</v>
      </c>
      <c r="AW16" s="179">
        <f t="shared" si="0"/>
        <v>2</v>
      </c>
      <c r="AX16" s="179">
        <f t="shared" si="0"/>
        <v>-7</v>
      </c>
      <c r="AY16" s="179">
        <f t="shared" si="0"/>
        <v>-1</v>
      </c>
      <c r="AZ16" s="9">
        <v>1.0952380952380953</v>
      </c>
      <c r="BA16" s="77">
        <v>-0.1422619047619047</v>
      </c>
      <c r="BB16" s="18">
        <v>1.0238095238095237</v>
      </c>
      <c r="BC16" s="77">
        <v>-2.6190476190476319E-2</v>
      </c>
      <c r="BD16" s="154">
        <v>0.95999997854200003</v>
      </c>
      <c r="BE16" s="144">
        <v>1</v>
      </c>
      <c r="BF16" s="5">
        <v>1</v>
      </c>
      <c r="BG16" s="5">
        <v>6</v>
      </c>
      <c r="BK16" s="18" t="s">
        <v>13</v>
      </c>
      <c r="BL16" s="18">
        <v>0</v>
      </c>
      <c r="BM16" s="18">
        <v>2</v>
      </c>
      <c r="BN16" s="18">
        <v>1</v>
      </c>
      <c r="BO16" s="18">
        <v>5</v>
      </c>
      <c r="BP16" s="18">
        <v>8</v>
      </c>
      <c r="BQ16" s="138" t="s">
        <v>486</v>
      </c>
      <c r="BR16" s="138">
        <v>-6.8131676363072699E-27</v>
      </c>
      <c r="BS16" s="138" t="s">
        <v>487</v>
      </c>
      <c r="BT16" s="138">
        <v>-5.2982299163640803E-27</v>
      </c>
      <c r="BU16" s="138">
        <f t="shared" si="12"/>
        <v>-6.0556987763356754E-27</v>
      </c>
      <c r="BW16" s="18">
        <v>0.97000002861000001</v>
      </c>
      <c r="BX16" s="18">
        <v>0</v>
      </c>
      <c r="BY16" s="18">
        <f t="shared" si="13"/>
        <v>0.97000002861000001</v>
      </c>
      <c r="BZ16" s="3">
        <v>0.83199999928480006</v>
      </c>
      <c r="CA16" s="18">
        <v>0.82666665315633336</v>
      </c>
      <c r="CB16" s="18">
        <v>0.85333331425966674</v>
      </c>
      <c r="CC16" s="18">
        <v>0.71999998887399996</v>
      </c>
      <c r="CD16" s="18">
        <v>0.41666666666666669</v>
      </c>
      <c r="CE16" s="18">
        <v>0.11428571439214287</v>
      </c>
      <c r="CF16" s="18">
        <v>0.1899999997889</v>
      </c>
      <c r="CG16" s="18">
        <v>0.47000000377500001</v>
      </c>
      <c r="CH16" s="18">
        <v>0.98666667938233343</v>
      </c>
      <c r="CI16" s="18">
        <v>0.98000001907333323</v>
      </c>
      <c r="CJ16" s="18">
        <v>0.44000001003329997</v>
      </c>
      <c r="CY16" s="18">
        <v>-0.22810852770000001</v>
      </c>
      <c r="DA16" s="68"/>
      <c r="DB16" s="5"/>
      <c r="DC16" s="5"/>
      <c r="DD16" s="80"/>
      <c r="DE16" s="68"/>
      <c r="DF16" s="5"/>
      <c r="DG16" s="5"/>
      <c r="DH16" s="80"/>
      <c r="DI16" s="68"/>
      <c r="DJ16" s="5"/>
      <c r="DK16" s="5"/>
      <c r="DL16" s="80"/>
      <c r="DN16" s="68"/>
      <c r="DO16" s="5"/>
      <c r="DP16" s="5"/>
      <c r="DQ16" s="3"/>
      <c r="DR16" s="68"/>
      <c r="DS16" s="5"/>
      <c r="DT16" s="5"/>
      <c r="DU16" s="3"/>
      <c r="DY16" s="3"/>
      <c r="ED16" s="3"/>
      <c r="EH16" s="3"/>
      <c r="EL16" s="3"/>
      <c r="EN16" s="191" t="s">
        <v>486</v>
      </c>
      <c r="EO16" s="192">
        <v>6.5481608328281897</v>
      </c>
      <c r="EP16" s="195" t="s">
        <v>487</v>
      </c>
      <c r="EQ16" s="196">
        <v>9.1808162528898904</v>
      </c>
      <c r="ER16" s="196">
        <f t="shared" si="14"/>
        <v>7.8644885428590401</v>
      </c>
      <c r="ES16" s="18">
        <v>9</v>
      </c>
      <c r="ET16" s="18">
        <v>18</v>
      </c>
      <c r="EU16" s="18">
        <v>11</v>
      </c>
      <c r="EV16" s="18">
        <v>-1</v>
      </c>
      <c r="EW16" s="18">
        <v>8</v>
      </c>
      <c r="EX16" s="18">
        <v>1</v>
      </c>
      <c r="EY16" s="18">
        <v>46</v>
      </c>
      <c r="EZ16" s="222"/>
      <c r="FA16" s="222"/>
      <c r="FB16" s="310">
        <v>14</v>
      </c>
      <c r="FC16" s="5">
        <v>44</v>
      </c>
      <c r="FD16" s="18">
        <v>34</v>
      </c>
      <c r="FE16" s="340">
        <v>14.5</v>
      </c>
      <c r="FF16" s="18">
        <v>0.83199999928480006</v>
      </c>
      <c r="FG16" s="18">
        <v>0.82333331989750669</v>
      </c>
      <c r="FH16" s="18">
        <v>0.84999998100084007</v>
      </c>
      <c r="FI16" s="18">
        <v>0.71999998887399996</v>
      </c>
      <c r="FJ16" s="18">
        <v>0.41666666666666669</v>
      </c>
      <c r="FK16" s="18">
        <v>0.11428571439214287</v>
      </c>
      <c r="FL16" s="18">
        <v>0.18833333315948667</v>
      </c>
      <c r="FM16" s="18">
        <v>0.47000000377500001</v>
      </c>
      <c r="FN16" s="18">
        <v>0.98666667938233343</v>
      </c>
      <c r="FO16" s="18">
        <v>0.98000001907333323</v>
      </c>
      <c r="FP16" s="18">
        <v>0.44000001003329997</v>
      </c>
      <c r="FQ16" s="322">
        <v>1</v>
      </c>
      <c r="FR16" s="5">
        <v>12</v>
      </c>
      <c r="FS16" s="5">
        <v>-6</v>
      </c>
      <c r="FT16" s="259">
        <v>0.83199999928480006</v>
      </c>
      <c r="FU16" s="72">
        <v>0.82666665315633336</v>
      </c>
      <c r="FV16" s="260">
        <v>0.85333331425966674</v>
      </c>
      <c r="FW16" s="261">
        <v>0.71999998887399996</v>
      </c>
      <c r="FX16" s="154">
        <v>0.41666666666666669</v>
      </c>
      <c r="FY16" s="262">
        <v>0.11428571439214287</v>
      </c>
      <c r="FZ16" s="263">
        <v>0.1899999997889</v>
      </c>
      <c r="GA16" s="264">
        <v>0.47000000377500001</v>
      </c>
      <c r="GB16" s="265">
        <v>0.98666667938233343</v>
      </c>
      <c r="GC16" s="266">
        <v>0.98000001907333323</v>
      </c>
      <c r="GD16" s="267">
        <v>0.44000001003329997</v>
      </c>
      <c r="GE16" s="222"/>
      <c r="GF16" s="18">
        <v>9</v>
      </c>
      <c r="GG16" s="18">
        <v>18</v>
      </c>
      <c r="GH16" s="18">
        <v>11</v>
      </c>
      <c r="GI16" s="18">
        <v>-1</v>
      </c>
      <c r="GJ16" s="18">
        <v>8</v>
      </c>
      <c r="GK16" s="18">
        <v>1</v>
      </c>
      <c r="GL16" s="18">
        <v>46</v>
      </c>
      <c r="GN16" s="5">
        <v>121</v>
      </c>
      <c r="GO16" s="5">
        <v>109</v>
      </c>
      <c r="GP16" s="5">
        <v>111</v>
      </c>
      <c r="GQ16" s="5">
        <v>49</v>
      </c>
      <c r="GR16" s="5">
        <v>156</v>
      </c>
      <c r="GS16" s="144">
        <v>1</v>
      </c>
      <c r="GT16" s="222"/>
      <c r="GU16" s="222"/>
      <c r="GV16" s="373"/>
      <c r="GW16" s="79"/>
      <c r="GY16" s="222"/>
      <c r="GZ16" s="222"/>
      <c r="HA16" s="373"/>
      <c r="HB16" s="222"/>
      <c r="HC16" s="222"/>
      <c r="HD16" s="222"/>
      <c r="HE16" s="373"/>
      <c r="HF16" s="222"/>
      <c r="HG16" s="222"/>
      <c r="HH16" s="222"/>
      <c r="HI16" s="373"/>
      <c r="HJ16" s="222"/>
      <c r="HK16" s="79"/>
      <c r="HL16" s="79"/>
      <c r="HM16" s="373"/>
      <c r="HN16" s="79"/>
      <c r="HQ16" s="3"/>
      <c r="HU16" s="3"/>
      <c r="HY16" s="3"/>
      <c r="IC16" s="3">
        <f t="shared" si="31"/>
        <v>0</v>
      </c>
      <c r="IG16" s="3"/>
      <c r="IK16" s="3"/>
      <c r="IO16" s="3"/>
      <c r="IS16" s="3"/>
      <c r="IW16" s="3"/>
      <c r="JA16" s="3"/>
      <c r="JD16" s="18">
        <v>7.8644885428590401</v>
      </c>
      <c r="JE16" s="18">
        <f t="shared" si="45"/>
        <v>7.8644885428590397E-2</v>
      </c>
      <c r="JG16" s="338" t="s">
        <v>602</v>
      </c>
      <c r="JH16" s="138">
        <v>0.24191431770452901</v>
      </c>
      <c r="JI16" s="138"/>
      <c r="JJ16" s="338" t="s">
        <v>602</v>
      </c>
      <c r="JK16" s="138">
        <v>6.0148651897704603E-2</v>
      </c>
      <c r="JL16" s="138"/>
      <c r="JM16" s="338" t="s">
        <v>602</v>
      </c>
      <c r="JN16" s="138">
        <v>6.0504059606713602E-2</v>
      </c>
      <c r="JO16" s="18">
        <f t="shared" si="46"/>
        <v>0.93949594039328643</v>
      </c>
      <c r="JP16" s="338" t="s">
        <v>602</v>
      </c>
      <c r="JQ16" s="138">
        <v>0.23853571029213899</v>
      </c>
      <c r="JR16" s="138"/>
      <c r="JS16" s="138"/>
      <c r="JT16" s="338" t="s">
        <v>602</v>
      </c>
      <c r="JU16" s="138">
        <v>0.32095638011783001</v>
      </c>
      <c r="JV16" s="138"/>
      <c r="JW16" s="338" t="s">
        <v>602</v>
      </c>
      <c r="JX16" s="138">
        <v>8.6593967189620993E-2</v>
      </c>
      <c r="JY16" s="138"/>
      <c r="JZ16" s="338" t="s">
        <v>602</v>
      </c>
      <c r="KA16" s="138">
        <v>7.7313931428566601E-2</v>
      </c>
      <c r="KB16" s="138"/>
      <c r="KC16" s="338" t="s">
        <v>602</v>
      </c>
      <c r="KD16" s="138">
        <v>0.26348255131572101</v>
      </c>
      <c r="KE16" s="107"/>
      <c r="KF16" s="349"/>
      <c r="KG16" s="349"/>
      <c r="KH16" s="349"/>
      <c r="KI16" s="349"/>
      <c r="KJ16" s="349"/>
      <c r="KK16" s="349"/>
      <c r="KL16" s="349"/>
      <c r="KM16" s="349"/>
      <c r="KN16" s="355"/>
      <c r="KO16" s="145"/>
      <c r="KP16" s="145"/>
      <c r="KQ16" s="340">
        <v>14.5</v>
      </c>
      <c r="KR16" s="18">
        <v>0.83199999928480006</v>
      </c>
      <c r="KS16" s="18">
        <v>0.82333331989750669</v>
      </c>
      <c r="KT16" s="18">
        <v>0.84999998100084007</v>
      </c>
      <c r="KU16" s="18">
        <v>0.71999998887399996</v>
      </c>
      <c r="KV16" s="18">
        <v>0.41666666666666669</v>
      </c>
      <c r="KW16" s="18">
        <v>0.11428571439214287</v>
      </c>
      <c r="KX16" s="18">
        <v>0.18833333315948667</v>
      </c>
      <c r="KY16" s="18">
        <v>0.47000000377500001</v>
      </c>
      <c r="KZ16" s="18">
        <v>0.98666667938233343</v>
      </c>
      <c r="LA16" s="18">
        <v>0.98000001907333323</v>
      </c>
      <c r="LB16" s="18">
        <v>0.44000001003329997</v>
      </c>
      <c r="LC16" s="358" t="s">
        <v>636</v>
      </c>
      <c r="LD16" s="358">
        <v>14.5</v>
      </c>
      <c r="LE16" s="358">
        <v>20</v>
      </c>
      <c r="LF16" s="358">
        <v>20</v>
      </c>
      <c r="LG16" s="358">
        <v>13.5</v>
      </c>
      <c r="LH16" s="358">
        <v>2</v>
      </c>
      <c r="LI16" s="358">
        <v>16.5</v>
      </c>
      <c r="LJ16" s="144">
        <v>1</v>
      </c>
      <c r="LK16" s="145"/>
      <c r="LL16" s="107"/>
      <c r="LM16" s="108"/>
      <c r="LN16" s="5"/>
      <c r="LO16" s="108"/>
      <c r="LP16" s="108"/>
      <c r="LQ16" s="80"/>
      <c r="LR16" s="77"/>
      <c r="LS16" s="107"/>
      <c r="LT16" s="108"/>
      <c r="LU16" s="5"/>
      <c r="LV16" s="108"/>
      <c r="LW16" s="108"/>
      <c r="LX16" s="80"/>
      <c r="LY16" s="77"/>
      <c r="LZ16" s="107"/>
      <c r="MA16" s="108"/>
      <c r="MB16" s="5"/>
      <c r="MC16" s="108"/>
      <c r="MD16" s="108"/>
      <c r="ME16" s="80"/>
      <c r="MF16" s="77"/>
      <c r="MG16" s="107"/>
      <c r="MH16" s="108"/>
      <c r="MI16" s="5"/>
      <c r="MJ16" s="108"/>
      <c r="MK16" s="108"/>
      <c r="ML16" s="80"/>
      <c r="MM16" s="77"/>
    </row>
    <row r="17" spans="1:361" s="18" customFormat="1" ht="15.75" customHeight="1" x14ac:dyDescent="0.2">
      <c r="A17" s="3" t="s">
        <v>14</v>
      </c>
      <c r="B17" s="79"/>
      <c r="C17" s="5">
        <v>6</v>
      </c>
      <c r="D17" s="5">
        <v>38</v>
      </c>
      <c r="E17" s="5">
        <v>63</v>
      </c>
      <c r="F17" s="5">
        <v>44</v>
      </c>
      <c r="G17" s="18">
        <v>35</v>
      </c>
      <c r="H17" s="24">
        <v>124</v>
      </c>
      <c r="I17" s="5">
        <v>11</v>
      </c>
      <c r="J17" s="5">
        <v>127</v>
      </c>
      <c r="K17" s="5">
        <v>128</v>
      </c>
      <c r="L17" s="5">
        <v>115</v>
      </c>
      <c r="M17" s="5">
        <v>93</v>
      </c>
      <c r="N17" s="5">
        <v>130</v>
      </c>
      <c r="O17" s="5">
        <v>3.5</v>
      </c>
      <c r="P17" s="5">
        <v>-12</v>
      </c>
      <c r="Q17" s="5">
        <v>4</v>
      </c>
      <c r="R17" s="5">
        <v>2</v>
      </c>
      <c r="S17" s="5">
        <v>17</v>
      </c>
      <c r="T17" s="18">
        <v>8</v>
      </c>
      <c r="U17" s="5">
        <v>-2</v>
      </c>
      <c r="V17" s="5">
        <v>-2</v>
      </c>
      <c r="W17" s="5">
        <v>1</v>
      </c>
      <c r="X17" s="5">
        <v>0</v>
      </c>
      <c r="Y17" s="5">
        <v>12</v>
      </c>
      <c r="Z17" s="92">
        <v>-1.866409736842102E-2</v>
      </c>
      <c r="AA17" s="88">
        <v>10.5</v>
      </c>
      <c r="AB17" s="68">
        <v>84</v>
      </c>
      <c r="AC17" s="5">
        <v>84</v>
      </c>
      <c r="AD17" s="5">
        <v>89</v>
      </c>
      <c r="AE17" s="80">
        <v>86</v>
      </c>
      <c r="AF17" s="179">
        <v>0</v>
      </c>
      <c r="AG17" s="154">
        <v>-2</v>
      </c>
      <c r="AH17" s="154">
        <v>9</v>
      </c>
      <c r="AI17" s="154">
        <v>2</v>
      </c>
      <c r="AJ17" s="68">
        <v>84</v>
      </c>
      <c r="AK17" s="5">
        <v>82</v>
      </c>
      <c r="AL17" s="5">
        <v>98</v>
      </c>
      <c r="AM17" s="80">
        <v>88</v>
      </c>
      <c r="AN17" s="68">
        <v>84</v>
      </c>
      <c r="AO17" s="5">
        <v>84</v>
      </c>
      <c r="AP17" s="5">
        <v>89</v>
      </c>
      <c r="AQ17" s="80">
        <v>86</v>
      </c>
      <c r="AR17" s="68">
        <v>84</v>
      </c>
      <c r="AS17" s="5">
        <v>82</v>
      </c>
      <c r="AT17" s="5">
        <v>98</v>
      </c>
      <c r="AU17" s="80">
        <v>88</v>
      </c>
      <c r="AV17" s="179">
        <f t="shared" si="11"/>
        <v>0</v>
      </c>
      <c r="AW17" s="179">
        <f t="shared" si="0"/>
        <v>2</v>
      </c>
      <c r="AX17" s="179">
        <f t="shared" si="0"/>
        <v>-9</v>
      </c>
      <c r="AY17" s="179">
        <f t="shared" si="0"/>
        <v>-2</v>
      </c>
      <c r="AZ17" s="9">
        <v>1.0595238095238095</v>
      </c>
      <c r="BA17" s="77">
        <v>-0.10714285714285721</v>
      </c>
      <c r="BB17" s="18">
        <v>1</v>
      </c>
      <c r="BC17" s="77">
        <v>2.3809523809523836E-2</v>
      </c>
      <c r="BD17" s="154">
        <v>0.69999998807899999</v>
      </c>
      <c r="BE17" s="144">
        <v>0.119999997318</v>
      </c>
      <c r="BF17" s="5">
        <v>4</v>
      </c>
      <c r="BG17" s="5">
        <v>-12</v>
      </c>
      <c r="BK17" s="18" t="s">
        <v>14</v>
      </c>
      <c r="BL17" s="18">
        <v>2</v>
      </c>
      <c r="BM17" s="18">
        <v>-1</v>
      </c>
      <c r="BN17" s="18">
        <v>-1</v>
      </c>
      <c r="BO17" s="18">
        <v>-1</v>
      </c>
      <c r="BP17" s="18">
        <v>-3</v>
      </c>
      <c r="BQ17" s="138"/>
      <c r="BR17" s="138"/>
      <c r="BS17" s="138"/>
      <c r="BT17" s="138"/>
      <c r="BU17" s="138"/>
      <c r="BV17" s="222"/>
      <c r="BW17" s="18">
        <v>0.76999998092699995</v>
      </c>
      <c r="BX17" s="18">
        <v>7.99999982119E-2</v>
      </c>
      <c r="BY17" s="18">
        <f t="shared" si="13"/>
        <v>0.68999998271509999</v>
      </c>
      <c r="BZ17" s="3">
        <v>0.24000000159999998</v>
      </c>
      <c r="CA17" s="18">
        <v>9.6666668999999997E-2</v>
      </c>
      <c r="CB17" s="18">
        <v>0.249999999</v>
      </c>
      <c r="CC17" s="18">
        <v>0.24666666733333331</v>
      </c>
      <c r="CD17" s="18">
        <v>0.50333332999999991</v>
      </c>
      <c r="CE17" s="18">
        <v>0.34571428385714287</v>
      </c>
      <c r="CF17" s="18">
        <v>0.14166666983333334</v>
      </c>
      <c r="CG17" s="18">
        <v>0.45000000299999998</v>
      </c>
      <c r="CH17" s="18">
        <v>0.61333334433333331</v>
      </c>
      <c r="CI17" s="18">
        <v>0.34000000866666663</v>
      </c>
      <c r="CJ17" s="18">
        <v>0.15666666600000001</v>
      </c>
      <c r="CK17" s="285" t="s">
        <v>534</v>
      </c>
      <c r="CL17" s="18">
        <v>1.3882512170000001</v>
      </c>
      <c r="CM17" s="18">
        <v>-1.0380202569999999</v>
      </c>
      <c r="CN17" s="18">
        <v>-0.2362861718</v>
      </c>
      <c r="CO17" s="18">
        <v>2.1932579319999999E-2</v>
      </c>
      <c r="CP17" s="18">
        <v>1.037390843E-2</v>
      </c>
      <c r="CQ17" s="18">
        <v>-0.1017831725</v>
      </c>
      <c r="CR17" s="18">
        <v>-0.27230852290000002</v>
      </c>
      <c r="CS17" s="18">
        <v>-3.9106451440000002E-2</v>
      </c>
      <c r="CT17" s="18">
        <v>-0.23104913360000001</v>
      </c>
      <c r="CY17" s="379">
        <v>-0.16677156870000001</v>
      </c>
      <c r="CZ17" s="285" t="s">
        <v>534</v>
      </c>
      <c r="DA17" s="68">
        <v>18.15889469</v>
      </c>
      <c r="DB17" s="5">
        <v>20.04946356</v>
      </c>
      <c r="DC17" s="5">
        <v>16.55728096</v>
      </c>
      <c r="DD17" s="80">
        <f>AVERAGE(DA17,DC17)</f>
        <v>17.358087824999998</v>
      </c>
      <c r="DE17" s="68">
        <v>21.83163132</v>
      </c>
      <c r="DF17" s="5">
        <v>22.44596812</v>
      </c>
      <c r="DG17" s="5">
        <v>20.226681660000001</v>
      </c>
      <c r="DH17" s="80">
        <f>AVERAGE(DE17,DG17)</f>
        <v>21.029156489999998</v>
      </c>
      <c r="DI17" s="151">
        <f>DE17-DA17</f>
        <v>3.6727366299999993</v>
      </c>
      <c r="DJ17" s="298">
        <f>DF17-DB17</f>
        <v>2.3965045600000003</v>
      </c>
      <c r="DK17" s="294">
        <f>DG17-DC17</f>
        <v>3.6694007000000006</v>
      </c>
      <c r="DL17" s="244">
        <f>DH17-DD17</f>
        <v>3.671068665</v>
      </c>
      <c r="DM17" s="295" t="s">
        <v>534</v>
      </c>
      <c r="DN17" s="68">
        <v>3.2649478869999999</v>
      </c>
      <c r="DO17" s="5">
        <v>4.5316817</v>
      </c>
      <c r="DP17" s="5">
        <v>4.168603075</v>
      </c>
      <c r="DQ17" s="3">
        <f>AVERAGE(DN17,DP17)</f>
        <v>3.716775481</v>
      </c>
      <c r="DR17" s="68">
        <v>8.3921747579999995</v>
      </c>
      <c r="DS17" s="5">
        <v>9.1209061190000007</v>
      </c>
      <c r="DT17" s="5">
        <v>9.9370600759999999</v>
      </c>
      <c r="DU17" s="3">
        <f>AVERAGE(DR17,DT17)</f>
        <v>9.1646174169999988</v>
      </c>
      <c r="DV17" s="24">
        <f>DR17-DN17</f>
        <v>5.1272268709999995</v>
      </c>
      <c r="DW17" s="298">
        <f>DS17-DO17</f>
        <v>4.5892244190000007</v>
      </c>
      <c r="DX17" s="24">
        <f>DT17-DP17</f>
        <v>5.7684570009999998</v>
      </c>
      <c r="DY17" s="188">
        <f>DU17-DQ17</f>
        <v>5.4478419359999988</v>
      </c>
      <c r="DZ17" s="295" t="s">
        <v>534</v>
      </c>
      <c r="EA17" s="18">
        <v>8.8694863270000006</v>
      </c>
      <c r="EB17" s="18">
        <v>9.0768014560000001</v>
      </c>
      <c r="EC17" s="18">
        <v>9.4826658179999992</v>
      </c>
      <c r="ED17" s="3">
        <f>AVERAGE(EA17,EC17)</f>
        <v>9.176076072499999</v>
      </c>
      <c r="EE17" s="18">
        <v>10.61285166</v>
      </c>
      <c r="EF17" s="18">
        <v>15.0244576</v>
      </c>
      <c r="EG17" s="18">
        <v>11.04089065</v>
      </c>
      <c r="EH17" s="3">
        <f>AVERAGE(EE17,EG17)</f>
        <v>10.826871154999999</v>
      </c>
      <c r="EI17" s="24">
        <f>EE17-EA17</f>
        <v>1.7433653329999999</v>
      </c>
      <c r="EJ17" s="298">
        <f>EF17-EB17</f>
        <v>5.9476561439999998</v>
      </c>
      <c r="EK17" s="24">
        <f>EG17-EC17</f>
        <v>1.5582248320000005</v>
      </c>
      <c r="EL17" s="188">
        <f>EH17-ED17</f>
        <v>1.6507950825000002</v>
      </c>
      <c r="EM17" s="295" t="s">
        <v>534</v>
      </c>
      <c r="EN17" s="195"/>
      <c r="EO17" s="196"/>
      <c r="EP17" s="195"/>
      <c r="EQ17" s="196"/>
      <c r="ER17" s="196"/>
      <c r="ES17" s="18">
        <v>7</v>
      </c>
      <c r="ET17" s="18">
        <v>6</v>
      </c>
      <c r="EU17" s="18">
        <v>22</v>
      </c>
      <c r="EV17" s="18">
        <v>1</v>
      </c>
      <c r="EW17" s="18">
        <v>3</v>
      </c>
      <c r="EX17" s="18">
        <v>14</v>
      </c>
      <c r="EY17" s="18">
        <v>53</v>
      </c>
      <c r="EZ17" s="5">
        <v>-1.0380202569999999</v>
      </c>
      <c r="FA17" s="18">
        <v>-13.588911120727094</v>
      </c>
      <c r="FB17" s="310">
        <v>15</v>
      </c>
      <c r="FC17" s="5">
        <v>63</v>
      </c>
      <c r="FD17" s="18">
        <v>35</v>
      </c>
      <c r="FE17" s="340">
        <v>10.5</v>
      </c>
      <c r="FF17" s="18">
        <v>0.24000000159999998</v>
      </c>
      <c r="FG17" s="18">
        <v>9.6666668999999997E-2</v>
      </c>
      <c r="FH17" s="18">
        <v>0.249999999</v>
      </c>
      <c r="FI17" s="18">
        <v>0.21666666599999998</v>
      </c>
      <c r="FJ17" s="18">
        <v>0.50333332999999991</v>
      </c>
      <c r="FK17" s="18">
        <v>0.33142856942857146</v>
      </c>
      <c r="FL17" s="18">
        <v>0.11166666866666668</v>
      </c>
      <c r="FM17" s="18">
        <v>0.37333333499999999</v>
      </c>
      <c r="FN17" s="18">
        <v>0.58333334299999995</v>
      </c>
      <c r="FO17" s="18">
        <v>0.34000000866666663</v>
      </c>
      <c r="FP17" s="18">
        <v>0.15666666600000001</v>
      </c>
      <c r="FQ17" s="322">
        <v>4</v>
      </c>
      <c r="FR17" s="5">
        <v>-2</v>
      </c>
      <c r="FS17" s="5">
        <v>12</v>
      </c>
      <c r="FT17" s="259">
        <v>0.24000000159999998</v>
      </c>
      <c r="FU17" s="72">
        <v>9.6666668999999997E-2</v>
      </c>
      <c r="FV17" s="260">
        <v>0.249999999</v>
      </c>
      <c r="FW17" s="261">
        <v>0.24666666733333331</v>
      </c>
      <c r="FX17" s="154">
        <v>0.50333332999999991</v>
      </c>
      <c r="FY17" s="262">
        <v>0.34571428385714287</v>
      </c>
      <c r="FZ17" s="263">
        <v>0.14166666983333334</v>
      </c>
      <c r="GA17" s="264">
        <v>0.45000000299999998</v>
      </c>
      <c r="GB17" s="265">
        <v>0.61333334433333331</v>
      </c>
      <c r="GC17" s="266">
        <v>0.34000000866666663</v>
      </c>
      <c r="GD17" s="267">
        <v>0.15666666600000001</v>
      </c>
      <c r="GE17" s="5">
        <v>-1.0380202569999999</v>
      </c>
      <c r="GF17" s="18">
        <v>7</v>
      </c>
      <c r="GG17" s="18">
        <v>6</v>
      </c>
      <c r="GH17" s="18">
        <v>22</v>
      </c>
      <c r="GI17" s="18">
        <v>1</v>
      </c>
      <c r="GJ17" s="18">
        <v>3</v>
      </c>
      <c r="GK17" s="18">
        <v>14</v>
      </c>
      <c r="GL17" s="18">
        <v>53</v>
      </c>
      <c r="GN17" s="5">
        <v>127</v>
      </c>
      <c r="GO17" s="5">
        <v>128</v>
      </c>
      <c r="GP17" s="5">
        <v>115</v>
      </c>
      <c r="GQ17" s="5">
        <v>93</v>
      </c>
      <c r="GR17" s="5">
        <v>130</v>
      </c>
      <c r="GS17" s="144">
        <v>0.119999997318</v>
      </c>
      <c r="GT17" s="18">
        <v>91.512500000000003</v>
      </c>
      <c r="GU17" s="18">
        <v>78.600200000000001</v>
      </c>
      <c r="GV17" s="3">
        <f t="shared" si="15"/>
        <v>12.912300000000002</v>
      </c>
      <c r="GW17" s="5">
        <f t="shared" si="16"/>
        <v>1.1642782079434912</v>
      </c>
      <c r="GX17" s="18">
        <f t="shared" si="17"/>
        <v>6.6056768748467165E-2</v>
      </c>
      <c r="GY17" s="18">
        <v>73.028000000000006</v>
      </c>
      <c r="GZ17" s="18">
        <v>64.151799999999994</v>
      </c>
      <c r="HA17" s="3">
        <f t="shared" si="18"/>
        <v>8.8762000000000114</v>
      </c>
      <c r="HB17" s="18">
        <f t="shared" si="19"/>
        <v>1.1383624465720372</v>
      </c>
      <c r="HC17" s="18">
        <v>87.273200000000003</v>
      </c>
      <c r="HD17" s="18">
        <v>65.180000000000007</v>
      </c>
      <c r="HE17" s="3">
        <f t="shared" si="20"/>
        <v>22.093199999999996</v>
      </c>
      <c r="HF17" s="18">
        <f t="shared" si="21"/>
        <v>1.338956735194845</v>
      </c>
      <c r="HG17" s="18">
        <v>26.916</v>
      </c>
      <c r="HH17" s="18">
        <v>58.088299999999997</v>
      </c>
      <c r="HI17" s="3">
        <f t="shared" si="22"/>
        <v>-31.172299999999996</v>
      </c>
      <c r="HJ17" s="18">
        <f t="shared" si="23"/>
        <v>0.46336353448112616</v>
      </c>
      <c r="HK17" s="5">
        <v>122.42700000000001</v>
      </c>
      <c r="HL17" s="5">
        <v>90.058000000000007</v>
      </c>
      <c r="HM17" s="3">
        <f t="shared" si="24"/>
        <v>32.369</v>
      </c>
      <c r="HN17" s="5">
        <f t="shared" si="60"/>
        <v>1.3594239268027271</v>
      </c>
      <c r="HO17" s="18">
        <v>62.807200000000002</v>
      </c>
      <c r="HP17" s="18">
        <v>59.402700000000003</v>
      </c>
      <c r="HQ17" s="3">
        <f t="shared" si="25"/>
        <v>3.4044999999999987</v>
      </c>
      <c r="HR17" s="18">
        <f t="shared" si="26"/>
        <v>1.0573122097143732</v>
      </c>
      <c r="HS17" s="18">
        <v>63.833500000000001</v>
      </c>
      <c r="HT17" s="18">
        <v>61.945300000000003</v>
      </c>
      <c r="HU17" s="3">
        <f t="shared" si="27"/>
        <v>1.8881999999999977</v>
      </c>
      <c r="HV17" s="18">
        <f t="shared" si="28"/>
        <v>1.0304817314630812</v>
      </c>
      <c r="HW17" s="18">
        <v>60.128700000000002</v>
      </c>
      <c r="HX17" s="18">
        <v>57.317999999999998</v>
      </c>
      <c r="HY17" s="3">
        <f t="shared" si="29"/>
        <v>2.8107000000000042</v>
      </c>
      <c r="HZ17" s="18">
        <f t="shared" si="30"/>
        <v>1.0490369517429081</v>
      </c>
      <c r="IA17" s="18">
        <v>49.909500000000001</v>
      </c>
      <c r="IB17" s="18">
        <v>52.951300000000003</v>
      </c>
      <c r="IC17" s="3">
        <f t="shared" si="31"/>
        <v>-3.0418000000000021</v>
      </c>
      <c r="ID17" s="18">
        <f t="shared" si="32"/>
        <v>0.94255476258373261</v>
      </c>
      <c r="IE17" s="18">
        <v>51.003599999999999</v>
      </c>
      <c r="IF17" s="18">
        <v>48.471899999999998</v>
      </c>
      <c r="IG17" s="3">
        <f t="shared" si="33"/>
        <v>2.5317000000000007</v>
      </c>
      <c r="IH17" s="18">
        <f t="shared" si="34"/>
        <v>1.0522302612441434</v>
      </c>
      <c r="II17" s="18">
        <v>67.900000000000006</v>
      </c>
      <c r="IJ17" s="18">
        <v>64.647499999999994</v>
      </c>
      <c r="IK17" s="3">
        <f t="shared" si="35"/>
        <v>3.2525000000000119</v>
      </c>
      <c r="IL17" s="18">
        <f t="shared" si="36"/>
        <v>1.0503113036080283</v>
      </c>
      <c r="IM17" s="18">
        <v>93.947699999999998</v>
      </c>
      <c r="IN17" s="18">
        <v>84.956999999999994</v>
      </c>
      <c r="IO17" s="3">
        <f t="shared" si="37"/>
        <v>8.9907000000000039</v>
      </c>
      <c r="IP17" s="18">
        <f t="shared" si="38"/>
        <v>1.1058264769236201</v>
      </c>
      <c r="IQ17" s="18">
        <v>53.287500000000001</v>
      </c>
      <c r="IR17" s="18">
        <v>50.970300000000002</v>
      </c>
      <c r="IS17" s="3">
        <f t="shared" si="39"/>
        <v>2.3171999999999997</v>
      </c>
      <c r="IT17" s="18">
        <f t="shared" si="40"/>
        <v>1.0454617689124843</v>
      </c>
      <c r="IU17" s="18">
        <v>61.4895</v>
      </c>
      <c r="IV17" s="18">
        <v>61.401499999999999</v>
      </c>
      <c r="IW17" s="3">
        <f t="shared" si="41"/>
        <v>8.8000000000000966E-2</v>
      </c>
      <c r="IX17" s="18">
        <f t="shared" si="42"/>
        <v>1.0014331897429216</v>
      </c>
      <c r="IY17" s="18">
        <v>70.879499999999993</v>
      </c>
      <c r="IZ17" s="18">
        <v>70.402500000000003</v>
      </c>
      <c r="JA17" s="3">
        <f t="shared" si="43"/>
        <v>0.47699999999998965</v>
      </c>
      <c r="JB17" s="18">
        <f t="shared" si="44"/>
        <v>1.0067753275806965</v>
      </c>
      <c r="JC17" s="18">
        <f>LOG(HN17)</f>
        <v>0.13335490953721138</v>
      </c>
      <c r="JF17" s="18">
        <v>15</v>
      </c>
      <c r="JG17" s="138"/>
      <c r="JH17" s="138"/>
      <c r="JI17" s="138"/>
      <c r="JJ17" s="138"/>
      <c r="JK17" s="138"/>
      <c r="JL17" s="138"/>
      <c r="JM17" s="138"/>
      <c r="JN17" s="138"/>
      <c r="JP17" s="138"/>
      <c r="JQ17" s="138"/>
      <c r="JR17" s="138"/>
      <c r="JS17" s="138"/>
      <c r="JT17" s="138"/>
      <c r="JU17" s="138"/>
      <c r="JV17" s="138"/>
      <c r="JW17" s="138"/>
      <c r="JX17" s="138"/>
      <c r="JY17" s="138"/>
      <c r="JZ17" s="138"/>
      <c r="KA17" s="138"/>
      <c r="KB17" s="138"/>
      <c r="KC17" s="138"/>
      <c r="KD17" s="138"/>
      <c r="KE17" s="68" t="s">
        <v>534</v>
      </c>
      <c r="KF17" s="347">
        <v>-1E-4</v>
      </c>
      <c r="KG17" s="347">
        <v>2.9100000000000001E-2</v>
      </c>
      <c r="KH17" s="347">
        <f t="shared" si="47"/>
        <v>1.4500000000000001E-2</v>
      </c>
      <c r="KI17" s="348">
        <v>6.4000000000000001E-2</v>
      </c>
      <c r="KJ17" s="348">
        <v>8.1000000000000003E-2</v>
      </c>
      <c r="KK17" s="348">
        <f t="shared" si="48"/>
        <v>7.2500000000000009E-2</v>
      </c>
      <c r="KL17" s="347">
        <f t="shared" si="49"/>
        <v>5.800000000000001E-2</v>
      </c>
      <c r="KM17" s="347">
        <f t="shared" si="50"/>
        <v>5</v>
      </c>
      <c r="KN17" s="354">
        <f t="shared" si="64"/>
        <v>8.8780000000000001</v>
      </c>
      <c r="KO17" s="18">
        <f t="shared" si="51"/>
        <v>0.94831514068934786</v>
      </c>
      <c r="KP17" s="18">
        <v>0.94831514068934786</v>
      </c>
      <c r="KQ17" s="340">
        <v>10.5</v>
      </c>
      <c r="KR17" s="18">
        <v>0.24000000159999998</v>
      </c>
      <c r="KS17" s="18">
        <v>9.6666668999999997E-2</v>
      </c>
      <c r="KT17" s="18">
        <v>0.249999999</v>
      </c>
      <c r="KU17" s="18">
        <v>0.21666666599999998</v>
      </c>
      <c r="KV17" s="18">
        <v>0.50333332999999991</v>
      </c>
      <c r="KW17" s="18">
        <v>0.33142856942857146</v>
      </c>
      <c r="KX17" s="18">
        <v>0.11166666866666668</v>
      </c>
      <c r="KY17" s="18">
        <v>0.37333333499999999</v>
      </c>
      <c r="KZ17" s="18">
        <v>0.58333334299999995</v>
      </c>
      <c r="LA17" s="18">
        <v>0.34000000866666663</v>
      </c>
      <c r="LB17" s="18">
        <v>0.15666666600000001</v>
      </c>
      <c r="LC17" s="358" t="s">
        <v>637</v>
      </c>
      <c r="LD17" s="358">
        <v>10.5</v>
      </c>
      <c r="LE17" s="358">
        <v>9</v>
      </c>
      <c r="LF17" s="358">
        <v>10</v>
      </c>
      <c r="LG17" s="358">
        <v>9.5</v>
      </c>
      <c r="LH17" s="358">
        <v>12</v>
      </c>
      <c r="LI17" s="358">
        <v>3</v>
      </c>
      <c r="LJ17" s="144">
        <v>0.119999997318</v>
      </c>
      <c r="LK17" s="158" t="s">
        <v>534</v>
      </c>
      <c r="LL17" s="68">
        <v>0.52880000000000005</v>
      </c>
      <c r="LM17" s="5">
        <v>0.54600000000000004</v>
      </c>
      <c r="LN17" s="5">
        <f t="shared" si="52"/>
        <v>0.5374000000000001</v>
      </c>
      <c r="LO17" s="5">
        <v>0.54620000000000002</v>
      </c>
      <c r="LP17" s="5">
        <v>0.53459999999999996</v>
      </c>
      <c r="LQ17" s="80">
        <f t="shared" si="53"/>
        <v>0.54039999999999999</v>
      </c>
      <c r="LR17" s="77">
        <f t="shared" si="54"/>
        <v>-2.9999999999998916E-3</v>
      </c>
      <c r="LS17" s="68">
        <v>13.6952</v>
      </c>
      <c r="LT17" s="5">
        <v>13.450799999999999</v>
      </c>
      <c r="LU17" s="5">
        <f t="shared" si="55"/>
        <v>13.573</v>
      </c>
      <c r="LV17" s="5">
        <v>17.220600000000001</v>
      </c>
      <c r="LW17" s="5">
        <v>16.691299999999998</v>
      </c>
      <c r="LX17" s="80">
        <f t="shared" si="56"/>
        <v>16.955950000000001</v>
      </c>
      <c r="LY17" s="77">
        <f t="shared" si="57"/>
        <v>-3.382950000000001</v>
      </c>
      <c r="LZ17" s="68">
        <v>1.0125</v>
      </c>
      <c r="MA17" s="5">
        <v>0.99139999999999995</v>
      </c>
      <c r="MB17" s="5">
        <f>AVERAGE(LZ17:MA17)</f>
        <v>1.0019499999999999</v>
      </c>
      <c r="MC17" s="5">
        <v>0.97160000000000002</v>
      </c>
      <c r="MD17" s="5">
        <v>0.99270000000000003</v>
      </c>
      <c r="ME17" s="80">
        <f>AVERAGE(MC17:MD17)</f>
        <v>0.98215000000000008</v>
      </c>
      <c r="MF17" s="77">
        <f t="shared" si="58"/>
        <v>1.9799999999999818E-2</v>
      </c>
      <c r="MG17" s="68">
        <v>0.36449999999999999</v>
      </c>
      <c r="MH17" s="5">
        <v>0.43309999999999998</v>
      </c>
      <c r="MI17" s="5">
        <f>AVERAGE(MG17:MH17)</f>
        <v>0.39879999999999999</v>
      </c>
      <c r="MJ17" s="5">
        <v>0.40760000000000002</v>
      </c>
      <c r="MK17" s="5">
        <v>0.4143</v>
      </c>
      <c r="ML17" s="80">
        <f>AVERAGE(MJ17:MK17)</f>
        <v>0.41095000000000004</v>
      </c>
      <c r="MM17" s="77">
        <f t="shared" si="59"/>
        <v>-1.215000000000005E-2</v>
      </c>
      <c r="MO17" s="5">
        <v>-0.64642609920000005</v>
      </c>
      <c r="MP17" s="5">
        <v>2.5420213949999999</v>
      </c>
      <c r="MQ17" s="5">
        <v>2.280006722</v>
      </c>
      <c r="MR17" s="5">
        <v>2.3561155650000001</v>
      </c>
      <c r="MS17" s="292">
        <v>2.3907675720000001</v>
      </c>
      <c r="MT17" s="18">
        <v>-1.0380202569999999</v>
      </c>
      <c r="MU17" s="18">
        <v>2.1420394580000002</v>
      </c>
      <c r="MV17" s="18">
        <v>1.534072337</v>
      </c>
      <c r="MW17" s="18">
        <v>1.8764171119999999</v>
      </c>
    </row>
    <row r="18" spans="1:361" s="18" customFormat="1" x14ac:dyDescent="0.2">
      <c r="A18" s="3" t="s">
        <v>15</v>
      </c>
      <c r="B18" s="5">
        <v>0</v>
      </c>
      <c r="C18" s="5">
        <v>0</v>
      </c>
      <c r="D18" s="5">
        <v>24</v>
      </c>
      <c r="E18" s="5">
        <v>55</v>
      </c>
      <c r="F18" s="5">
        <v>42</v>
      </c>
      <c r="G18" s="18">
        <v>27</v>
      </c>
      <c r="H18" s="24">
        <v>83</v>
      </c>
      <c r="I18" s="5">
        <v>18</v>
      </c>
      <c r="J18" s="5">
        <v>103</v>
      </c>
      <c r="K18" s="5">
        <v>90</v>
      </c>
      <c r="L18" s="5">
        <v>127</v>
      </c>
      <c r="M18" s="5">
        <v>52</v>
      </c>
      <c r="N18" s="5">
        <v>128</v>
      </c>
      <c r="O18" s="82">
        <v>10</v>
      </c>
      <c r="P18" s="82">
        <v>16</v>
      </c>
      <c r="Q18" s="5">
        <v>0</v>
      </c>
      <c r="R18" s="5">
        <v>4</v>
      </c>
      <c r="S18" s="5">
        <v>9</v>
      </c>
      <c r="T18" s="18">
        <v>10</v>
      </c>
      <c r="U18" s="5">
        <v>-4</v>
      </c>
      <c r="V18" s="5">
        <v>-13</v>
      </c>
      <c r="W18" s="5">
        <v>-2</v>
      </c>
      <c r="X18" s="5">
        <v>19</v>
      </c>
      <c r="Y18" s="5">
        <v>-16</v>
      </c>
      <c r="Z18" s="92">
        <v>6.3246402631578991E-2</v>
      </c>
      <c r="AA18" s="88">
        <v>10</v>
      </c>
      <c r="AB18" s="68">
        <v>90</v>
      </c>
      <c r="AC18" s="5">
        <v>91</v>
      </c>
      <c r="AD18" s="5">
        <v>112</v>
      </c>
      <c r="AE18" s="80">
        <v>98</v>
      </c>
      <c r="AF18" s="179">
        <v>14</v>
      </c>
      <c r="AG18" s="154">
        <v>8</v>
      </c>
      <c r="AH18" s="154">
        <v>0</v>
      </c>
      <c r="AI18" s="154">
        <v>7</v>
      </c>
      <c r="AJ18" s="68">
        <v>104</v>
      </c>
      <c r="AK18" s="5">
        <v>99</v>
      </c>
      <c r="AL18" s="5">
        <v>112</v>
      </c>
      <c r="AM18" s="80">
        <v>105</v>
      </c>
      <c r="AN18" s="68">
        <v>90</v>
      </c>
      <c r="AO18" s="5">
        <v>91</v>
      </c>
      <c r="AP18" s="5">
        <v>112</v>
      </c>
      <c r="AQ18" s="80">
        <v>98</v>
      </c>
      <c r="AR18" s="68">
        <v>104</v>
      </c>
      <c r="AS18" s="5">
        <v>99</v>
      </c>
      <c r="AT18" s="5">
        <v>112</v>
      </c>
      <c r="AU18" s="80">
        <v>105</v>
      </c>
      <c r="AV18" s="179">
        <f t="shared" si="11"/>
        <v>-14</v>
      </c>
      <c r="AW18" s="179">
        <f t="shared" si="0"/>
        <v>-8</v>
      </c>
      <c r="AX18" s="179">
        <f t="shared" si="0"/>
        <v>0</v>
      </c>
      <c r="AY18" s="179">
        <f t="shared" si="0"/>
        <v>-7</v>
      </c>
      <c r="AZ18" s="9">
        <v>1.2444444444444445</v>
      </c>
      <c r="BA18" s="77">
        <v>0.16752136752136759</v>
      </c>
      <c r="BB18" s="18">
        <v>1.0111111111111111</v>
      </c>
      <c r="BC18" s="77">
        <v>5.91880341880342E-2</v>
      </c>
      <c r="BD18" s="154">
        <v>0.85000002384200002</v>
      </c>
      <c r="BE18" s="144">
        <v>0.83999997377400004</v>
      </c>
      <c r="BF18" s="5">
        <v>0</v>
      </c>
      <c r="BG18" s="82">
        <v>16</v>
      </c>
      <c r="BK18" s="18" t="s">
        <v>15</v>
      </c>
      <c r="BL18" s="18">
        <v>1</v>
      </c>
      <c r="BM18" s="18">
        <v>3</v>
      </c>
      <c r="BN18" s="18">
        <v>1</v>
      </c>
      <c r="BO18" s="18">
        <v>1</v>
      </c>
      <c r="BP18" s="18">
        <v>5</v>
      </c>
      <c r="BQ18" s="138" t="s">
        <v>488</v>
      </c>
      <c r="BR18" s="138">
        <v>-4.08233938552074E-27</v>
      </c>
      <c r="BS18" s="138" t="s">
        <v>489</v>
      </c>
      <c r="BT18" s="138">
        <v>-5.0657280423725797E-27</v>
      </c>
      <c r="BU18" s="138">
        <f t="shared" si="12"/>
        <v>-4.5740337139466598E-27</v>
      </c>
      <c r="BW18" s="18">
        <v>0.670000016689</v>
      </c>
      <c r="BX18" s="18">
        <v>0</v>
      </c>
      <c r="BY18" s="18">
        <f t="shared" si="13"/>
        <v>0.670000016689</v>
      </c>
      <c r="BZ18" s="3">
        <v>0.28999999459999998</v>
      </c>
      <c r="CA18" s="18">
        <v>0.25</v>
      </c>
      <c r="CB18" s="18">
        <v>0.33333333333333331</v>
      </c>
      <c r="CC18" s="18">
        <v>0.52333333133333337</v>
      </c>
      <c r="CD18" s="18">
        <v>0.21333334100000001</v>
      </c>
      <c r="CE18" s="18">
        <v>0.13714286042857141</v>
      </c>
      <c r="CF18" s="18">
        <v>0.141666667</v>
      </c>
      <c r="CG18" s="18">
        <v>0.60333332433333331</v>
      </c>
      <c r="CH18" s="18">
        <v>0.5666666726666667</v>
      </c>
      <c r="CI18" s="18">
        <v>0.42333333333333334</v>
      </c>
      <c r="CJ18" s="18">
        <v>0.36999999499999997</v>
      </c>
      <c r="CY18" s="9"/>
      <c r="DA18" s="68"/>
      <c r="DB18" s="5"/>
      <c r="DC18" s="5"/>
      <c r="DD18" s="80"/>
      <c r="DE18" s="68"/>
      <c r="DF18" s="5"/>
      <c r="DG18" s="5"/>
      <c r="DH18" s="80"/>
      <c r="DI18" s="68"/>
      <c r="DJ18" s="5"/>
      <c r="DK18" s="5"/>
      <c r="DL18" s="80"/>
      <c r="DN18" s="68"/>
      <c r="DO18" s="5"/>
      <c r="DP18" s="5"/>
      <c r="DQ18" s="3"/>
      <c r="DR18" s="68"/>
      <c r="DS18" s="5"/>
      <c r="DT18" s="5"/>
      <c r="DU18" s="3"/>
      <c r="DY18" s="3"/>
      <c r="ED18" s="3"/>
      <c r="EH18" s="3"/>
      <c r="EL18" s="3"/>
      <c r="EN18" s="195" t="s">
        <v>488</v>
      </c>
      <c r="EO18" s="196">
        <v>44.309809346982398</v>
      </c>
      <c r="EP18" s="195" t="s">
        <v>489</v>
      </c>
      <c r="EQ18" s="196">
        <v>35.161408252035898</v>
      </c>
      <c r="ER18" s="196">
        <f t="shared" si="14"/>
        <v>39.735608799509151</v>
      </c>
      <c r="ES18" s="18">
        <v>2</v>
      </c>
      <c r="ET18" s="18">
        <v>7</v>
      </c>
      <c r="EU18" s="18">
        <v>9</v>
      </c>
      <c r="EV18" s="18">
        <v>-4</v>
      </c>
      <c r="EW18" s="18">
        <v>1</v>
      </c>
      <c r="EX18" s="18">
        <v>0</v>
      </c>
      <c r="EY18" s="18">
        <v>15</v>
      </c>
      <c r="EZ18" s="222"/>
      <c r="FA18" s="222"/>
      <c r="FB18" s="310">
        <v>16</v>
      </c>
      <c r="FC18" s="5">
        <v>55</v>
      </c>
      <c r="FD18" s="18">
        <v>27</v>
      </c>
      <c r="FE18" s="340">
        <v>10</v>
      </c>
      <c r="FF18" s="18">
        <v>0.28999999459999998</v>
      </c>
      <c r="FG18" s="18">
        <v>0.24666666666666667</v>
      </c>
      <c r="FH18" s="18">
        <v>0.33333333333333331</v>
      </c>
      <c r="FI18" s="18">
        <v>0.52333333133333337</v>
      </c>
      <c r="FJ18" s="18">
        <v>0.21333334100000001</v>
      </c>
      <c r="FK18" s="18">
        <v>0.13714286042857141</v>
      </c>
      <c r="FL18" s="18">
        <v>0.141666667</v>
      </c>
      <c r="FM18" s="18">
        <v>0.60333332433333331</v>
      </c>
      <c r="FN18" s="18">
        <v>0.5666666726666667</v>
      </c>
      <c r="FO18" s="18">
        <v>0.42333333333333334</v>
      </c>
      <c r="FP18" s="18">
        <v>0.36999999499999997</v>
      </c>
      <c r="FQ18" s="322">
        <v>0</v>
      </c>
      <c r="FR18" s="5">
        <v>-4</v>
      </c>
      <c r="FS18" s="5">
        <v>-16</v>
      </c>
      <c r="FT18" s="259">
        <v>0.28999999459999998</v>
      </c>
      <c r="FU18" s="72">
        <v>0.25</v>
      </c>
      <c r="FV18" s="260">
        <v>0.33333333333333331</v>
      </c>
      <c r="FW18" s="261">
        <v>0.52333333133333337</v>
      </c>
      <c r="FX18" s="154">
        <v>0.21333334100000001</v>
      </c>
      <c r="FY18" s="262">
        <v>0.13714286042857141</v>
      </c>
      <c r="FZ18" s="263">
        <v>0.141666667</v>
      </c>
      <c r="GA18" s="264">
        <v>0.60333332433333331</v>
      </c>
      <c r="GB18" s="265">
        <v>0.5666666726666667</v>
      </c>
      <c r="GC18" s="266">
        <v>0.42333333333333334</v>
      </c>
      <c r="GD18" s="267">
        <v>0.36999999499999997</v>
      </c>
      <c r="GE18" s="222"/>
      <c r="GF18" s="18">
        <v>2</v>
      </c>
      <c r="GG18" s="18">
        <v>7</v>
      </c>
      <c r="GH18" s="18">
        <v>9</v>
      </c>
      <c r="GI18" s="18">
        <v>-4</v>
      </c>
      <c r="GJ18" s="18">
        <v>1</v>
      </c>
      <c r="GK18" s="18">
        <v>0</v>
      </c>
      <c r="GL18" s="18">
        <v>15</v>
      </c>
      <c r="GN18" s="5">
        <v>103</v>
      </c>
      <c r="GO18" s="5">
        <v>90</v>
      </c>
      <c r="GP18" s="5">
        <v>127</v>
      </c>
      <c r="GQ18" s="5">
        <v>52</v>
      </c>
      <c r="GR18" s="5">
        <v>128</v>
      </c>
      <c r="GS18" s="144">
        <v>0.83999997377400004</v>
      </c>
      <c r="GT18" s="222"/>
      <c r="GU18" s="222"/>
      <c r="GV18" s="373"/>
      <c r="GW18" s="79"/>
      <c r="GY18" s="222"/>
      <c r="GZ18" s="222"/>
      <c r="HA18" s="373"/>
      <c r="HB18" s="222"/>
      <c r="HC18" s="222"/>
      <c r="HD18" s="222"/>
      <c r="HE18" s="373"/>
      <c r="HF18" s="222"/>
      <c r="HG18" s="222"/>
      <c r="HH18" s="222"/>
      <c r="HI18" s="373"/>
      <c r="HJ18" s="222"/>
      <c r="HK18" s="79"/>
      <c r="HL18" s="79"/>
      <c r="HM18" s="373"/>
      <c r="HN18" s="79"/>
      <c r="HQ18" s="3"/>
      <c r="HU18" s="3"/>
      <c r="HY18" s="3"/>
      <c r="IC18" s="3">
        <f t="shared" si="31"/>
        <v>0</v>
      </c>
      <c r="IG18" s="3"/>
      <c r="IK18" s="3"/>
      <c r="IO18" s="3"/>
      <c r="IS18" s="3"/>
      <c r="IW18" s="3"/>
      <c r="JA18" s="3"/>
      <c r="JD18" s="18">
        <v>39.735608799509151</v>
      </c>
      <c r="JE18" s="18">
        <f t="shared" si="45"/>
        <v>0.39735608799509153</v>
      </c>
      <c r="JG18" s="336" t="s">
        <v>603</v>
      </c>
      <c r="JH18" s="18">
        <v>0.203233129942404</v>
      </c>
      <c r="JJ18" s="336" t="s">
        <v>603</v>
      </c>
      <c r="JK18" s="18">
        <v>7.8016805169744102E-2</v>
      </c>
      <c r="JM18" s="336" t="s">
        <v>603</v>
      </c>
      <c r="JN18" s="18">
        <v>0.42249396819090701</v>
      </c>
      <c r="JO18" s="18">
        <f t="shared" si="46"/>
        <v>0.57750603180909299</v>
      </c>
      <c r="JP18" s="336" t="s">
        <v>603</v>
      </c>
      <c r="JQ18" s="18">
        <v>0.425815447883026</v>
      </c>
      <c r="JT18" s="336" t="s">
        <v>603</v>
      </c>
      <c r="JU18" s="18">
        <v>0.30130294147377701</v>
      </c>
      <c r="JW18" s="336" t="s">
        <v>603</v>
      </c>
      <c r="JX18" s="18">
        <v>0.14701505926236999</v>
      </c>
      <c r="JZ18" s="336" t="s">
        <v>603</v>
      </c>
      <c r="KA18" s="18">
        <v>0.39635040785335901</v>
      </c>
      <c r="KC18" s="336" t="s">
        <v>603</v>
      </c>
      <c r="KD18" s="18">
        <v>0.426471733293871</v>
      </c>
      <c r="KE18" s="107"/>
      <c r="KF18" s="349"/>
      <c r="KG18" s="349"/>
      <c r="KH18" s="349"/>
      <c r="KI18" s="349"/>
      <c r="KJ18" s="349"/>
      <c r="KK18" s="349"/>
      <c r="KL18" s="349"/>
      <c r="KM18" s="349"/>
      <c r="KN18" s="355"/>
      <c r="KO18" s="145"/>
      <c r="KP18" s="145"/>
      <c r="KQ18" s="340">
        <v>10</v>
      </c>
      <c r="KR18" s="18">
        <v>0.28999999459999998</v>
      </c>
      <c r="KS18" s="18">
        <v>0.24666666666666667</v>
      </c>
      <c r="KT18" s="18">
        <v>0.33333333333333331</v>
      </c>
      <c r="KU18" s="18">
        <v>0.52333333133333337</v>
      </c>
      <c r="KV18" s="18">
        <v>0.21333334100000001</v>
      </c>
      <c r="KW18" s="18">
        <v>0.13714286042857141</v>
      </c>
      <c r="KX18" s="18">
        <v>0.141666667</v>
      </c>
      <c r="KY18" s="18">
        <v>0.60333332433333331</v>
      </c>
      <c r="KZ18" s="18">
        <v>0.5666666726666667</v>
      </c>
      <c r="LA18" s="18">
        <v>0.42333333333333334</v>
      </c>
      <c r="LB18" s="18">
        <v>0.36999999499999997</v>
      </c>
      <c r="LC18" s="358" t="s">
        <v>638</v>
      </c>
      <c r="LD18" s="358">
        <v>10</v>
      </c>
      <c r="LE18" s="358">
        <v>10</v>
      </c>
      <c r="LF18" s="358">
        <v>10.5</v>
      </c>
      <c r="LG18" s="358">
        <v>10</v>
      </c>
      <c r="LH18" s="358">
        <v>10</v>
      </c>
      <c r="LI18" s="358">
        <v>10</v>
      </c>
      <c r="LJ18" s="144">
        <v>0.83999997377400004</v>
      </c>
      <c r="LK18" s="145"/>
      <c r="LL18" s="107" t="s">
        <v>217</v>
      </c>
      <c r="LM18" s="108"/>
      <c r="LN18" s="5"/>
      <c r="LO18" s="108"/>
      <c r="LP18" s="108"/>
      <c r="LQ18" s="80"/>
      <c r="LR18" s="77"/>
      <c r="LS18" s="107"/>
      <c r="LT18" s="108"/>
      <c r="LU18" s="5"/>
      <c r="LV18" s="108"/>
      <c r="LW18" s="108"/>
      <c r="LX18" s="80"/>
      <c r="LY18" s="77"/>
      <c r="LZ18" s="107"/>
      <c r="MA18" s="108"/>
      <c r="MB18" s="5"/>
      <c r="MC18" s="108"/>
      <c r="MD18" s="108"/>
      <c r="ME18" s="80"/>
      <c r="MF18" s="77"/>
      <c r="MG18" s="107"/>
      <c r="MH18" s="108"/>
      <c r="MI18" s="5"/>
      <c r="MJ18" s="108"/>
      <c r="MK18" s="108"/>
      <c r="ML18" s="80"/>
      <c r="MM18" s="77"/>
    </row>
    <row r="19" spans="1:361" s="18" customFormat="1" ht="14.25" customHeight="1" x14ac:dyDescent="0.2">
      <c r="A19" s="3" t="s">
        <v>16</v>
      </c>
      <c r="B19" s="5">
        <v>1</v>
      </c>
      <c r="C19" s="5">
        <v>1</v>
      </c>
      <c r="D19" s="5">
        <v>27</v>
      </c>
      <c r="E19" s="5">
        <v>89</v>
      </c>
      <c r="F19" s="5">
        <v>48</v>
      </c>
      <c r="G19" s="18">
        <v>31</v>
      </c>
      <c r="H19" s="24">
        <v>86</v>
      </c>
      <c r="I19" s="5">
        <v>19</v>
      </c>
      <c r="J19" s="5">
        <v>120</v>
      </c>
      <c r="K19" s="5">
        <v>121</v>
      </c>
      <c r="L19" s="5">
        <v>125</v>
      </c>
      <c r="M19" s="5">
        <v>58</v>
      </c>
      <c r="N19" s="5">
        <v>152</v>
      </c>
      <c r="O19" s="5">
        <v>20</v>
      </c>
      <c r="P19" s="5">
        <v>0</v>
      </c>
      <c r="Q19" s="5">
        <v>4</v>
      </c>
      <c r="R19" s="5">
        <v>0</v>
      </c>
      <c r="S19" s="5">
        <v>5</v>
      </c>
      <c r="T19" s="18">
        <v>8</v>
      </c>
      <c r="U19" s="5">
        <v>0</v>
      </c>
      <c r="V19" s="5">
        <v>-1</v>
      </c>
      <c r="W19" s="5">
        <v>0</v>
      </c>
      <c r="X19" s="5">
        <v>0</v>
      </c>
      <c r="Y19" s="5">
        <v>0</v>
      </c>
      <c r="Z19" s="92">
        <v>6.6691526315789855E-3</v>
      </c>
      <c r="AA19" s="88">
        <v>18.5</v>
      </c>
      <c r="AB19" s="68"/>
      <c r="AC19" s="5"/>
      <c r="AD19" s="5"/>
      <c r="AE19" s="80"/>
      <c r="AF19" s="179"/>
      <c r="AG19" s="154"/>
      <c r="AH19" s="154"/>
      <c r="AI19" s="154"/>
      <c r="AJ19" s="68"/>
      <c r="AK19" s="5"/>
      <c r="AL19" s="5"/>
      <c r="AM19" s="80"/>
      <c r="AN19" s="127">
        <v>77</v>
      </c>
      <c r="AO19" s="79">
        <v>74</v>
      </c>
      <c r="AP19" s="79">
        <v>90</v>
      </c>
      <c r="AQ19" s="128">
        <v>80</v>
      </c>
      <c r="AR19" s="127">
        <v>85</v>
      </c>
      <c r="AS19" s="79">
        <v>84</v>
      </c>
      <c r="AT19" s="79">
        <v>93</v>
      </c>
      <c r="AU19" s="128">
        <v>87</v>
      </c>
      <c r="AV19" s="179">
        <f t="shared" si="11"/>
        <v>-8</v>
      </c>
      <c r="AW19" s="179">
        <f t="shared" ref="AW19:AW22" si="65">AO19-AS19</f>
        <v>-10</v>
      </c>
      <c r="AX19" s="179">
        <f t="shared" ref="AX19:AX22" si="66">AP19-AT19</f>
        <v>-3</v>
      </c>
      <c r="AY19" s="179">
        <f t="shared" ref="AY19:AY22" si="67">AQ19-AU19</f>
        <v>-7</v>
      </c>
      <c r="AZ19" s="9"/>
      <c r="BA19" s="77"/>
      <c r="BC19" s="77"/>
      <c r="BD19" s="154">
        <v>1</v>
      </c>
      <c r="BE19" s="144">
        <v>1</v>
      </c>
      <c r="BF19" s="5">
        <v>4</v>
      </c>
      <c r="BG19" s="5">
        <v>0</v>
      </c>
      <c r="BK19" s="18" t="s">
        <v>16</v>
      </c>
      <c r="BL19" s="18">
        <v>-1</v>
      </c>
      <c r="BM19" s="18">
        <v>-1</v>
      </c>
      <c r="BN19" s="18">
        <v>-1</v>
      </c>
      <c r="BO19" s="18">
        <v>-2</v>
      </c>
      <c r="BP19" s="18">
        <v>-4</v>
      </c>
      <c r="BQ19" s="138"/>
      <c r="BR19" s="138"/>
      <c r="BS19" s="138"/>
      <c r="BT19" s="138"/>
      <c r="BU19" s="138"/>
      <c r="BV19" s="222"/>
      <c r="BW19" s="18">
        <v>0.49000000953700001</v>
      </c>
      <c r="BX19" s="18">
        <v>1.9999999553000001E-2</v>
      </c>
      <c r="BY19" s="18">
        <f t="shared" si="13"/>
        <v>0.47000000998399999</v>
      </c>
      <c r="BZ19" s="3">
        <v>0.76000000219999997</v>
      </c>
      <c r="CA19" s="18">
        <v>0.75666667033333335</v>
      </c>
      <c r="CB19" s="18">
        <v>1</v>
      </c>
      <c r="CC19" s="18">
        <v>0.58666665833333331</v>
      </c>
      <c r="CD19" s="18">
        <v>0.43666666633333334</v>
      </c>
      <c r="CE19" s="18">
        <v>0.20428571428571426</v>
      </c>
      <c r="CF19" s="18">
        <v>1.9999999666666667E-2</v>
      </c>
      <c r="CG19" s="18">
        <v>0.81333333266666674</v>
      </c>
      <c r="CH19" s="18">
        <v>1</v>
      </c>
      <c r="CI19" s="18">
        <v>0.82000000266666662</v>
      </c>
      <c r="CJ19" s="18">
        <v>0.65999999133333331</v>
      </c>
      <c r="CK19" s="296" t="s">
        <v>535</v>
      </c>
      <c r="CL19" s="18">
        <v>1.9359505480000001</v>
      </c>
      <c r="CM19" s="18">
        <v>-2.7068470590000002</v>
      </c>
      <c r="CN19" s="18">
        <v>-0.67649976499999998</v>
      </c>
      <c r="CO19" s="18">
        <v>-1.5287844950000001E-2</v>
      </c>
      <c r="CP19" s="18">
        <v>-0.34223544379999998</v>
      </c>
      <c r="CQ19" s="18">
        <v>-0.63179311019999995</v>
      </c>
      <c r="CR19" s="18">
        <v>-0.42971111299999998</v>
      </c>
      <c r="CS19" s="18">
        <v>-0.1475830165</v>
      </c>
      <c r="CT19" s="18">
        <v>-0.67822281240000004</v>
      </c>
      <c r="CY19" s="9"/>
      <c r="CZ19" s="296" t="s">
        <v>535</v>
      </c>
      <c r="DA19" s="68">
        <v>28.825896620000002</v>
      </c>
      <c r="DB19" s="5">
        <v>24.80795148</v>
      </c>
      <c r="DC19" s="5">
        <v>26.206632389999999</v>
      </c>
      <c r="DD19" s="80">
        <f>AVERAGE(DA19,DC19)</f>
        <v>27.516264505000002</v>
      </c>
      <c r="DE19" s="68">
        <v>22.982507680000001</v>
      </c>
      <c r="DF19" s="5">
        <v>27.009913099999999</v>
      </c>
      <c r="DG19" s="5">
        <v>22.240975649999999</v>
      </c>
      <c r="DH19" s="80">
        <f>AVERAGE(DE19,DG19)</f>
        <v>22.611741665</v>
      </c>
      <c r="DI19" s="151">
        <f t="shared" ref="DI19:DL22" si="68">DE19-DA19</f>
        <v>-5.8433889400000005</v>
      </c>
      <c r="DJ19" s="24">
        <f t="shared" si="68"/>
        <v>2.2019616199999987</v>
      </c>
      <c r="DK19" s="294">
        <f t="shared" si="68"/>
        <v>-3.96565674</v>
      </c>
      <c r="DL19" s="244">
        <f t="shared" si="68"/>
        <v>-4.904522840000002</v>
      </c>
      <c r="DM19" s="297" t="s">
        <v>535</v>
      </c>
      <c r="DN19" s="68">
        <v>4.9414054350000001</v>
      </c>
      <c r="DO19" s="5">
        <v>4.3662860950000004</v>
      </c>
      <c r="DP19" s="5">
        <v>5.6494851019999999</v>
      </c>
      <c r="DQ19" s="3">
        <f>AVERAGE(DN19,DP19)</f>
        <v>5.2954452685</v>
      </c>
      <c r="DR19" s="68">
        <v>6.356784534</v>
      </c>
      <c r="DS19" s="5">
        <v>6.0814861410000001</v>
      </c>
      <c r="DT19" s="5">
        <v>5.8412807229999997</v>
      </c>
      <c r="DU19" s="3">
        <f>AVERAGE(DR19,DT19)</f>
        <v>6.0990326284999998</v>
      </c>
      <c r="DV19" s="24">
        <f t="shared" ref="DV19:DY22" si="69">DR19-DN19</f>
        <v>1.4153790989999999</v>
      </c>
      <c r="DW19" s="24">
        <f t="shared" si="69"/>
        <v>1.7152000459999996</v>
      </c>
      <c r="DX19" s="24">
        <f t="shared" si="69"/>
        <v>0.19179562099999981</v>
      </c>
      <c r="DY19" s="188">
        <f t="shared" si="69"/>
        <v>0.80358735999999986</v>
      </c>
      <c r="DZ19" s="297" t="s">
        <v>535</v>
      </c>
      <c r="EA19" s="18">
        <v>35.417729459999997</v>
      </c>
      <c r="EB19" s="18">
        <v>13.14274438</v>
      </c>
      <c r="EC19" s="18">
        <v>16.174543289999999</v>
      </c>
      <c r="ED19" s="3">
        <f>AVERAGE(EA19,EC19)</f>
        <v>25.796136374999996</v>
      </c>
      <c r="EE19" s="18">
        <v>10.71398954</v>
      </c>
      <c r="EF19" s="18">
        <v>14.38832161</v>
      </c>
      <c r="EG19" s="18">
        <v>11.85521443</v>
      </c>
      <c r="EH19" s="3">
        <f>AVERAGE(EE19,EG19)</f>
        <v>11.284601985</v>
      </c>
      <c r="EI19" s="24">
        <f t="shared" ref="EI19:EL22" si="70">EE19-EA19</f>
        <v>-24.703739919999997</v>
      </c>
      <c r="EJ19" s="24">
        <f t="shared" si="70"/>
        <v>1.2455772300000003</v>
      </c>
      <c r="EK19" s="24">
        <f t="shared" si="70"/>
        <v>-4.3193288599999988</v>
      </c>
      <c r="EL19" s="188">
        <f t="shared" si="70"/>
        <v>-14.511534389999996</v>
      </c>
      <c r="EM19" s="297" t="s">
        <v>535</v>
      </c>
      <c r="EN19" s="195"/>
      <c r="EO19" s="196"/>
      <c r="EP19" s="195"/>
      <c r="EQ19" s="196"/>
      <c r="ER19" s="196"/>
      <c r="ES19" s="18">
        <v>8</v>
      </c>
      <c r="ET19" s="18">
        <v>9</v>
      </c>
      <c r="EU19" s="18">
        <v>19</v>
      </c>
      <c r="EV19" s="18">
        <v>2</v>
      </c>
      <c r="EW19" s="18">
        <v>8</v>
      </c>
      <c r="EX19" s="18">
        <v>0</v>
      </c>
      <c r="EY19" s="18">
        <v>46</v>
      </c>
      <c r="EZ19" s="5">
        <v>-2.7068470590000002</v>
      </c>
      <c r="FA19" s="18">
        <v>-34.232210553106704</v>
      </c>
      <c r="FB19" s="310">
        <v>17</v>
      </c>
      <c r="FC19" s="5">
        <v>89</v>
      </c>
      <c r="FD19" s="18">
        <v>31</v>
      </c>
      <c r="FE19" s="340">
        <v>18.5</v>
      </c>
      <c r="FF19" s="18">
        <v>0.69200000219999991</v>
      </c>
      <c r="FG19" s="18">
        <v>0.55333333699999998</v>
      </c>
      <c r="FH19" s="18">
        <v>0.47333333333333327</v>
      </c>
      <c r="FI19" s="18">
        <v>0.3266666583333333</v>
      </c>
      <c r="FJ19" s="18">
        <v>0.32999999966666665</v>
      </c>
      <c r="FK19" s="18">
        <v>-2.2857142857142854E-2</v>
      </c>
      <c r="FL19" s="18">
        <v>-9.8333333666666661E-2</v>
      </c>
      <c r="FM19" s="18">
        <v>0.5299999993333333</v>
      </c>
      <c r="FN19" s="18">
        <v>0.24333333333333329</v>
      </c>
      <c r="FO19" s="18">
        <v>3.0000002666666581E-2</v>
      </c>
      <c r="FP19" s="18">
        <v>0.65999999133333331</v>
      </c>
      <c r="FQ19" s="322">
        <v>4</v>
      </c>
      <c r="FR19" s="5">
        <v>0</v>
      </c>
      <c r="FS19" s="5">
        <v>0</v>
      </c>
      <c r="FT19" s="259">
        <v>0.76000000219999997</v>
      </c>
      <c r="FU19" s="72">
        <v>0.75666667033333335</v>
      </c>
      <c r="FV19" s="260">
        <v>1</v>
      </c>
      <c r="FW19" s="261">
        <v>0.58666665833333331</v>
      </c>
      <c r="FX19" s="154">
        <v>0.43666666633333334</v>
      </c>
      <c r="FY19" s="262">
        <v>0.20428571428571426</v>
      </c>
      <c r="FZ19" s="263">
        <v>1.9999999666666667E-2</v>
      </c>
      <c r="GA19" s="264">
        <v>0.81333333266666674</v>
      </c>
      <c r="GB19" s="265">
        <v>1</v>
      </c>
      <c r="GC19" s="266">
        <v>0.82000000266666662</v>
      </c>
      <c r="GD19" s="267">
        <v>0.65999999133333331</v>
      </c>
      <c r="GE19" s="5">
        <v>-2.7068470590000002</v>
      </c>
      <c r="GF19" s="18">
        <v>8</v>
      </c>
      <c r="GG19" s="18">
        <v>9</v>
      </c>
      <c r="GH19" s="18">
        <v>19</v>
      </c>
      <c r="GI19" s="18">
        <v>2</v>
      </c>
      <c r="GJ19" s="18">
        <v>8</v>
      </c>
      <c r="GK19" s="18">
        <v>0</v>
      </c>
      <c r="GL19" s="18">
        <v>46</v>
      </c>
      <c r="GN19" s="5">
        <v>120</v>
      </c>
      <c r="GO19" s="5">
        <v>121</v>
      </c>
      <c r="GP19" s="5">
        <v>125</v>
      </c>
      <c r="GQ19" s="5">
        <v>58</v>
      </c>
      <c r="GR19" s="5">
        <v>152</v>
      </c>
      <c r="GS19" s="144">
        <v>1</v>
      </c>
      <c r="GT19" s="18">
        <v>77.106800000000007</v>
      </c>
      <c r="GU19" s="18">
        <v>80.825000000000003</v>
      </c>
      <c r="GV19" s="3">
        <f t="shared" si="15"/>
        <v>-3.718199999999996</v>
      </c>
      <c r="GW19" s="5">
        <f t="shared" si="16"/>
        <v>0.9539969068976184</v>
      </c>
      <c r="GX19" s="18">
        <f t="shared" si="17"/>
        <v>-2.0453033387596683E-2</v>
      </c>
      <c r="GY19" s="18">
        <v>64.108500000000006</v>
      </c>
      <c r="GZ19" s="18">
        <v>68.987499999999997</v>
      </c>
      <c r="HA19" s="3">
        <f t="shared" si="18"/>
        <v>-4.8789999999999907</v>
      </c>
      <c r="HB19" s="18">
        <f t="shared" si="19"/>
        <v>0.92927704294256219</v>
      </c>
      <c r="HC19" s="18">
        <v>71.340199999999996</v>
      </c>
      <c r="HD19" s="18">
        <v>78.730800000000002</v>
      </c>
      <c r="HE19" s="3">
        <f t="shared" si="20"/>
        <v>-7.3906000000000063</v>
      </c>
      <c r="HF19" s="18">
        <f>HC19/HD19</f>
        <v>0.90612822427817319</v>
      </c>
      <c r="HG19" s="18">
        <v>56.014299999999999</v>
      </c>
      <c r="HH19" s="18">
        <v>91.918000000000006</v>
      </c>
      <c r="HI19" s="3">
        <f t="shared" si="22"/>
        <v>-35.903700000000008</v>
      </c>
      <c r="HJ19" s="18">
        <f t="shared" si="23"/>
        <v>0.60939424269457554</v>
      </c>
      <c r="HK19" s="5">
        <v>97.404499999999999</v>
      </c>
      <c r="HL19" s="5">
        <v>88.583200000000005</v>
      </c>
      <c r="HM19" s="3">
        <f t="shared" si="24"/>
        <v>8.8212999999999937</v>
      </c>
      <c r="HN19" s="5">
        <f t="shared" si="60"/>
        <v>1.099582087799944</v>
      </c>
      <c r="HO19" s="18">
        <v>57.272500000000001</v>
      </c>
      <c r="HP19" s="18">
        <v>58.653500000000001</v>
      </c>
      <c r="HQ19" s="3">
        <f t="shared" si="25"/>
        <v>-1.3810000000000002</v>
      </c>
      <c r="HR19" s="18">
        <f t="shared" si="26"/>
        <v>0.97645494301277846</v>
      </c>
      <c r="HS19" s="18">
        <v>59.308999999999997</v>
      </c>
      <c r="HT19" s="18">
        <v>62.993000000000002</v>
      </c>
      <c r="HU19" s="3">
        <f t="shared" si="27"/>
        <v>-3.6840000000000046</v>
      </c>
      <c r="HV19" s="18">
        <f t="shared" si="28"/>
        <v>0.94151731144730355</v>
      </c>
      <c r="HW19" s="18">
        <v>61.984999999999999</v>
      </c>
      <c r="HX19" s="18">
        <v>60.761699999999998</v>
      </c>
      <c r="HY19" s="3">
        <f t="shared" si="29"/>
        <v>1.2233000000000018</v>
      </c>
      <c r="HZ19" s="18">
        <f t="shared" si="30"/>
        <v>1.0201327480962514</v>
      </c>
      <c r="IA19" s="18">
        <v>52.838000000000001</v>
      </c>
      <c r="IB19" s="18">
        <v>57.491500000000002</v>
      </c>
      <c r="IC19" s="3">
        <f t="shared" si="31"/>
        <v>-4.6535000000000011</v>
      </c>
      <c r="ID19" s="18">
        <f t="shared" si="32"/>
        <v>0.91905759981910373</v>
      </c>
      <c r="IE19" s="18">
        <v>43.712200000000003</v>
      </c>
      <c r="IF19" s="18">
        <v>45.2254</v>
      </c>
      <c r="IG19" s="3">
        <f t="shared" si="33"/>
        <v>-1.5131999999999977</v>
      </c>
      <c r="IH19" s="18">
        <f t="shared" si="34"/>
        <v>0.96654092611673981</v>
      </c>
      <c r="II19" s="18">
        <v>64.4285</v>
      </c>
      <c r="IJ19" s="18">
        <v>65.380200000000002</v>
      </c>
      <c r="IK19" s="3">
        <f t="shared" si="35"/>
        <v>-0.95170000000000243</v>
      </c>
      <c r="IL19" s="18">
        <f t="shared" si="36"/>
        <v>0.98544360525051922</v>
      </c>
      <c r="IM19" s="18">
        <v>78.576499999999996</v>
      </c>
      <c r="IN19" s="18">
        <v>83.207800000000006</v>
      </c>
      <c r="IO19" s="3">
        <f t="shared" si="37"/>
        <v>-4.6313000000000102</v>
      </c>
      <c r="IP19" s="18">
        <f t="shared" si="38"/>
        <v>0.9443405546114666</v>
      </c>
      <c r="IQ19" s="18">
        <v>51.669199999999996</v>
      </c>
      <c r="IR19" s="18">
        <v>53.401499999999999</v>
      </c>
      <c r="IS19" s="3">
        <f t="shared" si="39"/>
        <v>-1.7323000000000022</v>
      </c>
      <c r="IT19" s="18">
        <f t="shared" si="40"/>
        <v>0.96756083630609624</v>
      </c>
      <c r="IU19" s="18">
        <v>58.425699999999999</v>
      </c>
      <c r="IV19" s="18">
        <v>61.759500000000003</v>
      </c>
      <c r="IW19" s="3">
        <f t="shared" si="41"/>
        <v>-3.3338000000000036</v>
      </c>
      <c r="IX19" s="18">
        <f t="shared" si="42"/>
        <v>0.94601964070304967</v>
      </c>
      <c r="IY19" s="18">
        <v>63.12</v>
      </c>
      <c r="IZ19" s="18">
        <v>67.227500000000006</v>
      </c>
      <c r="JA19" s="3">
        <f t="shared" si="43"/>
        <v>-4.1075000000000088</v>
      </c>
      <c r="JB19" s="18">
        <f t="shared" si="44"/>
        <v>0.93890149120523581</v>
      </c>
      <c r="JC19" s="18">
        <f>LOG(HN19)</f>
        <v>4.1227656568844397E-2</v>
      </c>
      <c r="JF19" s="18">
        <v>17</v>
      </c>
      <c r="JG19" s="138"/>
      <c r="JH19" s="138"/>
      <c r="JI19" s="138"/>
      <c r="JJ19" s="138"/>
      <c r="JK19" s="138"/>
      <c r="JL19" s="138"/>
      <c r="JM19" s="138"/>
      <c r="JN19" s="138"/>
      <c r="JP19" s="138"/>
      <c r="JQ19" s="138"/>
      <c r="JR19" s="138"/>
      <c r="JS19" s="138"/>
      <c r="JT19" s="138"/>
      <c r="JU19" s="138"/>
      <c r="JV19" s="138"/>
      <c r="JW19" s="138"/>
      <c r="JX19" s="138"/>
      <c r="JY19" s="138"/>
      <c r="JZ19" s="138"/>
      <c r="KA19" s="138"/>
      <c r="KB19" s="138"/>
      <c r="KC19" s="138"/>
      <c r="KD19" s="138"/>
      <c r="KE19" s="68" t="s">
        <v>535</v>
      </c>
      <c r="KF19" s="347">
        <v>4.4699999999999997E-2</v>
      </c>
      <c r="KG19" s="347">
        <v>5.0200000000000002E-2</v>
      </c>
      <c r="KH19" s="347">
        <f t="shared" si="47"/>
        <v>4.7449999999999999E-2</v>
      </c>
      <c r="KI19" s="348">
        <v>9.1200000000000003E-2</v>
      </c>
      <c r="KJ19" s="348">
        <v>8.4699999999999998E-2</v>
      </c>
      <c r="KK19" s="348">
        <f t="shared" si="48"/>
        <v>8.795E-2</v>
      </c>
      <c r="KL19" s="347">
        <f t="shared" si="49"/>
        <v>4.0500000000000001E-2</v>
      </c>
      <c r="KM19" s="347">
        <f t="shared" si="50"/>
        <v>1.8535300316122234</v>
      </c>
      <c r="KN19" s="354">
        <f t="shared" si="64"/>
        <v>5.7315300316122233</v>
      </c>
      <c r="KO19" s="18">
        <f t="shared" si="51"/>
        <v>0.75827057233151074</v>
      </c>
      <c r="KP19" s="18">
        <v>0.75827057233151074</v>
      </c>
      <c r="KQ19" s="340">
        <v>18.5</v>
      </c>
      <c r="KR19" s="18">
        <v>0.69200000219999991</v>
      </c>
      <c r="KS19" s="18">
        <v>0.55333333699999998</v>
      </c>
      <c r="KT19" s="18">
        <v>0.47333333333333327</v>
      </c>
      <c r="KU19" s="18">
        <v>0.3266666583333333</v>
      </c>
      <c r="KV19" s="18">
        <v>0.32999999966666665</v>
      </c>
      <c r="KW19" s="18">
        <v>-2.2857142857142854E-2</v>
      </c>
      <c r="KX19" s="18">
        <v>-9.8333333666666661E-2</v>
      </c>
      <c r="KY19" s="18">
        <v>0.5299999993333333</v>
      </c>
      <c r="KZ19" s="18">
        <v>0.24333333333333329</v>
      </c>
      <c r="LA19" s="18">
        <v>3.0000002666666581E-2</v>
      </c>
      <c r="LB19" s="18">
        <v>0.65999999133333331</v>
      </c>
      <c r="LC19" s="358" t="s">
        <v>639</v>
      </c>
      <c r="LD19" s="358">
        <v>18.5</v>
      </c>
      <c r="LE19" s="358">
        <v>15</v>
      </c>
      <c r="LF19" s="358">
        <v>11.5</v>
      </c>
      <c r="LG19" s="358">
        <v>19</v>
      </c>
      <c r="LH19" s="358">
        <v>18.5</v>
      </c>
      <c r="LI19" s="358">
        <v>20</v>
      </c>
      <c r="LJ19" s="144">
        <v>1</v>
      </c>
      <c r="LK19" s="158" t="s">
        <v>535</v>
      </c>
      <c r="LL19" s="68">
        <v>0.53820000000000001</v>
      </c>
      <c r="LM19" s="5">
        <v>0.52370000000000005</v>
      </c>
      <c r="LN19" s="5">
        <f t="shared" si="52"/>
        <v>0.53095000000000003</v>
      </c>
      <c r="LO19" s="5">
        <v>0.58330000000000004</v>
      </c>
      <c r="LP19" s="5">
        <v>0.56840000000000002</v>
      </c>
      <c r="LQ19" s="80">
        <f t="shared" si="53"/>
        <v>0.57584999999999997</v>
      </c>
      <c r="LR19" s="77">
        <f t="shared" si="54"/>
        <v>-4.489999999999994E-2</v>
      </c>
      <c r="LS19" s="68">
        <v>17.132100000000001</v>
      </c>
      <c r="LT19" s="5">
        <v>16.788499999999999</v>
      </c>
      <c r="LU19" s="5">
        <f t="shared" si="55"/>
        <v>16.9603</v>
      </c>
      <c r="LV19" s="5">
        <v>29.2026</v>
      </c>
      <c r="LW19" s="5">
        <v>23.573899999999998</v>
      </c>
      <c r="LX19" s="80">
        <f t="shared" si="56"/>
        <v>26.388249999999999</v>
      </c>
      <c r="LY19" s="77">
        <f t="shared" si="57"/>
        <v>-9.4279499999999992</v>
      </c>
      <c r="LZ19" s="68">
        <v>0.97660000000000002</v>
      </c>
      <c r="MA19" s="5">
        <v>0.9788</v>
      </c>
      <c r="MB19" s="5">
        <f>AVERAGE(LZ19:MA19)</f>
        <v>0.97770000000000001</v>
      </c>
      <c r="MC19" s="5">
        <v>0.87190000000000001</v>
      </c>
      <c r="MD19" s="5">
        <v>0.91859999999999997</v>
      </c>
      <c r="ME19" s="80">
        <f>AVERAGE(MC19:MD19)</f>
        <v>0.89524999999999999</v>
      </c>
      <c r="MF19" s="77">
        <f t="shared" si="58"/>
        <v>8.2450000000000023E-2</v>
      </c>
      <c r="MG19" s="68">
        <v>0.41820000000000002</v>
      </c>
      <c r="MH19" s="5">
        <v>0.38429999999999997</v>
      </c>
      <c r="MI19" s="5">
        <f>AVERAGE(MG19:MH19)</f>
        <v>0.40125</v>
      </c>
      <c r="MJ19" s="5">
        <v>0.55169999999999997</v>
      </c>
      <c r="MK19" s="5">
        <v>0.4879</v>
      </c>
      <c r="ML19" s="80">
        <f>AVERAGE(MJ19:MK19)</f>
        <v>0.51980000000000004</v>
      </c>
      <c r="MM19" s="77">
        <f t="shared" si="59"/>
        <v>-0.11855000000000004</v>
      </c>
      <c r="MO19" s="5">
        <v>-0.28403142190000003</v>
      </c>
      <c r="MP19" s="5">
        <v>2.9395903309999998</v>
      </c>
      <c r="MQ19" s="5">
        <v>3.3450313239999998</v>
      </c>
      <c r="MR19" s="5">
        <v>3.5318881279999998</v>
      </c>
      <c r="MS19" s="292">
        <v>3.3545755779999999</v>
      </c>
      <c r="MT19" s="18">
        <v>-2.7068470590000002</v>
      </c>
      <c r="MU19" s="18">
        <v>1.7311244180000001</v>
      </c>
      <c r="MV19" s="18">
        <v>-0.2580061917</v>
      </c>
      <c r="MW19" s="18">
        <v>0.8620683106</v>
      </c>
    </row>
    <row r="20" spans="1:361" s="18" customFormat="1" ht="14.25" customHeight="1" x14ac:dyDescent="0.2">
      <c r="A20" s="3" t="s">
        <v>17</v>
      </c>
      <c r="B20" s="5">
        <v>2</v>
      </c>
      <c r="C20" s="5">
        <v>8</v>
      </c>
      <c r="D20" s="5">
        <v>33</v>
      </c>
      <c r="E20" s="5">
        <v>76</v>
      </c>
      <c r="F20" s="5">
        <v>43</v>
      </c>
      <c r="G20" s="18">
        <v>43</v>
      </c>
      <c r="H20" s="24">
        <v>107</v>
      </c>
      <c r="I20" s="5">
        <v>15</v>
      </c>
      <c r="J20" s="5">
        <v>113</v>
      </c>
      <c r="K20" s="5">
        <v>106</v>
      </c>
      <c r="L20" s="5">
        <v>122</v>
      </c>
      <c r="M20" s="5">
        <v>86</v>
      </c>
      <c r="N20" s="5">
        <v>128</v>
      </c>
      <c r="O20" s="5">
        <v>6</v>
      </c>
      <c r="P20" s="5">
        <v>-1</v>
      </c>
      <c r="Q20" s="5">
        <v>7</v>
      </c>
      <c r="R20" s="5">
        <v>-10</v>
      </c>
      <c r="S20" s="5">
        <v>13</v>
      </c>
      <c r="T20" s="18">
        <v>11</v>
      </c>
      <c r="U20" s="5">
        <v>10</v>
      </c>
      <c r="V20" s="5">
        <v>-1</v>
      </c>
      <c r="W20" s="5">
        <v>-9</v>
      </c>
      <c r="X20" s="5">
        <v>-19</v>
      </c>
      <c r="Y20" s="5">
        <v>1</v>
      </c>
      <c r="Z20" s="92">
        <v>-2.7838047368421E-2</v>
      </c>
      <c r="AA20" s="88">
        <v>14.5</v>
      </c>
      <c r="AB20" s="68">
        <v>88</v>
      </c>
      <c r="AC20" s="5">
        <v>89</v>
      </c>
      <c r="AD20" s="5">
        <v>100</v>
      </c>
      <c r="AE20" s="80">
        <v>92</v>
      </c>
      <c r="AF20" s="179">
        <v>-4</v>
      </c>
      <c r="AG20" s="154">
        <v>-6</v>
      </c>
      <c r="AH20" s="154">
        <v>7</v>
      </c>
      <c r="AI20" s="154">
        <v>-1</v>
      </c>
      <c r="AJ20" s="68">
        <v>84</v>
      </c>
      <c r="AK20" s="5">
        <v>83</v>
      </c>
      <c r="AL20" s="5">
        <v>107</v>
      </c>
      <c r="AM20" s="80">
        <v>91</v>
      </c>
      <c r="AN20" s="68">
        <v>88</v>
      </c>
      <c r="AO20" s="5">
        <v>89</v>
      </c>
      <c r="AP20" s="5">
        <v>100</v>
      </c>
      <c r="AQ20" s="80">
        <v>92</v>
      </c>
      <c r="AR20" s="68">
        <v>84</v>
      </c>
      <c r="AS20" s="5">
        <v>83</v>
      </c>
      <c r="AT20" s="5">
        <v>107</v>
      </c>
      <c r="AU20" s="80">
        <v>91</v>
      </c>
      <c r="AV20" s="179">
        <f t="shared" si="11"/>
        <v>4</v>
      </c>
      <c r="AW20" s="179">
        <f t="shared" si="65"/>
        <v>6</v>
      </c>
      <c r="AX20" s="179">
        <f t="shared" si="66"/>
        <v>-7</v>
      </c>
      <c r="AY20" s="179">
        <f t="shared" si="67"/>
        <v>1</v>
      </c>
      <c r="AZ20" s="9">
        <v>1.1363636363636365</v>
      </c>
      <c r="BA20" s="77">
        <v>-0.13744588744588726</v>
      </c>
      <c r="BB20" s="18">
        <v>1.0113636363636365</v>
      </c>
      <c r="BC20" s="77">
        <v>2.3268398268398327E-2</v>
      </c>
      <c r="BD20" s="154">
        <v>0.76999998092699995</v>
      </c>
      <c r="BE20" s="144">
        <v>0.83999997377400004</v>
      </c>
      <c r="BF20" s="5">
        <v>7</v>
      </c>
      <c r="BG20" s="5">
        <v>-1</v>
      </c>
      <c r="BK20" s="18" t="s">
        <v>17</v>
      </c>
      <c r="BL20" s="18">
        <v>-10</v>
      </c>
      <c r="BM20" s="221">
        <v>-16</v>
      </c>
      <c r="BN20" s="21">
        <v>-17</v>
      </c>
      <c r="BO20" s="18">
        <v>-34</v>
      </c>
      <c r="BP20" s="18">
        <v>-67</v>
      </c>
      <c r="BQ20" s="138" t="s">
        <v>490</v>
      </c>
      <c r="BR20" s="138">
        <v>4.2323659582691703E-28</v>
      </c>
      <c r="BS20" s="138" t="s">
        <v>491</v>
      </c>
      <c r="BT20" s="138">
        <v>-1.71345022949556E-27</v>
      </c>
      <c r="BU20" s="138">
        <f t="shared" si="12"/>
        <v>-6.4510681683432144E-28</v>
      </c>
      <c r="BW20" s="18">
        <v>0.5</v>
      </c>
      <c r="BX20" s="18">
        <v>0.12999999523200001</v>
      </c>
      <c r="BY20" s="18">
        <f t="shared" si="13"/>
        <v>0.37000000476799999</v>
      </c>
      <c r="BZ20" s="3">
        <v>0.35799999840000002</v>
      </c>
      <c r="CA20" s="18">
        <v>0.3166666726666667</v>
      </c>
      <c r="CB20" s="18">
        <v>0.31666666766666668</v>
      </c>
      <c r="CC20" s="18">
        <v>0.18333333366666668</v>
      </c>
      <c r="CD20" s="18">
        <v>0.33000000666666662</v>
      </c>
      <c r="CE20" s="18">
        <v>0.16142857342857142</v>
      </c>
      <c r="CF20" s="18">
        <v>5.0000000000000001E-3</v>
      </c>
      <c r="CG20" s="18">
        <v>0.176666667</v>
      </c>
      <c r="CH20" s="18">
        <v>0.46666665899999998</v>
      </c>
      <c r="CI20" s="18">
        <v>0.57999998333333336</v>
      </c>
      <c r="CJ20" s="18">
        <v>0.51000001033333331</v>
      </c>
      <c r="CK20" s="285" t="s">
        <v>536</v>
      </c>
      <c r="CL20" s="18">
        <v>1.8900219229999999</v>
      </c>
      <c r="CM20" s="18">
        <v>-4.1567060470000001</v>
      </c>
      <c r="CN20" s="18">
        <v>-0.71777224539999995</v>
      </c>
      <c r="CO20" s="18">
        <v>-0.3631437475</v>
      </c>
      <c r="CP20" s="18">
        <v>-0.43654978840000003</v>
      </c>
      <c r="CQ20" s="18">
        <v>-0.34623590459999998</v>
      </c>
      <c r="CR20" s="18">
        <v>-0.47770460920000002</v>
      </c>
      <c r="CS20" s="18">
        <v>-0.238764752</v>
      </c>
      <c r="CT20" s="18">
        <v>-0.25477671340000002</v>
      </c>
      <c r="CY20" s="9"/>
      <c r="CZ20" s="285" t="s">
        <v>536</v>
      </c>
      <c r="DA20" s="68">
        <v>16.429920899999999</v>
      </c>
      <c r="DB20" s="5">
        <v>15.47131422</v>
      </c>
      <c r="DC20" s="5">
        <v>13.33761456</v>
      </c>
      <c r="DD20" s="80">
        <f>AVERAGE(DA20,DC20)</f>
        <v>14.883767729999999</v>
      </c>
      <c r="DE20" s="68">
        <v>6.1993915849999999</v>
      </c>
      <c r="DF20" s="5">
        <v>7.0648990649999996</v>
      </c>
      <c r="DG20" s="5">
        <v>6.5786088210000004</v>
      </c>
      <c r="DH20" s="80">
        <f>AVERAGE(DE20,DG20)</f>
        <v>6.3890002030000002</v>
      </c>
      <c r="DI20" s="151">
        <f t="shared" si="68"/>
        <v>-10.230529314999998</v>
      </c>
      <c r="DJ20" s="24">
        <f t="shared" si="68"/>
        <v>-8.4064151550000012</v>
      </c>
      <c r="DK20" s="294">
        <f t="shared" si="68"/>
        <v>-6.759005739</v>
      </c>
      <c r="DL20" s="244">
        <f t="shared" si="68"/>
        <v>-8.4947675269999987</v>
      </c>
      <c r="DM20" s="295" t="s">
        <v>536</v>
      </c>
      <c r="DN20" s="68">
        <v>2.5670949269999999</v>
      </c>
      <c r="DO20" s="5">
        <v>2.7467536799999999</v>
      </c>
      <c r="DP20" s="5">
        <v>2.4138939239999999</v>
      </c>
      <c r="DQ20" s="3">
        <f>AVERAGE(DN20,DP20)</f>
        <v>2.4904944254999997</v>
      </c>
      <c r="DR20" s="68">
        <v>1.515023029</v>
      </c>
      <c r="DS20" s="5">
        <v>1.6848409049999999</v>
      </c>
      <c r="DT20" s="5">
        <v>1.522191407</v>
      </c>
      <c r="DU20" s="3">
        <f>AVERAGE(DR20,DT20)</f>
        <v>1.5186072180000001</v>
      </c>
      <c r="DV20" s="24">
        <f t="shared" si="69"/>
        <v>-1.0520718979999999</v>
      </c>
      <c r="DW20" s="24">
        <f t="shared" si="69"/>
        <v>-1.0619127749999999</v>
      </c>
      <c r="DX20" s="24">
        <f t="shared" si="69"/>
        <v>-0.89170251699999992</v>
      </c>
      <c r="DY20" s="188">
        <f t="shared" si="69"/>
        <v>-0.97188720749999957</v>
      </c>
      <c r="DZ20" s="295" t="s">
        <v>536</v>
      </c>
      <c r="EA20" s="18">
        <v>18.826740740000002</v>
      </c>
      <c r="EB20" s="18">
        <v>32.315442930000003</v>
      </c>
      <c r="EC20" s="18">
        <v>11.17975429</v>
      </c>
      <c r="ED20" s="3">
        <f>AVERAGE(EA20,EC20)</f>
        <v>15.003247515000002</v>
      </c>
      <c r="EE20" s="18">
        <v>5.7493962449999998</v>
      </c>
      <c r="EF20" s="18">
        <v>4.394662115</v>
      </c>
      <c r="EG20" s="18">
        <v>5.855131031</v>
      </c>
      <c r="EH20" s="3">
        <f>AVERAGE(EE20,EG20)</f>
        <v>5.8022636379999994</v>
      </c>
      <c r="EI20" s="24">
        <f t="shared" si="70"/>
        <v>-13.077344495000002</v>
      </c>
      <c r="EJ20" s="24">
        <f t="shared" si="70"/>
        <v>-27.920780815000004</v>
      </c>
      <c r="EK20" s="24">
        <f t="shared" si="70"/>
        <v>-5.324623259</v>
      </c>
      <c r="EL20" s="188">
        <f t="shared" si="70"/>
        <v>-9.2009838770000023</v>
      </c>
      <c r="EM20" s="295" t="s">
        <v>536</v>
      </c>
      <c r="EN20" s="151" t="s">
        <v>490</v>
      </c>
      <c r="EO20" s="244">
        <v>84.735555548497302</v>
      </c>
      <c r="EP20" s="151" t="s">
        <v>491</v>
      </c>
      <c r="EQ20" s="244">
        <v>42.655997857338598</v>
      </c>
      <c r="ER20" s="244">
        <f t="shared" si="14"/>
        <v>63.695776702917954</v>
      </c>
      <c r="ES20" s="18">
        <v>3</v>
      </c>
      <c r="ET20" s="18">
        <v>12</v>
      </c>
      <c r="EU20" s="18">
        <v>13</v>
      </c>
      <c r="EV20" s="18">
        <v>-3</v>
      </c>
      <c r="EW20" s="18">
        <v>4</v>
      </c>
      <c r="EX20" s="18">
        <v>0</v>
      </c>
      <c r="EY20" s="18">
        <v>29</v>
      </c>
      <c r="EZ20" s="5">
        <v>-4.1567060470000001</v>
      </c>
      <c r="FA20" s="18">
        <v>-52.427600977815047</v>
      </c>
      <c r="FB20" s="310">
        <v>18</v>
      </c>
      <c r="FC20" s="5">
        <v>76</v>
      </c>
      <c r="FD20" s="18">
        <v>43</v>
      </c>
      <c r="FE20" s="340">
        <v>14.5</v>
      </c>
      <c r="FF20" s="18">
        <v>0.35599999840000002</v>
      </c>
      <c r="FG20" s="18">
        <v>0.3066666726666667</v>
      </c>
      <c r="FH20" s="18">
        <v>0.30666666766666667</v>
      </c>
      <c r="FI20" s="18">
        <v>0.18333333366666668</v>
      </c>
      <c r="FJ20" s="18">
        <v>0.33000000666666662</v>
      </c>
      <c r="FK20" s="18">
        <v>0.15857143057142856</v>
      </c>
      <c r="FL20" s="18">
        <v>3.3333333333333331E-3</v>
      </c>
      <c r="FM20" s="18">
        <v>0.176666667</v>
      </c>
      <c r="FN20" s="18">
        <v>0.46333332566666663</v>
      </c>
      <c r="FO20" s="18">
        <v>0.57999998333333336</v>
      </c>
      <c r="FP20" s="18">
        <v>0.51000001033333331</v>
      </c>
      <c r="FQ20" s="322">
        <v>7</v>
      </c>
      <c r="FR20" s="5">
        <v>10</v>
      </c>
      <c r="FS20" s="5">
        <v>1</v>
      </c>
      <c r="FT20" s="259">
        <v>0.35799999840000002</v>
      </c>
      <c r="FU20" s="72">
        <v>0.3166666726666667</v>
      </c>
      <c r="FV20" s="260">
        <v>0.31666666766666668</v>
      </c>
      <c r="FW20" s="261">
        <v>0.18333333366666668</v>
      </c>
      <c r="FX20" s="154">
        <v>0.33000000666666662</v>
      </c>
      <c r="FY20" s="262">
        <v>0.16142857342857142</v>
      </c>
      <c r="FZ20" s="263">
        <v>5.0000000000000001E-3</v>
      </c>
      <c r="GA20" s="264">
        <v>0.176666667</v>
      </c>
      <c r="GB20" s="265">
        <v>0.46666665899999998</v>
      </c>
      <c r="GC20" s="266">
        <v>0.57999998333333336</v>
      </c>
      <c r="GD20" s="267">
        <v>0.51000001033333331</v>
      </c>
      <c r="GE20" s="5">
        <v>-4.1567060470000001</v>
      </c>
      <c r="GF20" s="18">
        <v>3</v>
      </c>
      <c r="GG20" s="18">
        <v>12</v>
      </c>
      <c r="GH20" s="18">
        <v>13</v>
      </c>
      <c r="GI20" s="18">
        <v>-3</v>
      </c>
      <c r="GJ20" s="18">
        <v>4</v>
      </c>
      <c r="GK20" s="18">
        <v>0</v>
      </c>
      <c r="GL20" s="18">
        <v>29</v>
      </c>
      <c r="GN20" s="5">
        <v>113</v>
      </c>
      <c r="GO20" s="5">
        <v>106</v>
      </c>
      <c r="GP20" s="5">
        <v>122</v>
      </c>
      <c r="GQ20" s="5">
        <v>86</v>
      </c>
      <c r="GR20" s="5">
        <v>128</v>
      </c>
      <c r="GS20" s="144">
        <v>0.83999997377400004</v>
      </c>
      <c r="GT20" s="18">
        <v>63.756300000000003</v>
      </c>
      <c r="GU20" s="18">
        <v>60.8675</v>
      </c>
      <c r="GV20" s="3">
        <f t="shared" si="15"/>
        <v>2.8888000000000034</v>
      </c>
      <c r="GW20" s="5">
        <f t="shared" si="16"/>
        <v>1.0474604674087158</v>
      </c>
      <c r="GX20" s="18">
        <f t="shared" si="17"/>
        <v>2.0137641079638183E-2</v>
      </c>
      <c r="GY20" s="18">
        <v>55.8005</v>
      </c>
      <c r="GZ20" s="18">
        <v>53.792700000000004</v>
      </c>
      <c r="HA20" s="3">
        <f t="shared" si="18"/>
        <v>2.007799999999996</v>
      </c>
      <c r="HB20" s="18">
        <f t="shared" si="19"/>
        <v>1.0373247671152406</v>
      </c>
      <c r="HC20" s="18">
        <v>54.401000000000003</v>
      </c>
      <c r="HD20" s="18">
        <v>54.384500000000003</v>
      </c>
      <c r="HE20" s="3">
        <f t="shared" si="20"/>
        <v>1.6500000000000625E-2</v>
      </c>
      <c r="HF20" s="18">
        <f>HC20/HD20</f>
        <v>1.0003033952688727</v>
      </c>
      <c r="HG20" s="18">
        <v>26.371300000000002</v>
      </c>
      <c r="HH20" s="18">
        <v>32.180100000000003</v>
      </c>
      <c r="HI20" s="3">
        <f t="shared" si="22"/>
        <v>-5.8088000000000015</v>
      </c>
      <c r="HJ20" s="18">
        <f t="shared" si="23"/>
        <v>0.81949092762297193</v>
      </c>
      <c r="HK20" s="5">
        <v>64.723500000000001</v>
      </c>
      <c r="HL20" s="5">
        <v>50.900399999999998</v>
      </c>
      <c r="HM20" s="3">
        <f t="shared" si="24"/>
        <v>13.823100000000004</v>
      </c>
      <c r="HN20" s="5">
        <f t="shared" si="60"/>
        <v>1.2715715397128511</v>
      </c>
      <c r="HO20" s="18">
        <v>50.790700000000001</v>
      </c>
      <c r="HP20" s="18">
        <v>47.278799999999997</v>
      </c>
      <c r="HQ20" s="3">
        <f t="shared" si="25"/>
        <v>3.5119000000000042</v>
      </c>
      <c r="HR20" s="18">
        <f t="shared" si="26"/>
        <v>1.0742806501011024</v>
      </c>
      <c r="HS20" s="18">
        <v>59.945799999999998</v>
      </c>
      <c r="HT20" s="18">
        <v>59.255000000000003</v>
      </c>
      <c r="HU20" s="3">
        <f t="shared" si="27"/>
        <v>0.69079999999999586</v>
      </c>
      <c r="HV20" s="18">
        <f t="shared" si="28"/>
        <v>1.0116580879250696</v>
      </c>
      <c r="HW20" s="18">
        <v>57.593000000000004</v>
      </c>
      <c r="HX20" s="18">
        <v>59.89</v>
      </c>
      <c r="HY20" s="3">
        <f t="shared" si="29"/>
        <v>-2.296999999999997</v>
      </c>
      <c r="HZ20" s="18">
        <f t="shared" si="30"/>
        <v>0.96164635164468193</v>
      </c>
      <c r="IA20" s="18">
        <v>52.031199999999998</v>
      </c>
      <c r="IB20" s="18">
        <v>51.788600000000002</v>
      </c>
      <c r="IC20" s="3">
        <f t="shared" si="31"/>
        <v>0.24259999999999593</v>
      </c>
      <c r="ID20" s="18">
        <f t="shared" si="32"/>
        <v>1.0046844286194259</v>
      </c>
      <c r="IE20" s="18">
        <v>38.2151</v>
      </c>
      <c r="IF20" s="18">
        <v>44.575499999999998</v>
      </c>
      <c r="IG20" s="3">
        <f t="shared" si="33"/>
        <v>-6.3603999999999985</v>
      </c>
      <c r="IH20" s="18">
        <f t="shared" si="34"/>
        <v>0.85731175197137444</v>
      </c>
      <c r="II20" s="18">
        <v>63.398699999999998</v>
      </c>
      <c r="IJ20" s="18">
        <v>61.514000000000003</v>
      </c>
      <c r="IK20" s="3">
        <f t="shared" si="35"/>
        <v>1.8846999999999952</v>
      </c>
      <c r="IL20" s="18">
        <f t="shared" si="36"/>
        <v>1.0306385538251455</v>
      </c>
      <c r="IM20" s="18">
        <v>74.222499999999997</v>
      </c>
      <c r="IN20" s="18">
        <v>74.251499999999993</v>
      </c>
      <c r="IO20" s="3">
        <f t="shared" si="37"/>
        <v>-2.8999999999996362E-2</v>
      </c>
      <c r="IP20" s="18">
        <f t="shared" si="38"/>
        <v>0.99960943549961956</v>
      </c>
      <c r="IQ20" s="18">
        <v>45.265700000000002</v>
      </c>
      <c r="IR20" s="18">
        <v>41.523200000000003</v>
      </c>
      <c r="IS20" s="3">
        <f t="shared" si="39"/>
        <v>3.7424999999999997</v>
      </c>
      <c r="IT20" s="18">
        <f t="shared" si="40"/>
        <v>1.0901303367755857</v>
      </c>
      <c r="IU20" s="18">
        <v>56.184800000000003</v>
      </c>
      <c r="IV20" s="18">
        <v>51.091900000000003</v>
      </c>
      <c r="IW20" s="3">
        <f t="shared" si="41"/>
        <v>5.0929000000000002</v>
      </c>
      <c r="IX20" s="18">
        <f t="shared" si="42"/>
        <v>1.0996811627674836</v>
      </c>
      <c r="IY20" s="18">
        <v>63.649000000000001</v>
      </c>
      <c r="IZ20" s="18">
        <v>56.201300000000003</v>
      </c>
      <c r="JA20" s="3">
        <f t="shared" si="43"/>
        <v>7.4476999999999975</v>
      </c>
      <c r="JB20" s="18">
        <f t="shared" si="44"/>
        <v>1.1325182869435404</v>
      </c>
      <c r="JC20" s="18">
        <f>LOG(HN20)</f>
        <v>0.10434079898165996</v>
      </c>
      <c r="JD20" s="18">
        <v>63.695776702917954</v>
      </c>
      <c r="JE20" s="18">
        <f t="shared" si="45"/>
        <v>0.6369577670291795</v>
      </c>
      <c r="JG20" s="336" t="s">
        <v>604</v>
      </c>
      <c r="JH20" s="18">
        <v>0.19695361423139099</v>
      </c>
      <c r="JJ20" s="336" t="s">
        <v>604</v>
      </c>
      <c r="JK20" s="18">
        <v>0.157230308866532</v>
      </c>
      <c r="JM20" s="336" t="s">
        <v>604</v>
      </c>
      <c r="JN20" s="18">
        <v>0.79413752294812201</v>
      </c>
      <c r="JO20" s="18">
        <f t="shared" si="46"/>
        <v>0.20586247705187799</v>
      </c>
      <c r="JP20" s="336" t="s">
        <v>604</v>
      </c>
      <c r="JQ20" s="18">
        <v>0.673082614690381</v>
      </c>
      <c r="JT20" s="336" t="s">
        <v>604</v>
      </c>
      <c r="JU20" s="18">
        <v>0.30878736467243101</v>
      </c>
      <c r="JW20" s="336" t="s">
        <v>604</v>
      </c>
      <c r="JX20" s="18">
        <v>0.22748157795488699</v>
      </c>
      <c r="JZ20" s="336" t="s">
        <v>604</v>
      </c>
      <c r="KA20" s="18">
        <v>0.63102400439150796</v>
      </c>
      <c r="KC20" s="336" t="s">
        <v>604</v>
      </c>
      <c r="KD20" s="18">
        <v>0.64455929134841505</v>
      </c>
      <c r="KE20" s="68" t="s">
        <v>536</v>
      </c>
      <c r="KF20" s="347">
        <v>2.4799999999999999E-2</v>
      </c>
      <c r="KG20" s="347">
        <v>2.1999999999999999E-2</v>
      </c>
      <c r="KH20" s="347">
        <f t="shared" si="47"/>
        <v>2.3399999999999997E-2</v>
      </c>
      <c r="KI20" s="348">
        <v>1.7899999999999999E-2</v>
      </c>
      <c r="KJ20" s="348">
        <v>3.2099999999999997E-2</v>
      </c>
      <c r="KK20" s="348">
        <f t="shared" si="48"/>
        <v>2.4999999999999998E-2</v>
      </c>
      <c r="KL20" s="347">
        <f t="shared" si="49"/>
        <v>1.6000000000000007E-3</v>
      </c>
      <c r="KM20" s="347">
        <f t="shared" si="50"/>
        <v>1.0683760683760684</v>
      </c>
      <c r="KN20" s="354">
        <f t="shared" si="64"/>
        <v>4.9463760683760682</v>
      </c>
      <c r="KO20" s="18">
        <f t="shared" si="51"/>
        <v>0.69428713228643613</v>
      </c>
      <c r="KP20" s="18">
        <v>0.69428713228643613</v>
      </c>
      <c r="KQ20" s="340">
        <v>14.5</v>
      </c>
      <c r="KR20" s="18">
        <v>0.35599999840000002</v>
      </c>
      <c r="KS20" s="18">
        <v>0.3066666726666667</v>
      </c>
      <c r="KT20" s="18">
        <v>0.30666666766666667</v>
      </c>
      <c r="KU20" s="18">
        <v>0.18333333366666668</v>
      </c>
      <c r="KV20" s="18">
        <v>0.33000000666666662</v>
      </c>
      <c r="KW20" s="18">
        <v>0.15857143057142856</v>
      </c>
      <c r="KX20" s="18">
        <v>3.3333333333333331E-3</v>
      </c>
      <c r="KY20" s="18">
        <v>0.176666667</v>
      </c>
      <c r="KZ20" s="18">
        <v>0.46333332566666663</v>
      </c>
      <c r="LA20" s="18">
        <v>0.57999998333333336</v>
      </c>
      <c r="LB20" s="18">
        <v>0.51000001033333331</v>
      </c>
      <c r="LC20" s="358" t="s">
        <v>640</v>
      </c>
      <c r="LD20" s="358">
        <v>14.5</v>
      </c>
      <c r="LE20" s="358">
        <v>10</v>
      </c>
      <c r="LF20" s="358">
        <v>3.5</v>
      </c>
      <c r="LG20" s="358">
        <v>14.5</v>
      </c>
      <c r="LH20" s="358">
        <v>5</v>
      </c>
      <c r="LI20" s="358">
        <v>10.5</v>
      </c>
      <c r="LJ20" s="144">
        <v>0.83999997377400004</v>
      </c>
      <c r="LK20" s="158" t="s">
        <v>536</v>
      </c>
      <c r="LL20" s="68">
        <v>0.50939999999999996</v>
      </c>
      <c r="LM20" s="5">
        <v>0.5141</v>
      </c>
      <c r="LN20" s="5">
        <f t="shared" si="52"/>
        <v>0.51174999999999993</v>
      </c>
      <c r="LO20" s="5">
        <v>0.57140000000000002</v>
      </c>
      <c r="LP20" s="5">
        <v>0.57340000000000002</v>
      </c>
      <c r="LQ20" s="80">
        <f t="shared" si="53"/>
        <v>0.57240000000000002</v>
      </c>
      <c r="LR20" s="77">
        <f t="shared" si="54"/>
        <v>-6.0650000000000093E-2</v>
      </c>
      <c r="LS20" s="68">
        <v>6.9946000000000002</v>
      </c>
      <c r="LT20" s="5">
        <v>6.6611000000000002</v>
      </c>
      <c r="LU20" s="5">
        <f t="shared" si="55"/>
        <v>6.8278499999999998</v>
      </c>
      <c r="LV20" s="5">
        <v>17.649999999999999</v>
      </c>
      <c r="LW20" s="5">
        <v>14.700200000000001</v>
      </c>
      <c r="LX20" s="80">
        <f t="shared" si="56"/>
        <v>16.1751</v>
      </c>
      <c r="LY20" s="77">
        <f t="shared" si="57"/>
        <v>-9.3472500000000007</v>
      </c>
      <c r="LZ20" s="68">
        <v>1.0385</v>
      </c>
      <c r="MA20" s="5">
        <v>1.0306999999999999</v>
      </c>
      <c r="MB20" s="5">
        <f>AVERAGE(LZ20:MA20)</f>
        <v>1.0346</v>
      </c>
      <c r="MC20" s="5">
        <v>0.9294</v>
      </c>
      <c r="MD20" s="5">
        <v>0.94899999999999995</v>
      </c>
      <c r="ME20" s="80">
        <f>AVERAGE(MC20:MD20)</f>
        <v>0.93920000000000003</v>
      </c>
      <c r="MF20" s="77">
        <f t="shared" si="58"/>
        <v>9.5399999999999929E-2</v>
      </c>
      <c r="MG20" s="68">
        <v>0.34010000000000001</v>
      </c>
      <c r="MH20" s="5">
        <v>0.36530000000000001</v>
      </c>
      <c r="MI20" s="5">
        <f>AVERAGE(MG20:MH20)</f>
        <v>0.35270000000000001</v>
      </c>
      <c r="MJ20" s="5">
        <v>0.50249999999999995</v>
      </c>
      <c r="MK20" s="5">
        <v>0.51190000000000002</v>
      </c>
      <c r="ML20" s="80">
        <f>AVERAGE(MJ20:MK20)</f>
        <v>0.50719999999999998</v>
      </c>
      <c r="MM20" s="77">
        <f t="shared" si="59"/>
        <v>-0.15449999999999997</v>
      </c>
      <c r="MO20" s="5">
        <v>-7.1444880209999999</v>
      </c>
      <c r="MP20" s="5">
        <v>1.0504301069999999</v>
      </c>
      <c r="MQ20" s="5">
        <v>0.49872189989999999</v>
      </c>
      <c r="MR20" s="5">
        <v>1.466247241</v>
      </c>
      <c r="MS20" s="292">
        <v>1.211425822</v>
      </c>
      <c r="MT20" s="18">
        <v>-4.1567060470000001</v>
      </c>
      <c r="MU20" s="18">
        <v>0.92444985769999999</v>
      </c>
      <c r="MV20" s="18">
        <v>1.1726799939999999</v>
      </c>
      <c r="MW20" s="18">
        <v>1.0329022210000001</v>
      </c>
    </row>
    <row r="21" spans="1:361" s="18" customFormat="1" ht="16" x14ac:dyDescent="0.2">
      <c r="A21" s="3" t="s">
        <v>18</v>
      </c>
      <c r="B21" s="5">
        <v>0</v>
      </c>
      <c r="C21" s="5">
        <v>8</v>
      </c>
      <c r="D21" s="5">
        <v>27</v>
      </c>
      <c r="E21" s="5">
        <v>18</v>
      </c>
      <c r="F21" s="5">
        <v>41</v>
      </c>
      <c r="G21" s="18">
        <v>33</v>
      </c>
      <c r="H21" s="24">
        <v>88</v>
      </c>
      <c r="I21" s="5">
        <v>15</v>
      </c>
      <c r="J21" s="5">
        <v>104</v>
      </c>
      <c r="K21" s="5">
        <v>127</v>
      </c>
      <c r="L21" s="5">
        <v>106</v>
      </c>
      <c r="M21" s="5">
        <v>58</v>
      </c>
      <c r="N21" s="5">
        <v>89</v>
      </c>
      <c r="O21" s="5">
        <v>13</v>
      </c>
      <c r="P21" s="5">
        <v>-8</v>
      </c>
      <c r="Q21" s="5">
        <v>3</v>
      </c>
      <c r="R21" s="5">
        <v>-12</v>
      </c>
      <c r="S21" s="5">
        <v>9</v>
      </c>
      <c r="T21" s="18">
        <v>4</v>
      </c>
      <c r="U21" s="5">
        <v>12</v>
      </c>
      <c r="V21" s="5">
        <v>10</v>
      </c>
      <c r="W21" s="5">
        <v>5</v>
      </c>
      <c r="X21" s="5">
        <v>-7</v>
      </c>
      <c r="Y21" s="5">
        <v>8</v>
      </c>
      <c r="Z21" s="92">
        <v>5.7188526315789792E-3</v>
      </c>
      <c r="AA21" s="88">
        <v>18.5</v>
      </c>
      <c r="AB21" s="68">
        <v>107</v>
      </c>
      <c r="AC21" s="5">
        <v>97</v>
      </c>
      <c r="AD21" s="5">
        <v>118</v>
      </c>
      <c r="AE21" s="80">
        <v>107</v>
      </c>
      <c r="AF21" s="179">
        <v>-8</v>
      </c>
      <c r="AG21" s="154">
        <v>1</v>
      </c>
      <c r="AH21" s="154">
        <v>-4</v>
      </c>
      <c r="AI21" s="154">
        <v>-3</v>
      </c>
      <c r="AJ21" s="68">
        <v>99</v>
      </c>
      <c r="AK21" s="5">
        <v>98</v>
      </c>
      <c r="AL21" s="5">
        <v>114</v>
      </c>
      <c r="AM21" s="80">
        <v>104</v>
      </c>
      <c r="AN21" s="68">
        <v>107</v>
      </c>
      <c r="AO21" s="5">
        <v>97</v>
      </c>
      <c r="AP21" s="5">
        <v>118</v>
      </c>
      <c r="AQ21" s="80">
        <v>107</v>
      </c>
      <c r="AR21" s="68">
        <v>99</v>
      </c>
      <c r="AS21" s="5">
        <v>98</v>
      </c>
      <c r="AT21" s="5">
        <v>114</v>
      </c>
      <c r="AU21" s="80">
        <v>104</v>
      </c>
      <c r="AV21" s="179">
        <f t="shared" si="11"/>
        <v>8</v>
      </c>
      <c r="AW21" s="179">
        <f t="shared" si="65"/>
        <v>-1</v>
      </c>
      <c r="AX21" s="179">
        <f t="shared" si="66"/>
        <v>4</v>
      </c>
      <c r="AY21" s="179">
        <f t="shared" si="67"/>
        <v>3</v>
      </c>
      <c r="AZ21" s="9">
        <v>1.1028037383177569</v>
      </c>
      <c r="BA21" s="77">
        <v>-4.8711413197394693E-2</v>
      </c>
      <c r="BB21" s="18">
        <v>0.90654205607476634</v>
      </c>
      <c r="BC21" s="77">
        <v>-8.33569338242236E-2</v>
      </c>
      <c r="BD21" s="154">
        <v>1</v>
      </c>
      <c r="BE21" s="144">
        <v>0.94</v>
      </c>
      <c r="BF21" s="5">
        <v>3</v>
      </c>
      <c r="BG21" s="5">
        <v>-8</v>
      </c>
      <c r="BK21" s="18" t="s">
        <v>18</v>
      </c>
      <c r="BL21" s="18">
        <v>-1</v>
      </c>
      <c r="BM21" s="18">
        <v>-2</v>
      </c>
      <c r="BN21" s="18">
        <v>-1</v>
      </c>
      <c r="BO21" s="18" t="s">
        <v>464</v>
      </c>
      <c r="BP21" s="18">
        <v>-2</v>
      </c>
      <c r="BQ21" s="138" t="s">
        <v>492</v>
      </c>
      <c r="BR21" s="138">
        <v>-9.5479527085217599E-27</v>
      </c>
      <c r="BS21" s="138" t="s">
        <v>493</v>
      </c>
      <c r="BT21" s="138">
        <v>-6.1842943333621997E-27</v>
      </c>
      <c r="BU21" s="138">
        <f t="shared" si="12"/>
        <v>-7.8661235209419795E-27</v>
      </c>
      <c r="BW21" s="18">
        <v>0.98</v>
      </c>
      <c r="BX21" s="18">
        <v>0</v>
      </c>
      <c r="BY21" s="18">
        <f t="shared" si="13"/>
        <v>0.98</v>
      </c>
      <c r="BZ21" s="3">
        <v>0.37200000000000005</v>
      </c>
      <c r="CA21" s="18">
        <v>0.25666666666666665</v>
      </c>
      <c r="CB21" s="18">
        <v>0.35000000000000003</v>
      </c>
      <c r="CC21" s="18">
        <v>0.30333333333333329</v>
      </c>
      <c r="CD21" s="18">
        <v>0.46666666666666662</v>
      </c>
      <c r="CE21" s="18">
        <v>0.48999999999999994</v>
      </c>
      <c r="CF21" s="18">
        <v>0.22166666666666668</v>
      </c>
      <c r="CG21" s="18">
        <v>0.96333333333333337</v>
      </c>
      <c r="CH21" s="18">
        <v>1</v>
      </c>
      <c r="CI21" s="18">
        <v>1</v>
      </c>
      <c r="CJ21" s="18">
        <v>0.92666666666666664</v>
      </c>
      <c r="CK21" s="296" t="s">
        <v>537</v>
      </c>
      <c r="CL21" s="18">
        <v>2.4828542040000001</v>
      </c>
      <c r="CM21" s="18">
        <v>-4.8432809280000004</v>
      </c>
      <c r="CN21" s="18">
        <v>-0.39722959629999999</v>
      </c>
      <c r="CO21" s="18">
        <v>-0.29031800009999997</v>
      </c>
      <c r="CP21" s="18">
        <v>-0.25623491679999999</v>
      </c>
      <c r="CQ21" s="18">
        <v>-0.82528387999999997</v>
      </c>
      <c r="CR21" s="18">
        <v>-0.2251880869</v>
      </c>
      <c r="CS21" s="18">
        <v>-0.1112616293</v>
      </c>
      <c r="CT21" s="18">
        <v>-0.54346753859999997</v>
      </c>
      <c r="CZ21" s="296" t="s">
        <v>537</v>
      </c>
      <c r="DA21" s="68">
        <v>11.66663857</v>
      </c>
      <c r="DB21" s="5">
        <v>14.43422086</v>
      </c>
      <c r="DC21" s="5">
        <v>16.559401170000001</v>
      </c>
      <c r="DD21" s="80">
        <f>AVERAGE(DA21,DC21)</f>
        <v>14.11301987</v>
      </c>
      <c r="DE21" s="68">
        <v>9.4100835669999991</v>
      </c>
      <c r="DF21" s="5">
        <v>9.8063255609999995</v>
      </c>
      <c r="DG21" s="5">
        <v>9.5482687310000003</v>
      </c>
      <c r="DH21" s="80">
        <f>AVERAGE(DE21,DG21)</f>
        <v>9.4791761490000006</v>
      </c>
      <c r="DI21" s="151">
        <f t="shared" si="68"/>
        <v>-2.2565550030000008</v>
      </c>
      <c r="DJ21" s="24">
        <f t="shared" si="68"/>
        <v>-4.6278952990000004</v>
      </c>
      <c r="DK21" s="294">
        <f t="shared" si="68"/>
        <v>-7.0111324390000007</v>
      </c>
      <c r="DL21" s="244">
        <f t="shared" si="68"/>
        <v>-4.6338437209999999</v>
      </c>
      <c r="DM21" s="297" t="s">
        <v>537</v>
      </c>
      <c r="DN21" s="68">
        <v>4.3731607950000004</v>
      </c>
      <c r="DO21" s="5">
        <v>4.5552137779999997</v>
      </c>
      <c r="DP21" s="5">
        <v>4.851935675</v>
      </c>
      <c r="DQ21" s="3">
        <f>AVERAGE(DN21,DP21)</f>
        <v>4.6125482350000002</v>
      </c>
      <c r="DR21" s="68">
        <v>4.9944964030000003</v>
      </c>
      <c r="DS21" s="5">
        <v>4.4875176760000004</v>
      </c>
      <c r="DT21" s="5">
        <v>5.7322021559999996</v>
      </c>
      <c r="DU21" s="3">
        <f>AVERAGE(DR21,DT21)</f>
        <v>5.3633492794999995</v>
      </c>
      <c r="DV21" s="24">
        <f t="shared" si="69"/>
        <v>0.62133560799999987</v>
      </c>
      <c r="DW21" s="24">
        <f t="shared" si="69"/>
        <v>-6.7696101999999314E-2</v>
      </c>
      <c r="DX21" s="24">
        <f t="shared" si="69"/>
        <v>0.8802664809999996</v>
      </c>
      <c r="DY21" s="188">
        <f t="shared" si="69"/>
        <v>0.75080104449999929</v>
      </c>
      <c r="DZ21" s="297" t="s">
        <v>537</v>
      </c>
      <c r="EA21" s="18">
        <v>26.215618509999999</v>
      </c>
      <c r="EB21" s="18">
        <v>33.648569680000001</v>
      </c>
      <c r="EC21" s="18">
        <v>7.6932284849999997</v>
      </c>
      <c r="ED21" s="3">
        <f>AVERAGE(EA21,EC21)</f>
        <v>16.954423497499999</v>
      </c>
      <c r="EE21" s="18">
        <v>5.6682492299999998</v>
      </c>
      <c r="EF21" s="18">
        <v>5.4094926149999996</v>
      </c>
      <c r="EG21" s="18">
        <v>5.6699870130000001</v>
      </c>
      <c r="EH21" s="3">
        <f>AVERAGE(EE21,EG21)</f>
        <v>5.6691181215000004</v>
      </c>
      <c r="EI21" s="24">
        <f t="shared" si="70"/>
        <v>-20.547369279999998</v>
      </c>
      <c r="EJ21" s="24">
        <f t="shared" si="70"/>
        <v>-28.239077065000004</v>
      </c>
      <c r="EK21" s="24">
        <f t="shared" si="70"/>
        <v>-2.0232414719999996</v>
      </c>
      <c r="EL21" s="188">
        <f t="shared" si="70"/>
        <v>-11.285305375999998</v>
      </c>
      <c r="EM21" s="297" t="s">
        <v>537</v>
      </c>
      <c r="EN21" s="151" t="s">
        <v>492</v>
      </c>
      <c r="EO21" s="244">
        <v>19.182420940002299</v>
      </c>
      <c r="EP21" s="151" t="s">
        <v>493</v>
      </c>
      <c r="EQ21" s="244">
        <v>21.0115488131744</v>
      </c>
      <c r="ER21" s="244">
        <f t="shared" si="14"/>
        <v>20.096984876588351</v>
      </c>
      <c r="ES21" s="18">
        <v>3</v>
      </c>
      <c r="ET21" s="18">
        <v>15</v>
      </c>
      <c r="EU21" s="18">
        <v>17</v>
      </c>
      <c r="EV21" s="18">
        <v>0</v>
      </c>
      <c r="EW21" s="18">
        <v>4</v>
      </c>
      <c r="EX21" s="18">
        <v>1</v>
      </c>
      <c r="EY21" s="18">
        <v>40</v>
      </c>
      <c r="EZ21" s="5">
        <v>-4.8432809280000004</v>
      </c>
      <c r="FA21" s="18">
        <v>-29.784019266137442</v>
      </c>
      <c r="FB21" s="310">
        <v>19</v>
      </c>
      <c r="FC21" s="5">
        <v>18</v>
      </c>
      <c r="FD21" s="18">
        <v>33</v>
      </c>
      <c r="FE21" s="340">
        <v>18.5</v>
      </c>
      <c r="FF21" s="18">
        <v>0.37200000000000005</v>
      </c>
      <c r="FG21" s="18">
        <v>0.25666666666666665</v>
      </c>
      <c r="FH21" s="18">
        <v>0.31333333353200005</v>
      </c>
      <c r="FI21" s="18">
        <v>0.30333333333333329</v>
      </c>
      <c r="FJ21" s="18">
        <v>0.46666666666666662</v>
      </c>
      <c r="FK21" s="18">
        <v>0.48999999999999994</v>
      </c>
      <c r="FL21" s="18">
        <v>0.22166666666666668</v>
      </c>
      <c r="FM21" s="18">
        <v>0.96333333333333337</v>
      </c>
      <c r="FN21" s="18">
        <v>1</v>
      </c>
      <c r="FO21" s="18">
        <v>1</v>
      </c>
      <c r="FP21" s="18">
        <v>0.92666666666666664</v>
      </c>
      <c r="FQ21" s="322">
        <v>3</v>
      </c>
      <c r="FR21" s="5">
        <v>12</v>
      </c>
      <c r="FS21" s="5">
        <v>8</v>
      </c>
      <c r="FT21" s="259">
        <v>0.37200000000000005</v>
      </c>
      <c r="FU21" s="72">
        <v>0.25666666666666665</v>
      </c>
      <c r="FV21" s="260">
        <v>0.35000000000000003</v>
      </c>
      <c r="FW21" s="261">
        <v>0.30333333333333329</v>
      </c>
      <c r="FX21" s="154">
        <v>0.46666666666666662</v>
      </c>
      <c r="FY21" s="262">
        <v>0.48999999999999994</v>
      </c>
      <c r="FZ21" s="263">
        <v>0.22166666666666668</v>
      </c>
      <c r="GA21" s="264">
        <v>0.96333333333333337</v>
      </c>
      <c r="GB21" s="265">
        <v>1</v>
      </c>
      <c r="GC21" s="266">
        <v>1</v>
      </c>
      <c r="GD21" s="267">
        <v>0.92666666666666664</v>
      </c>
      <c r="GE21" s="5">
        <v>-4.8432809280000004</v>
      </c>
      <c r="GF21" s="18">
        <v>3</v>
      </c>
      <c r="GG21" s="18">
        <v>15</v>
      </c>
      <c r="GH21" s="18">
        <v>17</v>
      </c>
      <c r="GI21" s="18">
        <v>0</v>
      </c>
      <c r="GJ21" s="18">
        <v>4</v>
      </c>
      <c r="GK21" s="18">
        <v>1</v>
      </c>
      <c r="GL21" s="18">
        <v>40</v>
      </c>
      <c r="GN21" s="5">
        <v>104</v>
      </c>
      <c r="GO21" s="5">
        <v>127</v>
      </c>
      <c r="GP21" s="5">
        <v>106</v>
      </c>
      <c r="GQ21" s="5">
        <v>58</v>
      </c>
      <c r="GR21" s="5">
        <v>89</v>
      </c>
      <c r="GS21" s="144">
        <v>0.94</v>
      </c>
      <c r="GT21" s="18">
        <v>96.25</v>
      </c>
      <c r="GU21" s="18">
        <v>78.217299999999994</v>
      </c>
      <c r="GV21" s="3">
        <f t="shared" si="15"/>
        <v>18.032700000000006</v>
      </c>
      <c r="GW21" s="5">
        <f t="shared" si="16"/>
        <v>1.2305461835169458</v>
      </c>
      <c r="GX21" s="18">
        <f t="shared" si="17"/>
        <v>9.0097917811414893E-2</v>
      </c>
      <c r="GY21" s="18">
        <v>74.531999999999996</v>
      </c>
      <c r="GZ21" s="18">
        <v>75.663300000000007</v>
      </c>
      <c r="HA21" s="3">
        <f t="shared" si="18"/>
        <v>-1.1313000000000102</v>
      </c>
      <c r="HB21" s="18">
        <f t="shared" si="19"/>
        <v>0.98504823342360148</v>
      </c>
      <c r="HC21" s="18">
        <v>84.143199999999993</v>
      </c>
      <c r="HD21" s="18">
        <v>84.613799999999998</v>
      </c>
      <c r="HE21" s="3">
        <f t="shared" si="20"/>
        <v>-0.47060000000000457</v>
      </c>
      <c r="HF21" s="18">
        <f>HC21/HD21</f>
        <v>0.99443825948013198</v>
      </c>
      <c r="HG21" s="18">
        <v>48.055500000000002</v>
      </c>
      <c r="HH21" s="18">
        <v>53.511800000000001</v>
      </c>
      <c r="HI21" s="3">
        <f t="shared" si="22"/>
        <v>-5.4562999999999988</v>
      </c>
      <c r="HJ21" s="18">
        <f t="shared" si="23"/>
        <v>0.89803557346230178</v>
      </c>
      <c r="HK21" s="5">
        <v>136.88200000000001</v>
      </c>
      <c r="HL21" s="5">
        <v>92.906000000000006</v>
      </c>
      <c r="HM21" s="3">
        <f t="shared" si="24"/>
        <v>43.975999999999999</v>
      </c>
      <c r="HN21" s="5">
        <f t="shared" si="60"/>
        <v>1.4733386433599551</v>
      </c>
      <c r="HO21" s="18">
        <v>64.930300000000003</v>
      </c>
      <c r="HP21" s="18">
        <v>59.137300000000003</v>
      </c>
      <c r="HQ21" s="3">
        <f t="shared" si="25"/>
        <v>5.7929999999999993</v>
      </c>
      <c r="HR21" s="18">
        <f t="shared" si="26"/>
        <v>1.0979584796735731</v>
      </c>
      <c r="HS21" s="18">
        <v>66.112300000000005</v>
      </c>
      <c r="HT21" s="18">
        <v>56.940800000000003</v>
      </c>
      <c r="HU21" s="3">
        <f t="shared" si="27"/>
        <v>9.1715000000000018</v>
      </c>
      <c r="HV21" s="18">
        <f t="shared" si="28"/>
        <v>1.1610707963358435</v>
      </c>
      <c r="HW21" s="18">
        <v>58.527500000000003</v>
      </c>
      <c r="HX21" s="18">
        <v>53.664200000000001</v>
      </c>
      <c r="HY21" s="3">
        <f t="shared" si="29"/>
        <v>4.8633000000000024</v>
      </c>
      <c r="HZ21" s="18">
        <f t="shared" si="30"/>
        <v>1.090624662251557</v>
      </c>
      <c r="IA21" s="18">
        <v>47.276699999999998</v>
      </c>
      <c r="IB21" s="18">
        <v>44.889800000000001</v>
      </c>
      <c r="IC21" s="3">
        <f t="shared" si="31"/>
        <v>2.3868999999999971</v>
      </c>
      <c r="ID21" s="18">
        <f t="shared" si="32"/>
        <v>1.0531724356089802</v>
      </c>
      <c r="IE21" s="18">
        <v>42.258400000000002</v>
      </c>
      <c r="IF21" s="18">
        <v>46.477499999999999</v>
      </c>
      <c r="IG21" s="3">
        <f t="shared" si="33"/>
        <v>-4.2190999999999974</v>
      </c>
      <c r="IH21" s="18">
        <f t="shared" si="34"/>
        <v>0.90922274218707977</v>
      </c>
      <c r="II21" s="18">
        <v>66.638199999999998</v>
      </c>
      <c r="IJ21" s="18">
        <v>54.582000000000001</v>
      </c>
      <c r="IK21" s="3">
        <f t="shared" si="35"/>
        <v>12.056199999999997</v>
      </c>
      <c r="IL21" s="18">
        <f t="shared" si="36"/>
        <v>1.2208823421640833</v>
      </c>
      <c r="IM21" s="18">
        <v>93.421300000000002</v>
      </c>
      <c r="IN21" s="18">
        <v>68.029300000000006</v>
      </c>
      <c r="IO21" s="3">
        <f t="shared" si="37"/>
        <v>25.391999999999996</v>
      </c>
      <c r="IP21" s="18">
        <f t="shared" si="38"/>
        <v>1.3732509374637103</v>
      </c>
      <c r="IQ21" s="18">
        <v>47.841500000000003</v>
      </c>
      <c r="IR21" s="18">
        <v>53.352499999999999</v>
      </c>
      <c r="IS21" s="3">
        <f t="shared" si="39"/>
        <v>-5.5109999999999957</v>
      </c>
      <c r="IT21" s="18">
        <f t="shared" si="40"/>
        <v>0.8967058713274918</v>
      </c>
      <c r="IU21" s="18">
        <v>60.413499999999999</v>
      </c>
      <c r="IV21" s="18">
        <v>49.149900000000002</v>
      </c>
      <c r="IW21" s="3">
        <f t="shared" si="41"/>
        <v>11.263599999999997</v>
      </c>
      <c r="IX21" s="18">
        <f t="shared" si="42"/>
        <v>1.2291683197727767</v>
      </c>
      <c r="IY21" s="18">
        <v>67.734700000000004</v>
      </c>
      <c r="IZ21" s="18">
        <v>54.532299999999999</v>
      </c>
      <c r="JA21" s="3">
        <f t="shared" si="43"/>
        <v>13.202400000000004</v>
      </c>
      <c r="JB21" s="18">
        <f t="shared" si="44"/>
        <v>1.2421023870256711</v>
      </c>
      <c r="JC21" s="18">
        <f>LOG(HN21)</f>
        <v>0.16830257986321107</v>
      </c>
      <c r="JD21" s="18">
        <v>20.096984876588351</v>
      </c>
      <c r="JE21" s="18">
        <f t="shared" si="45"/>
        <v>0.2009698487658835</v>
      </c>
      <c r="JG21" s="336" t="s">
        <v>605</v>
      </c>
      <c r="JH21" s="18">
        <v>0.44796232515779399</v>
      </c>
      <c r="JJ21" s="336" t="s">
        <v>605</v>
      </c>
      <c r="JK21" s="18">
        <v>0.28631265039656201</v>
      </c>
      <c r="JM21" s="336" t="s">
        <v>605</v>
      </c>
      <c r="JN21" s="18">
        <v>0.176825948678836</v>
      </c>
      <c r="JO21" s="18">
        <f t="shared" si="46"/>
        <v>0.82317405132116406</v>
      </c>
      <c r="JP21" s="336" t="s">
        <v>605</v>
      </c>
      <c r="JQ21" s="18">
        <v>0.60241614212663896</v>
      </c>
      <c r="JT21" s="336" t="s">
        <v>605</v>
      </c>
      <c r="JU21" s="18">
        <v>0.43533691058215102</v>
      </c>
      <c r="JW21" s="336" t="s">
        <v>605</v>
      </c>
      <c r="JX21" s="18">
        <v>0.33849860050182201</v>
      </c>
      <c r="JZ21" s="336" t="s">
        <v>605</v>
      </c>
      <c r="KA21" s="18">
        <v>0.199369558979761</v>
      </c>
      <c r="KC21" s="336" t="s">
        <v>605</v>
      </c>
      <c r="KD21" s="18">
        <v>0.47804415016652202</v>
      </c>
      <c r="KE21" s="68" t="s">
        <v>537</v>
      </c>
      <c r="KF21" s="347">
        <v>3.04E-2</v>
      </c>
      <c r="KG21" s="347">
        <v>4.2599999999999999E-2</v>
      </c>
      <c r="KH21" s="347">
        <f t="shared" si="47"/>
        <v>3.6499999999999998E-2</v>
      </c>
      <c r="KI21" s="348">
        <v>9.0300000000000005E-2</v>
      </c>
      <c r="KJ21" s="348">
        <v>5.9799999999999999E-2</v>
      </c>
      <c r="KK21" s="348">
        <f t="shared" si="48"/>
        <v>7.5050000000000006E-2</v>
      </c>
      <c r="KL21" s="347">
        <f t="shared" si="49"/>
        <v>3.8550000000000008E-2</v>
      </c>
      <c r="KM21" s="347">
        <f t="shared" si="50"/>
        <v>2.0561643835616441</v>
      </c>
      <c r="KN21" s="354">
        <f t="shared" si="64"/>
        <v>5.9341643835616438</v>
      </c>
      <c r="KO21" s="18">
        <f t="shared" si="51"/>
        <v>0.77335957263214106</v>
      </c>
      <c r="KP21" s="18">
        <v>0.77335957263214106</v>
      </c>
      <c r="KQ21" s="340">
        <v>18.5</v>
      </c>
      <c r="KR21" s="18">
        <v>0.37200000000000005</v>
      </c>
      <c r="KS21" s="18">
        <v>0.25666666666666665</v>
      </c>
      <c r="KT21" s="18">
        <v>0.31333333353200005</v>
      </c>
      <c r="KU21" s="18">
        <v>0.30333333333333329</v>
      </c>
      <c r="KV21" s="18">
        <v>0.46666666666666662</v>
      </c>
      <c r="KW21" s="18">
        <v>0.48999999999999994</v>
      </c>
      <c r="KX21" s="18">
        <v>0.22166666666666668</v>
      </c>
      <c r="KY21" s="18">
        <v>0.96333333333333337</v>
      </c>
      <c r="KZ21" s="18">
        <v>1</v>
      </c>
      <c r="LA21" s="18">
        <v>1</v>
      </c>
      <c r="LB21" s="18">
        <v>0.92666666666666664</v>
      </c>
      <c r="LC21" s="358" t="s">
        <v>641</v>
      </c>
      <c r="LD21" s="358">
        <v>18.5</v>
      </c>
      <c r="LE21" s="358">
        <v>18.5</v>
      </c>
      <c r="LF21" s="358">
        <v>18.5</v>
      </c>
      <c r="LG21" s="358">
        <v>17.5</v>
      </c>
      <c r="LH21" s="358">
        <v>16.5</v>
      </c>
      <c r="LI21" s="358">
        <v>16.5</v>
      </c>
      <c r="LJ21" s="144">
        <v>0.94</v>
      </c>
      <c r="LK21" s="158" t="s">
        <v>537</v>
      </c>
      <c r="LL21" s="68">
        <v>0.47389999999999999</v>
      </c>
      <c r="LM21" s="5">
        <v>0.47939999999999999</v>
      </c>
      <c r="LN21" s="5">
        <f t="shared" si="52"/>
        <v>0.47665000000000002</v>
      </c>
      <c r="LO21" s="5">
        <v>0.53090000000000004</v>
      </c>
      <c r="LP21" s="5">
        <v>0.52629999999999999</v>
      </c>
      <c r="LQ21" s="80">
        <f t="shared" si="53"/>
        <v>0.52859999999999996</v>
      </c>
      <c r="LR21" s="77">
        <f t="shared" si="54"/>
        <v>-5.1949999999999941E-2</v>
      </c>
      <c r="LS21" s="68">
        <v>7.5693999999999999</v>
      </c>
      <c r="LT21" s="5">
        <v>9.0744000000000007</v>
      </c>
      <c r="LU21" s="5">
        <f t="shared" si="55"/>
        <v>8.3218999999999994</v>
      </c>
      <c r="LV21" s="5">
        <v>14.7941</v>
      </c>
      <c r="LW21" s="5">
        <v>14.2841</v>
      </c>
      <c r="LX21" s="80">
        <f t="shared" si="56"/>
        <v>14.539100000000001</v>
      </c>
      <c r="LY21" s="77">
        <f t="shared" si="57"/>
        <v>-6.2172000000000018</v>
      </c>
      <c r="LZ21" s="68">
        <v>1.06</v>
      </c>
      <c r="MA21" s="5">
        <v>1.0311999999999999</v>
      </c>
      <c r="MB21" s="5">
        <f>AVERAGE(LZ21:MA21)</f>
        <v>1.0455999999999999</v>
      </c>
      <c r="MC21" s="5">
        <v>0.94730000000000003</v>
      </c>
      <c r="MD21" s="5">
        <v>0.9597</v>
      </c>
      <c r="ME21" s="80">
        <f>AVERAGE(MC21:MD21)</f>
        <v>0.95350000000000001</v>
      </c>
      <c r="MF21" s="77">
        <f t="shared" si="58"/>
        <v>9.2099999999999849E-2</v>
      </c>
      <c r="MG21" s="68">
        <v>0.23980000000000001</v>
      </c>
      <c r="MH21" s="5">
        <v>0.28179999999999999</v>
      </c>
      <c r="MI21" s="5">
        <f>AVERAGE(MG21:MH21)</f>
        <v>0.26080000000000003</v>
      </c>
      <c r="MJ21" s="5">
        <v>0.37430000000000002</v>
      </c>
      <c r="MK21" s="5">
        <v>0.38840000000000002</v>
      </c>
      <c r="ML21" s="80">
        <f>AVERAGE(MJ21:MK21)</f>
        <v>0.38135000000000002</v>
      </c>
      <c r="MM21" s="77">
        <f t="shared" si="59"/>
        <v>-0.12054999999999999</v>
      </c>
      <c r="MO21" s="5">
        <v>-1.5982152970000001</v>
      </c>
      <c r="MP21" s="5">
        <v>1.8016283500000001</v>
      </c>
      <c r="MQ21" s="5">
        <v>-0.53966555849999998</v>
      </c>
      <c r="MR21" s="5">
        <v>1.579680585</v>
      </c>
      <c r="MS21" s="292">
        <v>1.3049201159999999</v>
      </c>
      <c r="MT21" s="18">
        <v>-4.8432809280000004</v>
      </c>
      <c r="MU21" s="18">
        <v>1.534404648</v>
      </c>
      <c r="MV21" s="18">
        <v>1.3942105890000001</v>
      </c>
      <c r="MW21" s="18">
        <v>1.4731535149999999</v>
      </c>
    </row>
    <row r="22" spans="1:361" s="18" customFormat="1" ht="17" thickBot="1" x14ac:dyDescent="0.25">
      <c r="A22" s="3" t="s">
        <v>19</v>
      </c>
      <c r="B22" s="5">
        <v>1</v>
      </c>
      <c r="C22" s="5">
        <v>5</v>
      </c>
      <c r="D22" s="5">
        <v>29</v>
      </c>
      <c r="E22" s="5">
        <v>65</v>
      </c>
      <c r="F22" s="5">
        <v>39</v>
      </c>
      <c r="G22" s="18">
        <v>41</v>
      </c>
      <c r="H22" s="24">
        <v>120</v>
      </c>
      <c r="I22" s="5">
        <v>17</v>
      </c>
      <c r="J22" s="5">
        <v>115</v>
      </c>
      <c r="K22" s="5">
        <v>148</v>
      </c>
      <c r="L22" s="5">
        <v>126</v>
      </c>
      <c r="M22" s="5">
        <v>53</v>
      </c>
      <c r="N22" s="5">
        <v>132</v>
      </c>
      <c r="O22" s="5">
        <v>3.5</v>
      </c>
      <c r="P22" s="5">
        <v>-5</v>
      </c>
      <c r="Q22" s="5">
        <v>3</v>
      </c>
      <c r="R22" s="5">
        <v>-14</v>
      </c>
      <c r="S22" s="5">
        <v>13</v>
      </c>
      <c r="T22" s="5">
        <v>8</v>
      </c>
      <c r="U22" s="5">
        <v>14</v>
      </c>
      <c r="V22" s="5">
        <v>-18</v>
      </c>
      <c r="W22" s="5">
        <v>-13</v>
      </c>
      <c r="X22" s="5">
        <v>11</v>
      </c>
      <c r="Y22" s="5">
        <v>5</v>
      </c>
      <c r="Z22" s="92">
        <v>-4.0302947368421001E-2</v>
      </c>
      <c r="AA22" s="88">
        <v>15.5</v>
      </c>
      <c r="AB22" s="68">
        <v>97</v>
      </c>
      <c r="AC22" s="5">
        <v>98</v>
      </c>
      <c r="AD22" s="5">
        <v>112</v>
      </c>
      <c r="AE22" s="80">
        <v>102</v>
      </c>
      <c r="AF22" s="179">
        <v>3</v>
      </c>
      <c r="AG22" s="154">
        <v>0</v>
      </c>
      <c r="AH22" s="154">
        <v>-4</v>
      </c>
      <c r="AI22" s="154">
        <v>0</v>
      </c>
      <c r="AJ22" s="68">
        <v>100</v>
      </c>
      <c r="AK22" s="5">
        <v>98</v>
      </c>
      <c r="AL22" s="5">
        <v>108</v>
      </c>
      <c r="AM22" s="80">
        <v>102</v>
      </c>
      <c r="AN22" s="68">
        <v>97</v>
      </c>
      <c r="AO22" s="5">
        <v>98</v>
      </c>
      <c r="AP22" s="5">
        <v>112</v>
      </c>
      <c r="AQ22" s="80">
        <v>102</v>
      </c>
      <c r="AR22" s="68">
        <v>100</v>
      </c>
      <c r="AS22" s="5">
        <v>98</v>
      </c>
      <c r="AT22" s="5">
        <v>108</v>
      </c>
      <c r="AU22" s="80">
        <v>102</v>
      </c>
      <c r="AV22" s="179">
        <f t="shared" si="11"/>
        <v>-3</v>
      </c>
      <c r="AW22" s="179">
        <f t="shared" si="65"/>
        <v>0</v>
      </c>
      <c r="AX22" s="179">
        <f t="shared" si="66"/>
        <v>4</v>
      </c>
      <c r="AY22" s="179">
        <f t="shared" si="67"/>
        <v>0</v>
      </c>
      <c r="AZ22" s="9">
        <v>1.1546391752577319</v>
      </c>
      <c r="BA22" s="77">
        <v>7.4639175257731782E-2</v>
      </c>
      <c r="BB22" s="18">
        <v>1.0103092783505154</v>
      </c>
      <c r="BC22" s="77">
        <v>3.0309278350515445E-2</v>
      </c>
      <c r="BD22" s="154">
        <v>0.88999998569500005</v>
      </c>
      <c r="BE22" s="144">
        <v>0.58999997377400004</v>
      </c>
      <c r="BF22" s="5">
        <v>3</v>
      </c>
      <c r="BG22" s="5">
        <v>-5</v>
      </c>
      <c r="BK22" s="18" t="s">
        <v>19</v>
      </c>
      <c r="BL22" s="18">
        <v>-5</v>
      </c>
      <c r="BM22" s="18">
        <v>-5</v>
      </c>
      <c r="BN22" s="18">
        <v>-8</v>
      </c>
      <c r="BO22" s="18">
        <v>-9</v>
      </c>
      <c r="BP22" s="18">
        <v>-22</v>
      </c>
      <c r="BQ22" s="138" t="s">
        <v>494</v>
      </c>
      <c r="BR22" s="138">
        <v>-2.4215087851312799E-27</v>
      </c>
      <c r="BS22" s="138" t="s">
        <v>495</v>
      </c>
      <c r="BT22" s="138">
        <v>-2.0138982010566E-27</v>
      </c>
      <c r="BU22" s="138">
        <f t="shared" si="12"/>
        <v>-2.2177034930939399E-27</v>
      </c>
      <c r="BW22" s="18">
        <v>0.56999999284699998</v>
      </c>
      <c r="BX22" s="18">
        <v>2.99999993294E-2</v>
      </c>
      <c r="BY22" s="18">
        <f t="shared" si="13"/>
        <v>0.53999999351759997</v>
      </c>
      <c r="BZ22" s="32">
        <v>0.48000000119199998</v>
      </c>
      <c r="CA22" s="18">
        <v>0.48666666944833326</v>
      </c>
      <c r="CB22" s="18">
        <v>0.58999999364199995</v>
      </c>
      <c r="CC22" s="18">
        <v>0.5466666718326666</v>
      </c>
      <c r="CD22" s="18">
        <v>0.41999999682100003</v>
      </c>
      <c r="CE22" s="18">
        <v>0.37857142756035428</v>
      </c>
      <c r="CF22" s="18">
        <v>9.8333332066699988E-2</v>
      </c>
      <c r="CG22" s="18">
        <v>0.52000000079499997</v>
      </c>
      <c r="CH22" s="18">
        <v>0.4133333315453333</v>
      </c>
      <c r="CI22" s="18">
        <v>0.91666668653466665</v>
      </c>
      <c r="CJ22" s="18">
        <v>0.68000000715266662</v>
      </c>
      <c r="CK22" s="302" t="s">
        <v>538</v>
      </c>
      <c r="CL22" s="5">
        <v>0.89118661769999996</v>
      </c>
      <c r="CM22" s="5">
        <v>-3.2443840150000001</v>
      </c>
      <c r="CN22" s="5">
        <v>-0.38145985230000001</v>
      </c>
      <c r="CO22" s="5">
        <v>3.9731007719999998E-4</v>
      </c>
      <c r="CP22" s="5">
        <v>4.3821065079999999E-2</v>
      </c>
      <c r="CQ22" s="5">
        <v>-4.1918429829999999E-2</v>
      </c>
      <c r="CR22" s="5">
        <v>-0.13935687499999999</v>
      </c>
      <c r="CS22" s="5">
        <v>-7.0307903290000001E-2</v>
      </c>
      <c r="CT22" s="5">
        <v>1.096258074E-2</v>
      </c>
      <c r="CZ22" s="302" t="s">
        <v>538</v>
      </c>
      <c r="DA22" s="68">
        <v>22.808162400000001</v>
      </c>
      <c r="DB22" s="5">
        <v>25.804270349999999</v>
      </c>
      <c r="DC22" s="5">
        <v>20.811243390000001</v>
      </c>
      <c r="DD22" s="80">
        <f>AVERAGE(DA22,DC22)</f>
        <v>21.809702895000001</v>
      </c>
      <c r="DE22" s="68">
        <v>17.320772080000001</v>
      </c>
      <c r="DF22" s="5">
        <v>16.922087179999998</v>
      </c>
      <c r="DG22" s="5">
        <v>19.782613550000001</v>
      </c>
      <c r="DH22" s="80">
        <f>AVERAGE(DE22,DG22)</f>
        <v>18.551692815000003</v>
      </c>
      <c r="DI22" s="151">
        <f t="shared" si="68"/>
        <v>-5.4873903199999994</v>
      </c>
      <c r="DJ22" s="24">
        <f t="shared" si="68"/>
        <v>-8.8821831700000011</v>
      </c>
      <c r="DK22" s="294">
        <f t="shared" si="68"/>
        <v>-1.0286298400000007</v>
      </c>
      <c r="DL22" s="244">
        <f t="shared" si="68"/>
        <v>-3.2580100799999983</v>
      </c>
      <c r="DM22" s="303" t="s">
        <v>538</v>
      </c>
      <c r="DN22" s="68">
        <v>13.8431844</v>
      </c>
      <c r="DO22" s="5">
        <v>10.518221179999999</v>
      </c>
      <c r="DP22" s="5">
        <v>11.63398183</v>
      </c>
      <c r="DQ22" s="3">
        <f>AVERAGE(DN22,DP22)</f>
        <v>12.738583115000001</v>
      </c>
      <c r="DR22" s="68">
        <v>11.40620103</v>
      </c>
      <c r="DS22" s="5">
        <v>7.7425146910000002</v>
      </c>
      <c r="DT22" s="5">
        <v>6.7082883190000002</v>
      </c>
      <c r="DU22" s="3">
        <f>AVERAGE(DR22,DT22)</f>
        <v>9.0572446744999997</v>
      </c>
      <c r="DV22" s="24">
        <f t="shared" si="69"/>
        <v>-2.4369833700000001</v>
      </c>
      <c r="DW22" s="24">
        <f t="shared" si="69"/>
        <v>-2.7757064889999992</v>
      </c>
      <c r="DX22" s="24">
        <f t="shared" si="69"/>
        <v>-4.9256935109999995</v>
      </c>
      <c r="DY22" s="188">
        <f t="shared" si="69"/>
        <v>-3.6813384405000011</v>
      </c>
      <c r="DZ22" s="303" t="s">
        <v>538</v>
      </c>
      <c r="EA22" s="5">
        <v>7.3308301079999998</v>
      </c>
      <c r="EB22" s="5">
        <v>7.2743262580000003</v>
      </c>
      <c r="EC22" s="5">
        <v>6.7980196490000004</v>
      </c>
      <c r="ED22" s="3">
        <f>AVERAGE(EA22,EC22)</f>
        <v>7.0644248785000006</v>
      </c>
      <c r="EE22" s="5">
        <v>7.9150840569999996</v>
      </c>
      <c r="EF22" s="5">
        <v>7.9987494000000003</v>
      </c>
      <c r="EG22" s="5">
        <v>8.5536987940000007</v>
      </c>
      <c r="EH22" s="3">
        <f>AVERAGE(EE22,EG22)</f>
        <v>8.2343914255000001</v>
      </c>
      <c r="EI22" s="24">
        <f t="shared" si="70"/>
        <v>0.58425394899999983</v>
      </c>
      <c r="EJ22" s="24">
        <f t="shared" si="70"/>
        <v>0.72442314200000002</v>
      </c>
      <c r="EK22" s="24">
        <f t="shared" si="70"/>
        <v>1.7556791450000002</v>
      </c>
      <c r="EL22" s="188">
        <f t="shared" si="70"/>
        <v>1.1699665469999996</v>
      </c>
      <c r="EM22" s="303" t="s">
        <v>538</v>
      </c>
      <c r="EN22" s="151" t="s">
        <v>494</v>
      </c>
      <c r="EO22" s="244">
        <v>79.535345828256098</v>
      </c>
      <c r="EP22" s="151" t="s">
        <v>495</v>
      </c>
      <c r="EQ22" s="244">
        <v>82.701264871827206</v>
      </c>
      <c r="ER22" s="248">
        <f t="shared" si="14"/>
        <v>81.118305350041652</v>
      </c>
      <c r="ES22" s="18">
        <v>6</v>
      </c>
      <c r="ET22" s="18">
        <v>11</v>
      </c>
      <c r="EU22" s="18">
        <v>14</v>
      </c>
      <c r="EV22" s="18">
        <v>-3</v>
      </c>
      <c r="EW22" s="18">
        <v>6</v>
      </c>
      <c r="EX22" s="18">
        <v>2</v>
      </c>
      <c r="EY22" s="18">
        <v>36</v>
      </c>
      <c r="EZ22" s="5">
        <v>-3.2443840150000001</v>
      </c>
      <c r="FA22" s="18">
        <v>-20.856505662224723</v>
      </c>
      <c r="FB22" s="311">
        <v>20</v>
      </c>
      <c r="FC22" s="83">
        <v>65</v>
      </c>
      <c r="FD22" s="18">
        <v>41</v>
      </c>
      <c r="FE22" s="340">
        <v>15.5</v>
      </c>
      <c r="FF22" s="18">
        <v>0.47800000119199998</v>
      </c>
      <c r="FG22" s="18">
        <v>0.4833333361149999</v>
      </c>
      <c r="FH22" s="18">
        <v>0.5733333273086666</v>
      </c>
      <c r="FI22" s="18">
        <v>0.53333333883266665</v>
      </c>
      <c r="FJ22" s="18">
        <v>0.34666666515433336</v>
      </c>
      <c r="FK22" s="18">
        <v>0.37285714198892572</v>
      </c>
      <c r="FL22" s="18">
        <v>9.8333332066699988E-2</v>
      </c>
      <c r="FM22" s="18">
        <v>0.51000000112833332</v>
      </c>
      <c r="FN22" s="18">
        <v>0.37666666487866662</v>
      </c>
      <c r="FO22" s="18">
        <v>0.91666668653466665</v>
      </c>
      <c r="FP22" s="18">
        <v>0.66333334081933326</v>
      </c>
      <c r="FQ22" s="322">
        <v>3</v>
      </c>
      <c r="FR22" s="5">
        <v>14</v>
      </c>
      <c r="FS22" s="5">
        <v>5</v>
      </c>
      <c r="FT22" s="268">
        <v>0.48000000119199998</v>
      </c>
      <c r="FU22" s="269">
        <v>0.48666666944833326</v>
      </c>
      <c r="FV22" s="270">
        <v>0.58999999364199995</v>
      </c>
      <c r="FW22" s="271">
        <v>0.5466666718326666</v>
      </c>
      <c r="FX22" s="162">
        <v>0.41999999682100003</v>
      </c>
      <c r="FY22" s="272">
        <v>0.37857142756035428</v>
      </c>
      <c r="FZ22" s="273">
        <v>9.8333332066699988E-2</v>
      </c>
      <c r="GA22" s="274">
        <v>0.52000000079499997</v>
      </c>
      <c r="GB22" s="275">
        <v>0.4133333315453333</v>
      </c>
      <c r="GC22" s="276">
        <v>0.91666668653466665</v>
      </c>
      <c r="GD22" s="277">
        <v>0.68000000715266662</v>
      </c>
      <c r="GE22" s="5">
        <v>-3.2443840150000001</v>
      </c>
      <c r="GF22" s="18">
        <v>6</v>
      </c>
      <c r="GG22" s="18">
        <v>11</v>
      </c>
      <c r="GH22" s="18">
        <v>14</v>
      </c>
      <c r="GI22" s="18">
        <v>-3</v>
      </c>
      <c r="GJ22" s="18">
        <v>6</v>
      </c>
      <c r="GK22" s="18">
        <v>2</v>
      </c>
      <c r="GL22" s="18">
        <v>36</v>
      </c>
      <c r="GN22" s="5">
        <v>115</v>
      </c>
      <c r="GO22" s="5">
        <v>148</v>
      </c>
      <c r="GP22" s="5">
        <v>126</v>
      </c>
      <c r="GQ22" s="5">
        <v>53</v>
      </c>
      <c r="GR22" s="5">
        <v>132</v>
      </c>
      <c r="GS22" s="144">
        <v>0.58999997377400004</v>
      </c>
      <c r="GT22" s="18">
        <v>86.590699999999998</v>
      </c>
      <c r="GU22" s="18">
        <v>83.135000000000005</v>
      </c>
      <c r="GV22" s="3">
        <f t="shared" si="15"/>
        <v>3.4556999999999931</v>
      </c>
      <c r="GW22" s="5">
        <f t="shared" si="16"/>
        <v>1.0415673302459854</v>
      </c>
      <c r="GX22" s="18">
        <f t="shared" si="17"/>
        <v>1.7687349376568663E-2</v>
      </c>
      <c r="GY22" s="18">
        <v>77.093800000000002</v>
      </c>
      <c r="GZ22" s="18">
        <v>75.493799999999993</v>
      </c>
      <c r="HA22" s="3">
        <f t="shared" si="18"/>
        <v>1.6000000000000085</v>
      </c>
      <c r="HB22" s="18">
        <f t="shared" si="19"/>
        <v>1.0211937933976036</v>
      </c>
      <c r="HC22" s="18">
        <v>90.555999999999997</v>
      </c>
      <c r="HD22" s="18">
        <v>85.713999999999999</v>
      </c>
      <c r="HE22" s="3">
        <f t="shared" si="20"/>
        <v>4.8419999999999987</v>
      </c>
      <c r="HF22" s="18">
        <f>HC22/HD22</f>
        <v>1.0564901883006277</v>
      </c>
      <c r="HG22" s="18">
        <v>28.489899999999999</v>
      </c>
      <c r="HH22" s="18">
        <v>54.240299999999998</v>
      </c>
      <c r="HI22" s="3">
        <f t="shared" si="22"/>
        <v>-25.750399999999999</v>
      </c>
      <c r="HJ22" s="18">
        <f t="shared" si="23"/>
        <v>0.52525336327417071</v>
      </c>
      <c r="HK22" s="5">
        <v>110.657</v>
      </c>
      <c r="HL22" s="5">
        <v>94.802999999999997</v>
      </c>
      <c r="HM22" s="3">
        <f t="shared" si="24"/>
        <v>15.853999999999999</v>
      </c>
      <c r="HN22" s="5">
        <f t="shared" si="60"/>
        <v>1.1672309947997426</v>
      </c>
      <c r="HO22" s="18">
        <v>58.139800000000001</v>
      </c>
      <c r="HP22" s="18">
        <v>56.127499999999998</v>
      </c>
      <c r="HQ22" s="3">
        <f t="shared" si="25"/>
        <v>2.0123000000000033</v>
      </c>
      <c r="HR22" s="18">
        <f t="shared" si="26"/>
        <v>1.0358523005656763</v>
      </c>
      <c r="HS22" s="18">
        <v>60.100499999999997</v>
      </c>
      <c r="HT22" s="18">
        <v>60.767299999999999</v>
      </c>
      <c r="HU22" s="3">
        <f t="shared" si="27"/>
        <v>-0.66680000000000206</v>
      </c>
      <c r="HV22" s="18">
        <f t="shared" si="28"/>
        <v>0.98902699313611098</v>
      </c>
      <c r="HW22" s="18">
        <v>54.412799999999997</v>
      </c>
      <c r="HX22" s="18">
        <v>58.171999999999997</v>
      </c>
      <c r="HY22" s="3">
        <f t="shared" si="29"/>
        <v>-3.7591999999999999</v>
      </c>
      <c r="HZ22" s="18">
        <f t="shared" si="30"/>
        <v>0.93537784501134569</v>
      </c>
      <c r="IA22" s="18">
        <v>50.8127</v>
      </c>
      <c r="IB22" s="18">
        <v>53.4435</v>
      </c>
      <c r="IC22" s="3">
        <f t="shared" si="31"/>
        <v>-2.6308000000000007</v>
      </c>
      <c r="ID22" s="18">
        <f t="shared" si="32"/>
        <v>0.95077418208014075</v>
      </c>
      <c r="IE22" s="18">
        <v>40.618499999999997</v>
      </c>
      <c r="IF22" s="18">
        <v>46.707099999999997</v>
      </c>
      <c r="IG22" s="3">
        <f t="shared" si="33"/>
        <v>-6.0885999999999996</v>
      </c>
      <c r="IH22" s="18">
        <f t="shared" si="34"/>
        <v>0.86964294507687268</v>
      </c>
      <c r="II22" s="18">
        <v>64.3185</v>
      </c>
      <c r="IJ22" s="18">
        <v>64.872299999999996</v>
      </c>
      <c r="IK22" s="3">
        <f t="shared" si="35"/>
        <v>-0.55379999999999541</v>
      </c>
      <c r="IL22" s="18">
        <f t="shared" si="36"/>
        <v>0.99146322852743007</v>
      </c>
      <c r="IM22" s="18">
        <v>83.366299999999995</v>
      </c>
      <c r="IN22" s="18">
        <v>84.864000000000004</v>
      </c>
      <c r="IO22" s="3">
        <f t="shared" si="37"/>
        <v>-1.4977000000000089</v>
      </c>
      <c r="IP22" s="18">
        <f t="shared" si="38"/>
        <v>0.98235176282051273</v>
      </c>
      <c r="IQ22" s="18">
        <v>53.889200000000002</v>
      </c>
      <c r="IR22" s="18">
        <v>56.525199999999998</v>
      </c>
      <c r="IS22" s="3">
        <f>IQ22-IR22</f>
        <v>-2.6359999999999957</v>
      </c>
      <c r="IT22" s="18">
        <f t="shared" si="40"/>
        <v>0.95336593236291078</v>
      </c>
      <c r="IU22" s="18">
        <v>57.169699999999999</v>
      </c>
      <c r="IV22" s="18">
        <v>54.939500000000002</v>
      </c>
      <c r="IW22" s="3">
        <f t="shared" si="41"/>
        <v>2.2301999999999964</v>
      </c>
      <c r="IX22" s="18">
        <f t="shared" si="42"/>
        <v>1.040593744027521</v>
      </c>
      <c r="IY22" s="18">
        <v>68.670500000000004</v>
      </c>
      <c r="IZ22" s="18">
        <v>61.613500000000002</v>
      </c>
      <c r="JA22" s="3">
        <f t="shared" si="43"/>
        <v>7.0570000000000022</v>
      </c>
      <c r="JB22" s="18">
        <f t="shared" si="44"/>
        <v>1.1145365869492887</v>
      </c>
      <c r="JC22" s="18">
        <f>LOG(HN22)</f>
        <v>6.7156811349217582E-2</v>
      </c>
      <c r="JD22" s="18">
        <v>81.118305350041652</v>
      </c>
      <c r="JE22" s="18">
        <f t="shared" si="45"/>
        <v>0.81118305350041653</v>
      </c>
      <c r="JG22" s="336" t="s">
        <v>606</v>
      </c>
      <c r="JH22" s="18">
        <v>0.44944826643297803</v>
      </c>
      <c r="JJ22" s="336" t="s">
        <v>606</v>
      </c>
      <c r="JK22" s="18">
        <v>0.350487799181396</v>
      </c>
      <c r="JM22" s="336" t="s">
        <v>606</v>
      </c>
      <c r="JN22" s="18">
        <v>0.63935512278022</v>
      </c>
      <c r="JO22" s="18">
        <f t="shared" si="46"/>
        <v>0.36064487721978</v>
      </c>
      <c r="JP22" s="336" t="s">
        <v>606</v>
      </c>
      <c r="JQ22" s="18">
        <v>0.836055724512347</v>
      </c>
      <c r="JT22" s="336" t="s">
        <v>606</v>
      </c>
      <c r="JU22" s="18">
        <v>0.58051872461172005</v>
      </c>
      <c r="JW22" s="336" t="s">
        <v>606</v>
      </c>
      <c r="JX22" s="18">
        <v>0.50084647637234803</v>
      </c>
      <c r="JZ22" s="336" t="s">
        <v>606</v>
      </c>
      <c r="KA22" s="18">
        <v>0.80894441432143305</v>
      </c>
      <c r="KC22" s="336" t="s">
        <v>606</v>
      </c>
      <c r="KD22" s="18">
        <v>0.86416329336960795</v>
      </c>
      <c r="KE22" s="68" t="s">
        <v>538</v>
      </c>
      <c r="KF22" s="347">
        <v>3.7100000000000001E-2</v>
      </c>
      <c r="KG22" s="347">
        <v>4.4900000000000002E-2</v>
      </c>
      <c r="KH22" s="347">
        <f t="shared" si="47"/>
        <v>4.1000000000000002E-2</v>
      </c>
      <c r="KI22" s="348">
        <v>6.6699999999999995E-2</v>
      </c>
      <c r="KJ22" s="348">
        <v>6.4899999999999999E-2</v>
      </c>
      <c r="KK22" s="348">
        <f t="shared" si="48"/>
        <v>6.5799999999999997E-2</v>
      </c>
      <c r="KL22" s="347">
        <f t="shared" si="49"/>
        <v>2.4799999999999996E-2</v>
      </c>
      <c r="KM22" s="347">
        <f t="shared" si="50"/>
        <v>1.6048780487804877</v>
      </c>
      <c r="KN22" s="354">
        <f t="shared" si="64"/>
        <v>5.4828780487804876</v>
      </c>
      <c r="KO22" s="18">
        <f t="shared" si="51"/>
        <v>0.73900858633018984</v>
      </c>
      <c r="KP22" s="18">
        <v>0.73900858633018984</v>
      </c>
      <c r="KQ22" s="340">
        <v>15.5</v>
      </c>
      <c r="KR22" s="18">
        <v>0.47800000119199998</v>
      </c>
      <c r="KS22" s="18">
        <v>0.4833333361149999</v>
      </c>
      <c r="KT22" s="18">
        <v>0.5733333273086666</v>
      </c>
      <c r="KU22" s="18">
        <v>0.53333333883266665</v>
      </c>
      <c r="KV22" s="18">
        <v>0.34666666515433336</v>
      </c>
      <c r="KW22" s="18">
        <v>0.37285714198892572</v>
      </c>
      <c r="KX22" s="18">
        <v>9.8333332066699988E-2</v>
      </c>
      <c r="KY22" s="18">
        <v>0.51000000112833332</v>
      </c>
      <c r="KZ22" s="18">
        <v>0.37666666487866662</v>
      </c>
      <c r="LA22" s="18">
        <v>0.91666668653466665</v>
      </c>
      <c r="LB22" s="18">
        <v>0.66333334081933326</v>
      </c>
      <c r="LC22" s="358" t="s">
        <v>642</v>
      </c>
      <c r="LD22" s="358">
        <v>15</v>
      </c>
      <c r="LE22" s="358">
        <v>5</v>
      </c>
      <c r="LF22" s="358">
        <v>5.5</v>
      </c>
      <c r="LG22" s="358">
        <v>13.5</v>
      </c>
      <c r="LH22" s="358">
        <v>7.5</v>
      </c>
      <c r="LI22" s="358">
        <v>11</v>
      </c>
      <c r="LJ22" s="144">
        <v>0.58999997377400004</v>
      </c>
      <c r="LK22" s="158" t="s">
        <v>538</v>
      </c>
      <c r="LL22" s="68">
        <v>0.5181</v>
      </c>
      <c r="LM22" s="5">
        <v>0.52529999999999999</v>
      </c>
      <c r="LN22" s="5">
        <f t="shared" si="52"/>
        <v>0.52170000000000005</v>
      </c>
      <c r="LO22" s="5">
        <v>0.5665</v>
      </c>
      <c r="LP22" s="5">
        <v>0.55840000000000001</v>
      </c>
      <c r="LQ22" s="80">
        <f t="shared" si="53"/>
        <v>0.56245000000000001</v>
      </c>
      <c r="LR22" s="77">
        <f t="shared" si="54"/>
        <v>-4.0749999999999953E-2</v>
      </c>
      <c r="LS22" s="68">
        <v>15.070600000000001</v>
      </c>
      <c r="LT22" s="5">
        <v>14.793200000000001</v>
      </c>
      <c r="LU22" s="5">
        <f t="shared" si="55"/>
        <v>14.931900000000001</v>
      </c>
      <c r="LV22" s="5">
        <v>18.700500000000002</v>
      </c>
      <c r="LW22" s="5">
        <v>17.694400000000002</v>
      </c>
      <c r="LX22" s="80">
        <f t="shared" si="56"/>
        <v>18.197450000000003</v>
      </c>
      <c r="LY22" s="77">
        <f t="shared" si="57"/>
        <v>-3.2655500000000028</v>
      </c>
      <c r="LZ22" s="68">
        <v>1.008</v>
      </c>
      <c r="MA22" s="5">
        <v>1.0101</v>
      </c>
      <c r="MB22" s="5">
        <f>AVERAGE(LZ22:MA22)</f>
        <v>1.00905</v>
      </c>
      <c r="MC22" s="5">
        <v>0.93869999999999998</v>
      </c>
      <c r="MD22" s="5">
        <v>0.96799999999999997</v>
      </c>
      <c r="ME22" s="80">
        <f>AVERAGE(MC22:MD22)</f>
        <v>0.95334999999999992</v>
      </c>
      <c r="MF22" s="77">
        <f t="shared" si="58"/>
        <v>5.5700000000000083E-2</v>
      </c>
      <c r="MG22" s="68">
        <v>0.39489999999999997</v>
      </c>
      <c r="MH22" s="5">
        <v>0.39119999999999999</v>
      </c>
      <c r="MI22" s="5">
        <f>AVERAGE(MG22:MH22)</f>
        <v>0.39305000000000001</v>
      </c>
      <c r="MJ22" s="5">
        <v>0.505</v>
      </c>
      <c r="MK22" s="5">
        <v>0.47410000000000002</v>
      </c>
      <c r="ML22" s="80">
        <f>AVERAGE(MJ22:MK22)</f>
        <v>0.48955000000000004</v>
      </c>
      <c r="MM22" s="77">
        <f t="shared" si="59"/>
        <v>-9.650000000000003E-2</v>
      </c>
      <c r="MO22" s="5">
        <v>0.9573498668</v>
      </c>
      <c r="MP22" s="5">
        <v>2.9541788000000002</v>
      </c>
      <c r="MQ22" s="5">
        <v>0.74740942519999998</v>
      </c>
      <c r="MR22" s="5">
        <v>2.5046256969999998</v>
      </c>
      <c r="MS22" s="292">
        <v>2.3432480600000001</v>
      </c>
      <c r="MT22" s="83">
        <v>-3.2443840150000001</v>
      </c>
      <c r="MU22" s="18">
        <v>2.3553048529999998</v>
      </c>
      <c r="MV22" s="18">
        <v>0.59519228530000001</v>
      </c>
      <c r="MW22" s="18">
        <v>1.5863072970000001</v>
      </c>
    </row>
    <row r="23" spans="1:361" s="6" customFormat="1" ht="16" thickBot="1" x14ac:dyDescent="0.25">
      <c r="A23" s="67"/>
      <c r="C23" s="6" t="s">
        <v>217</v>
      </c>
      <c r="U23" s="6">
        <f>AVERAGE(U3:U22)</f>
        <v>3.1</v>
      </c>
      <c r="V23" s="6">
        <f t="shared" ref="V23:Y23" si="71">AVERAGE(V3:V22)</f>
        <v>0.8</v>
      </c>
      <c r="W23" s="6">
        <f t="shared" si="71"/>
        <v>0.55000000000000004</v>
      </c>
      <c r="X23" s="6">
        <f t="shared" si="71"/>
        <v>-0.85</v>
      </c>
      <c r="Y23" s="6">
        <f t="shared" si="71"/>
        <v>2.95</v>
      </c>
      <c r="CK23" s="6" t="s">
        <v>499</v>
      </c>
      <c r="CL23" s="6">
        <f t="shared" ref="CL23:CT23" si="72">AVERAGE(CL3:CL22)</f>
        <v>1.4639803461400001</v>
      </c>
      <c r="CM23" s="6">
        <f t="shared" si="72"/>
        <v>-2.4042056269000001</v>
      </c>
      <c r="CN23" s="6">
        <f t="shared" si="72"/>
        <v>-0.37686010071466663</v>
      </c>
      <c r="CO23" s="6">
        <f t="shared" si="72"/>
        <v>-0.2481890504329867</v>
      </c>
      <c r="CP23" s="6">
        <f t="shared" si="72"/>
        <v>-0.26514099841333327</v>
      </c>
      <c r="CQ23" s="6">
        <f t="shared" si="72"/>
        <v>-0.4310436288086667</v>
      </c>
      <c r="CR23" s="6">
        <f t="shared" si="72"/>
        <v>-0.30209760825333337</v>
      </c>
      <c r="CS23" s="6">
        <f t="shared" si="72"/>
        <v>-0.16283138676246664</v>
      </c>
      <c r="CT23" s="6">
        <f t="shared" si="72"/>
        <v>-0.42615136118399999</v>
      </c>
      <c r="CZ23" s="6" t="s">
        <v>238</v>
      </c>
      <c r="DA23" s="67">
        <f t="shared" ref="DA23:DL23" si="73">AVERAGE(DA3:DA22)</f>
        <v>16.13083597293333</v>
      </c>
      <c r="DB23" s="6">
        <f t="shared" si="73"/>
        <v>16.965880404733333</v>
      </c>
      <c r="DC23" s="6">
        <f t="shared" si="73"/>
        <v>16.894401850933335</v>
      </c>
      <c r="DD23" s="7">
        <f t="shared" si="73"/>
        <v>16.51261891193333</v>
      </c>
      <c r="DE23" s="67">
        <f t="shared" si="73"/>
        <v>12.546637470533334</v>
      </c>
      <c r="DF23" s="6">
        <f t="shared" si="73"/>
        <v>12.774199741199999</v>
      </c>
      <c r="DG23" s="6">
        <f t="shared" si="73"/>
        <v>12.549080821266667</v>
      </c>
      <c r="DH23" s="7">
        <f t="shared" si="73"/>
        <v>12.5478591459</v>
      </c>
      <c r="DI23" s="67">
        <f t="shared" si="73"/>
        <v>-3.5841985023999996</v>
      </c>
      <c r="DJ23" s="6">
        <f t="shared" si="73"/>
        <v>-4.191680663533333</v>
      </c>
      <c r="DK23" s="6">
        <f t="shared" si="73"/>
        <v>-4.3453210296666667</v>
      </c>
      <c r="DL23" s="7">
        <f t="shared" si="73"/>
        <v>-3.9647597660333336</v>
      </c>
      <c r="DM23" s="6" t="s">
        <v>238</v>
      </c>
      <c r="DN23" s="67">
        <f t="shared" ref="DN23:DY23" si="74">AVERAGE(DN3:DN22)</f>
        <v>4.7277549383333337</v>
      </c>
      <c r="DO23" s="6">
        <f t="shared" si="74"/>
        <v>4.6956628868666668</v>
      </c>
      <c r="DP23" s="6">
        <f t="shared" si="74"/>
        <v>4.9272389394666662</v>
      </c>
      <c r="DQ23" s="4">
        <f t="shared" si="74"/>
        <v>4.8274969389000004</v>
      </c>
      <c r="DR23" s="67">
        <f t="shared" si="74"/>
        <v>5.6736238743333338</v>
      </c>
      <c r="DS23" s="6">
        <f t="shared" si="74"/>
        <v>5.4842697468666666</v>
      </c>
      <c r="DT23" s="6">
        <f t="shared" si="74"/>
        <v>5.1664899332000003</v>
      </c>
      <c r="DU23" s="4">
        <f t="shared" si="74"/>
        <v>5.4200569037666666</v>
      </c>
      <c r="DV23" s="6">
        <f t="shared" si="74"/>
        <v>0.94586893599999966</v>
      </c>
      <c r="DW23" s="6">
        <f t="shared" si="74"/>
        <v>0.78860686000000024</v>
      </c>
      <c r="DX23" s="6">
        <f t="shared" si="74"/>
        <v>0.23925099373333339</v>
      </c>
      <c r="DY23" s="4">
        <f t="shared" si="74"/>
        <v>0.59255996486666629</v>
      </c>
      <c r="DZ23" s="6" t="s">
        <v>238</v>
      </c>
      <c r="EA23" s="6">
        <f t="shared" ref="EA23:EL23" si="75">AVERAGE(EA3:EA22)</f>
        <v>17.916009292666665</v>
      </c>
      <c r="EB23" s="6">
        <f t="shared" si="75"/>
        <v>16.756755451800004</v>
      </c>
      <c r="EC23" s="6">
        <f t="shared" si="75"/>
        <v>13.462571183933333</v>
      </c>
      <c r="ED23" s="4">
        <f t="shared" si="75"/>
        <v>15.689290238299998</v>
      </c>
      <c r="EE23" s="6">
        <f t="shared" si="75"/>
        <v>7.1891143543333333</v>
      </c>
      <c r="EF23" s="6">
        <f t="shared" si="75"/>
        <v>8.3233059826666675</v>
      </c>
      <c r="EG23" s="6">
        <f t="shared" si="75"/>
        <v>7.1648269625333318</v>
      </c>
      <c r="EH23" s="4">
        <f t="shared" si="75"/>
        <v>7.1769706584333335</v>
      </c>
      <c r="EI23" s="6">
        <f t="shared" si="75"/>
        <v>-10.726894938333336</v>
      </c>
      <c r="EJ23" s="6">
        <f t="shared" si="75"/>
        <v>-8.4334494691333308</v>
      </c>
      <c r="EK23" s="6">
        <f t="shared" si="75"/>
        <v>-6.2977442213999995</v>
      </c>
      <c r="EL23" s="328">
        <f t="shared" si="75"/>
        <v>-8.5123195798666664</v>
      </c>
      <c r="EM23" s="191" t="s">
        <v>238</v>
      </c>
      <c r="EN23" s="334"/>
      <c r="EO23" s="313">
        <f>AVERAGE(EO3:EO22)</f>
        <v>49.858991227152963</v>
      </c>
      <c r="EP23" s="334"/>
      <c r="EQ23" s="313">
        <f t="shared" ref="EQ23" si="76">AVERAGE(EQ3:EQ22)</f>
        <v>47.240683998478339</v>
      </c>
      <c r="ER23" s="237">
        <f>AVERAGE(ER3:ER22)</f>
        <v>48.549837612815651</v>
      </c>
      <c r="ES23" s="6">
        <v>4.5999999999999996</v>
      </c>
      <c r="ET23" s="6">
        <v>9.35</v>
      </c>
      <c r="EU23" s="6">
        <v>13.75</v>
      </c>
      <c r="EV23" s="6">
        <v>-0.85</v>
      </c>
      <c r="EW23" s="6">
        <v>4.2</v>
      </c>
      <c r="EX23" s="6">
        <v>3.15</v>
      </c>
      <c r="EY23" s="6">
        <v>34.200000000000003</v>
      </c>
      <c r="FD23" s="242">
        <f>AVERAGE(FF3:FF22)</f>
        <v>0.36429999968149673</v>
      </c>
      <c r="FE23" s="242">
        <f t="shared" ref="FE23:GR23" si="77">AVERAGE(FG3:FG22)</f>
        <v>0.26049999968024135</v>
      </c>
      <c r="FF23" s="242">
        <f t="shared" si="77"/>
        <v>0.37183333141565833</v>
      </c>
      <c r="FG23" s="242">
        <f t="shared" si="77"/>
        <v>0.3383333316968013</v>
      </c>
      <c r="FH23" s="242">
        <f t="shared" si="77"/>
        <v>0.35399999998119436</v>
      </c>
      <c r="FI23" s="242">
        <f t="shared" si="77"/>
        <v>0.22571428630308316</v>
      </c>
      <c r="FJ23" s="242">
        <f t="shared" si="77"/>
        <v>0.14908333292178166</v>
      </c>
      <c r="FK23" s="242">
        <f t="shared" si="77"/>
        <v>0.50050000095762548</v>
      </c>
      <c r="FL23" s="242">
        <f t="shared" si="77"/>
        <v>0.67233333438838405</v>
      </c>
      <c r="FM23" s="242">
        <f t="shared" si="77"/>
        <v>0.53266666665663898</v>
      </c>
      <c r="FN23" s="242">
        <f t="shared" si="77"/>
        <v>0.35183333376408366</v>
      </c>
      <c r="FO23" s="242">
        <f t="shared" si="77"/>
        <v>1.6842105263157894</v>
      </c>
      <c r="FP23" s="242">
        <f t="shared" si="77"/>
        <v>3.1</v>
      </c>
      <c r="FQ23" s="242">
        <f t="shared" si="77"/>
        <v>2.95</v>
      </c>
      <c r="FR23" s="242">
        <f t="shared" si="77"/>
        <v>0.37479999955691007</v>
      </c>
      <c r="FS23" s="242">
        <f t="shared" si="77"/>
        <v>0.27616666635416476</v>
      </c>
      <c r="FT23" s="242">
        <f t="shared" si="77"/>
        <v>0.4051666646721962</v>
      </c>
      <c r="FU23" s="242">
        <f t="shared" si="77"/>
        <v>0.35566666503190003</v>
      </c>
      <c r="FV23" s="242">
        <f t="shared" si="77"/>
        <v>0.37850000000681666</v>
      </c>
      <c r="FW23" s="242">
        <f t="shared" si="77"/>
        <v>0.25357142921892117</v>
      </c>
      <c r="FX23" s="242">
        <f t="shared" si="77"/>
        <v>0.16166666638923402</v>
      </c>
      <c r="FY23" s="242">
        <f t="shared" si="77"/>
        <v>0.53166666780702287</v>
      </c>
      <c r="FZ23" s="242">
        <f t="shared" si="77"/>
        <v>0.75233333478093323</v>
      </c>
      <c r="GA23" s="242">
        <f t="shared" si="77"/>
        <v>0.59650000006402182</v>
      </c>
      <c r="GB23" s="242">
        <f t="shared" si="77"/>
        <v>0.35433333372506504</v>
      </c>
      <c r="GC23" s="242">
        <f t="shared" si="77"/>
        <v>-2.4042056269000001</v>
      </c>
      <c r="GD23" s="242">
        <f t="shared" si="77"/>
        <v>4.5999999999999996</v>
      </c>
      <c r="GE23" s="242">
        <f>AVERAGE(GE3:GE22)</f>
        <v>-2.4042056269000001</v>
      </c>
      <c r="GF23" s="242">
        <f t="shared" ref="GF23:GL23" si="78">AVERAGE(GF3:GF22)</f>
        <v>4.5999999999999996</v>
      </c>
      <c r="GG23" s="242">
        <f t="shared" si="78"/>
        <v>9.35</v>
      </c>
      <c r="GH23" s="242">
        <f t="shared" si="78"/>
        <v>13.75</v>
      </c>
      <c r="GI23" s="242">
        <f t="shared" si="78"/>
        <v>-0.85</v>
      </c>
      <c r="GJ23" s="242">
        <f t="shared" si="78"/>
        <v>4.2</v>
      </c>
      <c r="GK23" s="242">
        <f t="shared" si="78"/>
        <v>3.15</v>
      </c>
      <c r="GL23" s="242">
        <f t="shared" si="78"/>
        <v>34.200000000000003</v>
      </c>
      <c r="GM23" s="242">
        <f t="shared" si="77"/>
        <v>110.9</v>
      </c>
      <c r="GN23" s="242">
        <f t="shared" si="77"/>
        <v>120.15</v>
      </c>
      <c r="GO23" s="242">
        <f t="shared" si="77"/>
        <v>71.5</v>
      </c>
      <c r="GP23" s="240">
        <f t="shared" si="77"/>
        <v>136.5</v>
      </c>
      <c r="GQ23" s="103" t="s">
        <v>238</v>
      </c>
      <c r="GR23" s="242">
        <f t="shared" si="77"/>
        <v>80.490326666666661</v>
      </c>
      <c r="GS23" s="242" t="s">
        <v>52</v>
      </c>
      <c r="GT23" s="242">
        <f>AVERAGE(GT3:GT22)</f>
        <v>80.490326666666661</v>
      </c>
      <c r="GU23" s="240">
        <f t="shared" ref="GU23:JB23" si="79">AVERAGE(GU3:GU22)</f>
        <v>72.888373333333348</v>
      </c>
      <c r="GV23" s="103">
        <f t="shared" si="79"/>
        <v>7.6019533333333333</v>
      </c>
      <c r="GW23" s="24">
        <f t="shared" si="79"/>
        <v>1.1125965190504379</v>
      </c>
      <c r="GX23" s="242">
        <f t="shared" si="79"/>
        <v>4.4447484878671693E-2</v>
      </c>
      <c r="GY23" s="242">
        <f t="shared" si="79"/>
        <v>69.274086666666662</v>
      </c>
      <c r="GZ23" s="242">
        <f t="shared" si="79"/>
        <v>65.300659999999993</v>
      </c>
      <c r="HA23" s="242">
        <f t="shared" si="79"/>
        <v>3.973426666666668</v>
      </c>
      <c r="HB23" s="242">
        <f t="shared" si="79"/>
        <v>1.0657475895533302</v>
      </c>
      <c r="HC23" s="242">
        <f t="shared" si="79"/>
        <v>78.531273333333331</v>
      </c>
      <c r="HD23" s="242">
        <f t="shared" si="79"/>
        <v>71.86363333333334</v>
      </c>
      <c r="HE23" s="242">
        <f t="shared" si="79"/>
        <v>6.6676399999999978</v>
      </c>
      <c r="HF23" s="242">
        <f t="shared" si="79"/>
        <v>1.100733244240826</v>
      </c>
      <c r="HG23" s="242">
        <f t="shared" si="79"/>
        <v>37.287013333333334</v>
      </c>
      <c r="HH23" s="242">
        <f t="shared" si="79"/>
        <v>54.655640000000012</v>
      </c>
      <c r="HI23" s="242">
        <f t="shared" si="79"/>
        <v>-17.368626666666668</v>
      </c>
      <c r="HJ23" s="242">
        <f t="shared" si="79"/>
        <v>0.68900821596201822</v>
      </c>
      <c r="HK23" s="242">
        <f t="shared" si="79"/>
        <v>98.730826666666673</v>
      </c>
      <c r="HL23" s="242">
        <f t="shared" si="79"/>
        <v>78.522626666666653</v>
      </c>
      <c r="HM23" s="242">
        <f t="shared" si="79"/>
        <v>20.208199999999998</v>
      </c>
      <c r="HN23" s="242">
        <f t="shared" si="79"/>
        <v>1.2901038394296394</v>
      </c>
      <c r="HO23" s="242">
        <f t="shared" si="79"/>
        <v>57.212206666666674</v>
      </c>
      <c r="HP23" s="242">
        <f t="shared" si="79"/>
        <v>54.576266666666669</v>
      </c>
      <c r="HQ23" s="242">
        <f t="shared" si="79"/>
        <v>2.6359400000000006</v>
      </c>
      <c r="HR23" s="242">
        <f t="shared" si="79"/>
        <v>1.0524983843281537</v>
      </c>
      <c r="HS23" s="242">
        <f t="shared" si="79"/>
        <v>58.944486666666656</v>
      </c>
      <c r="HT23" s="242">
        <f t="shared" si="79"/>
        <v>58.396253333333334</v>
      </c>
      <c r="HU23" s="242">
        <f t="shared" si="79"/>
        <v>0.54823333333333246</v>
      </c>
      <c r="HV23" s="242">
        <f t="shared" si="79"/>
        <v>1.0130651179730219</v>
      </c>
      <c r="HW23" s="242">
        <f t="shared" si="79"/>
        <v>57.419886666666656</v>
      </c>
      <c r="HX23" s="242">
        <f t="shared" si="79"/>
        <v>57.213906666666666</v>
      </c>
      <c r="HY23" s="242">
        <f t="shared" si="79"/>
        <v>0.20598000000000002</v>
      </c>
      <c r="HZ23" s="242">
        <f t="shared" si="79"/>
        <v>1.0047192532867342</v>
      </c>
      <c r="IA23" s="242">
        <f t="shared" si="79"/>
        <v>48.36422666666666</v>
      </c>
      <c r="IB23" s="242">
        <f t="shared" si="79"/>
        <v>49.423439999999999</v>
      </c>
      <c r="IC23" s="242">
        <f t="shared" si="79"/>
        <v>-0.79441000000000095</v>
      </c>
      <c r="ID23" s="242">
        <f t="shared" si="79"/>
        <v>0.9796278750109304</v>
      </c>
      <c r="IE23" s="242">
        <f t="shared" si="79"/>
        <v>43.948313333333346</v>
      </c>
      <c r="IF23" s="242">
        <f t="shared" si="79"/>
        <v>45.020566666666667</v>
      </c>
      <c r="IG23" s="242">
        <f t="shared" si="79"/>
        <v>-1.0722533333333326</v>
      </c>
      <c r="IH23" s="242">
        <f t="shared" si="79"/>
        <v>0.97704217521598091</v>
      </c>
      <c r="II23" s="242">
        <f t="shared" si="79"/>
        <v>61.606646666666656</v>
      </c>
      <c r="IJ23" s="242">
        <f t="shared" si="79"/>
        <v>60.215786666666673</v>
      </c>
      <c r="IK23" s="242">
        <f t="shared" si="79"/>
        <v>1.3908600000000007</v>
      </c>
      <c r="IL23" s="242">
        <f t="shared" si="79"/>
        <v>1.0260996650560865</v>
      </c>
      <c r="IM23" s="242">
        <f t="shared" si="79"/>
        <v>78.337066666666658</v>
      </c>
      <c r="IN23" s="242">
        <f t="shared" si="79"/>
        <v>76.31859333333334</v>
      </c>
      <c r="IO23" s="242">
        <f t="shared" si="79"/>
        <v>2.0184733333333318</v>
      </c>
      <c r="IP23" s="242">
        <f t="shared" si="79"/>
        <v>1.0322270441939225</v>
      </c>
      <c r="IQ23" s="242">
        <f t="shared" si="79"/>
        <v>50.989513333333342</v>
      </c>
      <c r="IR23" s="242">
        <f t="shared" si="79"/>
        <v>50.323479999999996</v>
      </c>
      <c r="IS23" s="242">
        <f t="shared" si="79"/>
        <v>0.6660333333333327</v>
      </c>
      <c r="IT23" s="242">
        <f t="shared" si="79"/>
        <v>1.0168514311559049</v>
      </c>
      <c r="IU23" s="242">
        <f t="shared" si="79"/>
        <v>55.025553333333342</v>
      </c>
      <c r="IV23" s="242">
        <f t="shared" si="79"/>
        <v>54.180286666666667</v>
      </c>
      <c r="IW23" s="242">
        <f t="shared" si="79"/>
        <v>0.84526666666666683</v>
      </c>
      <c r="IX23" s="242">
        <f t="shared" si="79"/>
        <v>1.0189587975985417</v>
      </c>
      <c r="IY23" s="242">
        <f t="shared" si="79"/>
        <v>62.881393333333335</v>
      </c>
      <c r="IZ23" s="242">
        <f t="shared" si="79"/>
        <v>61.147953333333334</v>
      </c>
      <c r="JA23" s="242">
        <f t="shared" si="79"/>
        <v>1.7334399999999988</v>
      </c>
      <c r="JB23" s="242">
        <f t="shared" si="79"/>
        <v>1.0330048036989452</v>
      </c>
      <c r="KE23" s="67" t="s">
        <v>238</v>
      </c>
      <c r="KF23" s="343">
        <f>AVERAGE(KF3:KF22)</f>
        <v>2.3293333333333333E-2</v>
      </c>
      <c r="KG23" s="343">
        <f t="shared" ref="KG23:KN23" si="80">AVERAGE(KG3:KG22)</f>
        <v>2.6726666666666673E-2</v>
      </c>
      <c r="KH23" s="343">
        <f t="shared" si="80"/>
        <v>2.5009999999999994E-2</v>
      </c>
      <c r="KI23" s="343">
        <f t="shared" si="80"/>
        <v>6.2506666666666669E-2</v>
      </c>
      <c r="KJ23" s="343">
        <f t="shared" si="80"/>
        <v>4.9866666666666656E-2</v>
      </c>
      <c r="KK23" s="343">
        <f t="shared" si="80"/>
        <v>5.6186666666666676E-2</v>
      </c>
      <c r="KL23" s="345">
        <f t="shared" si="80"/>
        <v>3.1176666666666668E-2</v>
      </c>
      <c r="KM23" s="343">
        <f t="shared" si="80"/>
        <v>2.2839257531692563</v>
      </c>
      <c r="KN23" s="346">
        <f t="shared" si="80"/>
        <v>6.1619257531692559</v>
      </c>
      <c r="LC23" s="359" t="s">
        <v>238</v>
      </c>
      <c r="LD23" s="359">
        <v>12.210526315789474</v>
      </c>
      <c r="LE23" s="359">
        <v>10.026315789473685</v>
      </c>
      <c r="LF23" s="359">
        <v>7.8684210526315788</v>
      </c>
      <c r="LG23" s="359">
        <v>11.184210526315789</v>
      </c>
      <c r="LH23" s="359">
        <v>6.8947368421052628</v>
      </c>
      <c r="LI23" s="360">
        <v>6.5263157894736796</v>
      </c>
      <c r="LK23" s="6" t="s">
        <v>238</v>
      </c>
      <c r="LL23" s="67">
        <f>AVERAGE(LL3:LL22)</f>
        <v>0.49388000000000004</v>
      </c>
      <c r="LM23" s="6">
        <f t="shared" ref="LM23" si="81">AVERAGE(LM3:LM22)</f>
        <v>0.49810000000000004</v>
      </c>
      <c r="LN23" s="6">
        <f>AVERAGE(LN3:LN22)</f>
        <v>0.49598999999999999</v>
      </c>
      <c r="LO23" s="6">
        <f>AVERAGE(LO3:LO22)</f>
        <v>0.54964000000000002</v>
      </c>
      <c r="LP23" s="6">
        <f>AVERAGE(LP3:LP22)</f>
        <v>0.54610000000000014</v>
      </c>
      <c r="LQ23" s="6">
        <f t="shared" ref="LQ23:LR23" si="82">AVERAGE(LQ3:LQ22)</f>
        <v>0.54786999999999997</v>
      </c>
      <c r="LR23" s="6">
        <f t="shared" si="82"/>
        <v>-5.1879999999999975E-2</v>
      </c>
      <c r="LS23" s="67">
        <f>AVERAGE(LS3:LS22)</f>
        <v>9.9451599999999996</v>
      </c>
      <c r="LT23" s="67">
        <f t="shared" ref="LT23:MM23" si="83">AVERAGE(LT3:LT22)</f>
        <v>10.174673333333335</v>
      </c>
      <c r="LU23" s="67">
        <f t="shared" si="83"/>
        <v>10.059916666666668</v>
      </c>
      <c r="LV23" s="67">
        <f t="shared" si="83"/>
        <v>16.843386666666664</v>
      </c>
      <c r="LW23" s="67">
        <f t="shared" si="83"/>
        <v>16.180926666666668</v>
      </c>
      <c r="LX23" s="67">
        <f t="shared" si="83"/>
        <v>16.512156666666662</v>
      </c>
      <c r="LY23" s="67">
        <f t="shared" si="83"/>
        <v>-6.4522399999999998</v>
      </c>
      <c r="LZ23" s="67">
        <f t="shared" si="83"/>
        <v>1.0399333333333334</v>
      </c>
      <c r="MA23" s="67">
        <f t="shared" si="83"/>
        <v>1.0275466666666666</v>
      </c>
      <c r="MB23" s="67">
        <f t="shared" si="83"/>
        <v>1.0337399999999999</v>
      </c>
      <c r="MC23" s="67">
        <f t="shared" si="83"/>
        <v>0.94576666666666687</v>
      </c>
      <c r="MD23" s="67">
        <f t="shared" si="83"/>
        <v>0.9609466666666665</v>
      </c>
      <c r="ME23" s="67">
        <f t="shared" si="83"/>
        <v>0.95335666666666674</v>
      </c>
      <c r="MF23" s="67">
        <f t="shared" si="83"/>
        <v>8.0383333333333265E-2</v>
      </c>
      <c r="MG23" s="67">
        <f t="shared" si="83"/>
        <v>0.30248666666666668</v>
      </c>
      <c r="MH23" s="67">
        <f t="shared" si="83"/>
        <v>0.31936666666666663</v>
      </c>
      <c r="MI23" s="67">
        <f t="shared" si="83"/>
        <v>0.31092666666666668</v>
      </c>
      <c r="MJ23" s="67">
        <f t="shared" si="83"/>
        <v>0.44501333333333343</v>
      </c>
      <c r="MK23" s="67">
        <f t="shared" si="83"/>
        <v>0.43550666666666665</v>
      </c>
      <c r="ML23" s="67">
        <f t="shared" si="83"/>
        <v>0.44026000000000004</v>
      </c>
      <c r="MM23" s="67">
        <f t="shared" si="83"/>
        <v>-0.12933333333333333</v>
      </c>
    </row>
    <row r="24" spans="1:361" ht="17" thickBot="1" x14ac:dyDescent="0.25">
      <c r="A24" s="3"/>
      <c r="B24" s="6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7"/>
      <c r="CK24" t="s">
        <v>53</v>
      </c>
      <c r="CL24">
        <f>STDEV(CL3:CL22)</f>
        <v>0.89233026380329517</v>
      </c>
      <c r="CM24" s="18">
        <f t="shared" ref="CM24:CT24" si="84">STDEV(CM3:CM22)</f>
        <v>1.1973660383988749</v>
      </c>
      <c r="CN24" s="18">
        <f t="shared" si="84"/>
        <v>0.21763037620113287</v>
      </c>
      <c r="CO24" s="18">
        <f t="shared" si="84"/>
        <v>0.19461980160837741</v>
      </c>
      <c r="CP24" s="18">
        <f t="shared" si="84"/>
        <v>0.2181163458473297</v>
      </c>
      <c r="CQ24" s="18">
        <f t="shared" si="84"/>
        <v>0.30099148681858173</v>
      </c>
      <c r="CR24" s="18">
        <f t="shared" si="84"/>
        <v>0.15781774349771019</v>
      </c>
      <c r="CS24" s="18">
        <f t="shared" si="84"/>
        <v>0.16000924499618149</v>
      </c>
      <c r="CT24" s="18">
        <f t="shared" si="84"/>
        <v>0.27150695167918176</v>
      </c>
      <c r="GS24" s="3" t="s">
        <v>53</v>
      </c>
      <c r="GT24">
        <f>STDEV(GT3:GT22)</f>
        <v>10.591380973661545</v>
      </c>
      <c r="GU24" s="18">
        <f t="shared" ref="GU24:JB24" si="85">STDEV(GU3:GU22)</f>
        <v>10.956953482310805</v>
      </c>
      <c r="GV24" s="32">
        <f t="shared" si="85"/>
        <v>7.263855553636458</v>
      </c>
      <c r="GW24" s="18">
        <f t="shared" si="85"/>
        <v>0.10721575112744365</v>
      </c>
      <c r="GX24" s="18">
        <f t="shared" si="85"/>
        <v>4.2001801169243791E-2</v>
      </c>
      <c r="GY24" s="18">
        <f t="shared" si="85"/>
        <v>8.4221105114425416</v>
      </c>
      <c r="GZ24" s="18">
        <f t="shared" si="85"/>
        <v>9.210300121975239</v>
      </c>
      <c r="HA24" s="18">
        <f t="shared" si="85"/>
        <v>4.0665041528261572</v>
      </c>
      <c r="HB24" s="18">
        <f t="shared" si="85"/>
        <v>6.6931881667329843E-2</v>
      </c>
      <c r="HC24" s="18">
        <f t="shared" si="85"/>
        <v>12.68490435069898</v>
      </c>
      <c r="HD24" s="18">
        <f t="shared" si="85"/>
        <v>12.911384317872695</v>
      </c>
      <c r="HE24" s="18">
        <f t="shared" si="85"/>
        <v>7.0721584703479534</v>
      </c>
      <c r="HF24" s="18">
        <f t="shared" si="85"/>
        <v>0.10780702792135421</v>
      </c>
      <c r="HG24" s="18">
        <f t="shared" si="85"/>
        <v>14.227220738272246</v>
      </c>
      <c r="HH24" s="18">
        <f t="shared" si="85"/>
        <v>17.54283704042356</v>
      </c>
      <c r="HI24" s="18">
        <f t="shared" si="85"/>
        <v>11.492403551381647</v>
      </c>
      <c r="HJ24" s="18">
        <f t="shared" si="85"/>
        <v>0.18697651377554664</v>
      </c>
      <c r="HK24" s="18">
        <f t="shared" si="85"/>
        <v>19.420261931346182</v>
      </c>
      <c r="HL24" s="18">
        <f t="shared" si="85"/>
        <v>19.497975693443092</v>
      </c>
      <c r="HM24" s="18">
        <f t="shared" si="85"/>
        <v>12.314821757018771</v>
      </c>
      <c r="HN24" s="18">
        <f t="shared" si="85"/>
        <v>0.20556296092986331</v>
      </c>
      <c r="HO24" s="18">
        <f t="shared" si="85"/>
        <v>4.3619749415450189</v>
      </c>
      <c r="HP24" s="18">
        <f t="shared" si="85"/>
        <v>5.1531811032003301</v>
      </c>
      <c r="HQ24" s="18">
        <f t="shared" si="85"/>
        <v>3.8208686437211408</v>
      </c>
      <c r="HR24" s="18">
        <f t="shared" si="85"/>
        <v>7.4156351046887004E-2</v>
      </c>
      <c r="HS24" s="18">
        <f t="shared" si="85"/>
        <v>5.083342946592003</v>
      </c>
      <c r="HT24" s="18">
        <f t="shared" si="85"/>
        <v>4.651308202287467</v>
      </c>
      <c r="HU24" s="18">
        <f t="shared" si="85"/>
        <v>5.3574144423095245</v>
      </c>
      <c r="HV24" s="18">
        <f t="shared" si="85"/>
        <v>9.4516118119361087E-2</v>
      </c>
      <c r="HW24" s="18">
        <f t="shared" si="85"/>
        <v>4.4856430999143857</v>
      </c>
      <c r="HX24" s="18">
        <f t="shared" si="85"/>
        <v>3.3358264089527596</v>
      </c>
      <c r="HY24" s="18">
        <f t="shared" si="85"/>
        <v>4.0616698921924801</v>
      </c>
      <c r="HZ24" s="18">
        <f t="shared" si="85"/>
        <v>6.9562418840649176E-2</v>
      </c>
      <c r="IA24" s="18">
        <f t="shared" si="85"/>
        <v>4.4585914246648848</v>
      </c>
      <c r="IB24" s="18">
        <f t="shared" si="85"/>
        <v>3.8589561089940974</v>
      </c>
      <c r="IC24" s="18">
        <f t="shared" si="85"/>
        <v>2.9029243320812674</v>
      </c>
      <c r="ID24" s="18">
        <f t="shared" si="85"/>
        <v>6.8911947125818565E-2</v>
      </c>
      <c r="IE24" s="18">
        <f t="shared" si="85"/>
        <v>4.9721713534812615</v>
      </c>
      <c r="IF24" s="18">
        <f t="shared" si="85"/>
        <v>3.5930633678294748</v>
      </c>
      <c r="IG24" s="18">
        <f t="shared" si="85"/>
        <v>4.0823057511073095</v>
      </c>
      <c r="IH24" s="18">
        <f t="shared" si="85"/>
        <v>8.9781473666180403E-2</v>
      </c>
      <c r="II24" s="18">
        <f t="shared" si="85"/>
        <v>5.0606265334677776</v>
      </c>
      <c r="IJ24" s="18">
        <f t="shared" si="85"/>
        <v>4.9899643464037835</v>
      </c>
      <c r="IK24" s="18">
        <f t="shared" si="85"/>
        <v>4.7445609016761781</v>
      </c>
      <c r="IL24" s="18">
        <f t="shared" si="85"/>
        <v>8.0846680844662427E-2</v>
      </c>
      <c r="IM24" s="18">
        <f t="shared" si="85"/>
        <v>8.157016392710899</v>
      </c>
      <c r="IN24" s="18">
        <f t="shared" si="85"/>
        <v>6.8905441049379581</v>
      </c>
      <c r="IO24" s="18">
        <f t="shared" si="85"/>
        <v>9.2202350735811098</v>
      </c>
      <c r="IP24" s="18">
        <f t="shared" si="85"/>
        <v>0.12702192303341434</v>
      </c>
      <c r="IQ24" s="18">
        <f t="shared" si="85"/>
        <v>3.7705442123057478</v>
      </c>
      <c r="IR24" s="18">
        <f t="shared" si="85"/>
        <v>4.6970190959190878</v>
      </c>
      <c r="IS24" s="18">
        <f t="shared" si="85"/>
        <v>3.2679511153597356</v>
      </c>
      <c r="IT24" s="18">
        <f t="shared" si="85"/>
        <v>6.455814931666648E-2</v>
      </c>
      <c r="IU24" s="18">
        <f t="shared" si="85"/>
        <v>5.8504570317034821</v>
      </c>
      <c r="IV24" s="18">
        <f t="shared" si="85"/>
        <v>5.2593891663069261</v>
      </c>
      <c r="IW24" s="18">
        <f t="shared" si="85"/>
        <v>5.2229297448389831</v>
      </c>
      <c r="IX24" s="18">
        <f t="shared" si="85"/>
        <v>9.8816930564510005E-2</v>
      </c>
      <c r="IY24" s="18">
        <f t="shared" si="85"/>
        <v>6.0748711114448062</v>
      </c>
      <c r="IZ24" s="18">
        <f t="shared" si="85"/>
        <v>6.0941195953695129</v>
      </c>
      <c r="JA24" s="18">
        <f t="shared" si="85"/>
        <v>5.9627136358013555</v>
      </c>
      <c r="JB24" s="18">
        <f t="shared" si="85"/>
        <v>9.9708506974291802E-2</v>
      </c>
      <c r="JX24" s="18"/>
      <c r="JY24" s="18"/>
      <c r="JZ24" s="18"/>
      <c r="KA24" s="18"/>
      <c r="KB24" s="18"/>
      <c r="KC24" s="18"/>
      <c r="KD24" s="18"/>
      <c r="KE24" s="106" t="s">
        <v>53</v>
      </c>
      <c r="KF24" s="83">
        <f>STDEV(KF3:KF22)</f>
        <v>1.5865347083982694E-2</v>
      </c>
      <c r="KG24" s="83">
        <f t="shared" ref="KG24:KN24" si="86">STDEV(KG3:KG22)</f>
        <v>1.8495113897871448E-2</v>
      </c>
      <c r="KH24" s="83">
        <f t="shared" si="86"/>
        <v>1.5866926518480425E-2</v>
      </c>
      <c r="KI24" s="83">
        <f t="shared" si="86"/>
        <v>2.694090004506337E-2</v>
      </c>
      <c r="KJ24" s="83">
        <f t="shared" si="86"/>
        <v>2.0097891384302968E-2</v>
      </c>
      <c r="KK24" s="83">
        <f t="shared" si="86"/>
        <v>2.0308869162675349E-2</v>
      </c>
      <c r="KL24" s="86">
        <f t="shared" si="86"/>
        <v>1.5065652357345192E-2</v>
      </c>
      <c r="KM24" s="83">
        <f t="shared" si="86"/>
        <v>2.1775920472507653</v>
      </c>
      <c r="KN24" s="84">
        <f t="shared" si="86"/>
        <v>2.1775920472507644</v>
      </c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 t="s">
        <v>620</v>
      </c>
      <c r="LC24" s="358" t="s">
        <v>53</v>
      </c>
      <c r="LD24" s="358">
        <v>3.4573423860342505</v>
      </c>
      <c r="LE24" s="358">
        <v>6.2193106178581807</v>
      </c>
      <c r="LF24" s="358">
        <v>6.8533084169114948</v>
      </c>
      <c r="LG24" s="358">
        <v>4.7264343099793207</v>
      </c>
      <c r="LH24" s="358">
        <v>6.2150778742068979</v>
      </c>
      <c r="LI24" s="361">
        <v>6.97111836279303</v>
      </c>
      <c r="LJ24" s="18"/>
      <c r="LK24" s="158" t="s">
        <v>53</v>
      </c>
      <c r="LL24" s="68">
        <f>STDEV(LL3:LL22)</f>
        <v>2.4702695052506791E-2</v>
      </c>
      <c r="LM24" s="5">
        <f t="shared" ref="LM24" si="87">STDEV(LM3:LM22)</f>
        <v>2.4040085571513981E-2</v>
      </c>
      <c r="LN24" s="5">
        <f>STDEV(LN3:LN22)</f>
        <v>2.3982070683861198E-2</v>
      </c>
      <c r="LO24" s="5">
        <f>STDEV(LO3:LO22)</f>
        <v>2.0799890109599831E-2</v>
      </c>
      <c r="LP24" s="5">
        <f>STDEV(LP3:LP22)</f>
        <v>2.2786211369409979E-2</v>
      </c>
      <c r="LQ24" s="5">
        <f t="shared" ref="LQ24:LR24" si="88">STDEV(LQ3:LQ22)</f>
        <v>2.1142355930352564E-2</v>
      </c>
      <c r="LR24" s="5">
        <f t="shared" si="88"/>
        <v>2.2031599060051397E-2</v>
      </c>
      <c r="LS24" s="68">
        <f>STDEV(LS3:LS22)</f>
        <v>3.0205977809036377</v>
      </c>
      <c r="LT24" s="68">
        <f t="shared" ref="LT24:MM24" si="89">STDEV(LT3:LT22)</f>
        <v>3.0435606005529254</v>
      </c>
      <c r="LU24" s="68">
        <f t="shared" si="89"/>
        <v>2.9827967684149481</v>
      </c>
      <c r="LV24" s="68">
        <f t="shared" si="89"/>
        <v>4.7386168111239728</v>
      </c>
      <c r="LW24" s="68">
        <f t="shared" si="89"/>
        <v>3.7584676392051488</v>
      </c>
      <c r="LX24" s="68">
        <f t="shared" si="89"/>
        <v>4.086309551804268</v>
      </c>
      <c r="LY24" s="68">
        <f t="shared" si="89"/>
        <v>2.8974271953875608</v>
      </c>
      <c r="LZ24" s="68">
        <f t="shared" si="89"/>
        <v>2.6195792101204405E-2</v>
      </c>
      <c r="MA24" s="68">
        <f t="shared" si="89"/>
        <v>2.3351655391509376E-2</v>
      </c>
      <c r="MB24" s="68">
        <f t="shared" si="89"/>
        <v>2.4312571703897182E-2</v>
      </c>
      <c r="MC24" s="68">
        <f t="shared" si="89"/>
        <v>2.9987179800390576E-2</v>
      </c>
      <c r="MD24" s="68">
        <f t="shared" si="89"/>
        <v>2.8514454145890569E-2</v>
      </c>
      <c r="ME24" s="68">
        <f t="shared" si="89"/>
        <v>2.7788929364732561E-2</v>
      </c>
      <c r="MF24" s="68">
        <f t="shared" si="89"/>
        <v>2.9705685282370407E-2</v>
      </c>
      <c r="MG24" s="68">
        <f t="shared" si="89"/>
        <v>6.3552934816651169E-2</v>
      </c>
      <c r="MH24" s="68">
        <f t="shared" si="89"/>
        <v>6.0223709933009184E-2</v>
      </c>
      <c r="MI24" s="68">
        <f t="shared" si="89"/>
        <v>6.0577010805215825E-2</v>
      </c>
      <c r="MJ24" s="68">
        <f t="shared" si="89"/>
        <v>5.8711739720027134E-2</v>
      </c>
      <c r="MK24" s="68">
        <f t="shared" si="89"/>
        <v>5.8815868445108659E-2</v>
      </c>
      <c r="ML24" s="68">
        <f t="shared" si="89"/>
        <v>5.6781238098512501E-2</v>
      </c>
      <c r="MM24" s="68">
        <f t="shared" si="89"/>
        <v>5.2716050912502151E-2</v>
      </c>
    </row>
    <row r="25" spans="1:361" ht="17" thickBot="1" x14ac:dyDescent="0.25">
      <c r="A25" s="32"/>
      <c r="CK25" t="s">
        <v>54</v>
      </c>
      <c r="CL25">
        <f>CL24/SQRT(15)</f>
        <v>0.2303986834018022</v>
      </c>
      <c r="CM25" s="18">
        <f t="shared" ref="CM25:CT25" si="90">CM24/SQRT(15)</f>
        <v>0.30915858173554617</v>
      </c>
      <c r="CN25" s="18">
        <f t="shared" si="90"/>
        <v>5.61919215103895E-2</v>
      </c>
      <c r="CO25" s="18">
        <f t="shared" si="90"/>
        <v>5.0250616698095808E-2</v>
      </c>
      <c r="CP25" s="18">
        <f t="shared" si="90"/>
        <v>5.6317398333488346E-2</v>
      </c>
      <c r="CQ25" s="18">
        <f t="shared" si="90"/>
        <v>7.7715667719905082E-2</v>
      </c>
      <c r="CR25" s="18">
        <f t="shared" si="90"/>
        <v>4.0748366153511024E-2</v>
      </c>
      <c r="CS25" s="18">
        <f t="shared" si="90"/>
        <v>4.1314209407295556E-2</v>
      </c>
      <c r="CT25" s="18">
        <f t="shared" si="90"/>
        <v>7.0102793482200859E-2</v>
      </c>
      <c r="GK25" t="s">
        <v>217</v>
      </c>
      <c r="GS25" s="32" t="s">
        <v>54</v>
      </c>
      <c r="HA25" t="s">
        <v>217</v>
      </c>
      <c r="HB25" t="s">
        <v>217</v>
      </c>
      <c r="HE25" t="s">
        <v>217</v>
      </c>
      <c r="HI25" s="32" t="s">
        <v>217</v>
      </c>
      <c r="HJ25" t="s">
        <v>217</v>
      </c>
      <c r="HK25" s="5"/>
      <c r="HL25" s="5"/>
      <c r="HM25" s="32"/>
      <c r="HN25" s="5" t="s">
        <v>217</v>
      </c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362" t="s">
        <v>54</v>
      </c>
      <c r="LD25" s="362">
        <v>0.79316874073384658</v>
      </c>
      <c r="LE25" s="362">
        <v>1.4268077095649112</v>
      </c>
      <c r="LF25" s="362">
        <v>1.5722567799070484</v>
      </c>
      <c r="LG25" s="362">
        <v>1.0843183958149079</v>
      </c>
      <c r="LH25" s="362">
        <v>1.4258366515738663</v>
      </c>
      <c r="LI25" s="363">
        <v>1.5992842350987118</v>
      </c>
      <c r="LJ25" s="18"/>
      <c r="LK25" s="158" t="s">
        <v>418</v>
      </c>
      <c r="LL25" s="86"/>
      <c r="LM25" s="83"/>
      <c r="LN25" s="83"/>
      <c r="LO25" s="83"/>
      <c r="LP25" s="83"/>
      <c r="LQ25" s="84"/>
      <c r="LR25" s="77"/>
      <c r="LS25" s="86"/>
      <c r="LT25" s="83"/>
      <c r="LU25" s="83"/>
      <c r="LV25" s="83"/>
      <c r="LW25" s="83"/>
      <c r="LX25" s="84"/>
      <c r="LY25" s="77"/>
      <c r="LZ25" s="86"/>
      <c r="MA25" s="83"/>
      <c r="MB25" s="83"/>
      <c r="MC25" s="83"/>
      <c r="MD25" s="83"/>
      <c r="ME25" s="84"/>
      <c r="MF25" s="77"/>
      <c r="MG25" s="86"/>
      <c r="MH25" s="83"/>
      <c r="MI25" s="83"/>
      <c r="MJ25" s="83"/>
      <c r="MK25" s="83"/>
      <c r="ML25" s="84"/>
      <c r="MM25" s="77"/>
    </row>
    <row r="26" spans="1:361" ht="16" x14ac:dyDescent="0.2">
      <c r="GS26" s="24" t="s">
        <v>441</v>
      </c>
      <c r="GV26">
        <f>TTEST(GT3:GT22,GU3:GU22,2,1)</f>
        <v>1.1856829946318285E-3</v>
      </c>
      <c r="GW26" s="21">
        <v>11.3</v>
      </c>
      <c r="GX26" s="18"/>
      <c r="GY26" s="18"/>
      <c r="GZ26" s="18"/>
      <c r="HA26" s="18">
        <f>TTEST(GY3:GY22,GZ3:GZ22,2,1)</f>
        <v>2.0121055651056404E-3</v>
      </c>
      <c r="HB26" s="21">
        <v>6.6</v>
      </c>
      <c r="HC26" s="18"/>
      <c r="HD26" s="18"/>
      <c r="HE26" s="18">
        <f t="shared" ref="HE26:JA26" si="91">TTEST(HC3:HC22,HD3:HD22,2,1)</f>
        <v>2.6173063009851311E-3</v>
      </c>
      <c r="HF26" s="21">
        <v>10.1</v>
      </c>
      <c r="HG26" s="18"/>
      <c r="HH26" s="18"/>
      <c r="HI26" s="375">
        <f t="shared" si="91"/>
        <v>4.1948260018663182E-5</v>
      </c>
      <c r="HJ26" s="21">
        <v>6.9</v>
      </c>
      <c r="HK26" s="18"/>
      <c r="HL26" s="18"/>
      <c r="HM26" s="375">
        <f t="shared" si="91"/>
        <v>1.7820736975094428E-5</v>
      </c>
      <c r="HN26" s="21">
        <v>29</v>
      </c>
      <c r="HO26" s="18"/>
      <c r="HP26" s="18"/>
      <c r="HQ26" s="18">
        <f t="shared" si="91"/>
        <v>1.8232313277018325E-2</v>
      </c>
      <c r="HR26" s="21">
        <v>5.3</v>
      </c>
      <c r="HS26" s="18"/>
      <c r="HT26" s="18"/>
      <c r="HU26" s="18">
        <f t="shared" si="91"/>
        <v>0.69783725558316734</v>
      </c>
      <c r="HV26" s="21">
        <v>1.3</v>
      </c>
      <c r="HW26" s="18"/>
      <c r="HX26" s="18"/>
      <c r="HY26" s="18">
        <f t="shared" si="91"/>
        <v>0.84711096848787015</v>
      </c>
      <c r="HZ26" s="21">
        <f>0.5</f>
        <v>0.5</v>
      </c>
      <c r="IA26" s="18"/>
      <c r="IB26" s="18"/>
      <c r="IC26" s="18">
        <f t="shared" si="91"/>
        <v>0.23921540354834753</v>
      </c>
      <c r="ID26" s="21">
        <v>-0.2</v>
      </c>
      <c r="IE26" s="18"/>
      <c r="IF26" s="18"/>
      <c r="IG26" s="18">
        <f t="shared" si="91"/>
        <v>0.32628230669866531</v>
      </c>
      <c r="IH26" s="21">
        <v>-0.23</v>
      </c>
      <c r="II26" s="18"/>
      <c r="IJ26" s="18"/>
      <c r="IK26" s="18">
        <f t="shared" si="91"/>
        <v>0.27528928780675127</v>
      </c>
      <c r="IL26" s="21">
        <v>0.26</v>
      </c>
      <c r="IM26" s="18"/>
      <c r="IN26" s="18"/>
      <c r="IO26" s="18">
        <f t="shared" si="91"/>
        <v>0.41077497688049114</v>
      </c>
      <c r="IP26" s="21">
        <v>3.2</v>
      </c>
      <c r="IQ26" s="18"/>
      <c r="IR26" s="18"/>
      <c r="IS26" s="18">
        <f t="shared" si="91"/>
        <v>0.44307487180611682</v>
      </c>
      <c r="IT26" s="376">
        <v>1.7</v>
      </c>
      <c r="IU26" s="18"/>
      <c r="IV26" s="18"/>
      <c r="IW26" s="18">
        <f>TTEST(IU3:IU22,IV3:IV22,2,1)</f>
        <v>0.54088098432447751</v>
      </c>
      <c r="IX26" s="21">
        <v>1.9</v>
      </c>
      <c r="IY26" s="18"/>
      <c r="IZ26" s="18"/>
      <c r="JA26" s="18">
        <f t="shared" si="91"/>
        <v>0.27912749841240536</v>
      </c>
      <c r="JB26" s="21">
        <v>3.3</v>
      </c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58"/>
      <c r="JV26" s="18"/>
      <c r="JW26" s="18"/>
      <c r="JX26" s="18"/>
      <c r="JY26" s="18" t="s">
        <v>217</v>
      </c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</row>
    <row r="27" spans="1:361" ht="16" thickBot="1" x14ac:dyDescent="0.25">
      <c r="FQ27" t="s">
        <v>564</v>
      </c>
      <c r="GK27" t="s">
        <v>217</v>
      </c>
      <c r="GS27" s="24" t="s">
        <v>557</v>
      </c>
      <c r="GV27">
        <f>GV26*12</f>
        <v>1.4228195935581941E-2</v>
      </c>
      <c r="GW27" s="21">
        <v>10.7</v>
      </c>
      <c r="HA27">
        <f>HA26*12</f>
        <v>2.4145266781267685E-2</v>
      </c>
      <c r="HB27" s="21">
        <v>6.7</v>
      </c>
      <c r="HE27">
        <f>HE26*12</f>
        <v>3.1407675611821576E-2</v>
      </c>
      <c r="HF27" s="21">
        <v>10.8</v>
      </c>
      <c r="HI27" t="s">
        <v>217</v>
      </c>
      <c r="HJ27" s="21">
        <v>19</v>
      </c>
      <c r="HN27" s="21">
        <v>21</v>
      </c>
      <c r="HQ27">
        <f>HQ26*12</f>
        <v>0.2187877593242199</v>
      </c>
      <c r="HR27" s="21">
        <v>7.4</v>
      </c>
      <c r="HU27" t="s">
        <v>217</v>
      </c>
      <c r="HV27" s="21">
        <v>9.5</v>
      </c>
      <c r="HZ27" s="21">
        <v>7</v>
      </c>
      <c r="ID27" s="21">
        <v>6.9</v>
      </c>
      <c r="IE27" t="s">
        <v>217</v>
      </c>
      <c r="IH27" s="21">
        <v>9</v>
      </c>
      <c r="IL27" s="21">
        <v>8.1</v>
      </c>
      <c r="IN27" s="338"/>
      <c r="IO27" s="138"/>
      <c r="IP27" s="21">
        <v>1.3</v>
      </c>
      <c r="IQ27" s="338"/>
      <c r="IR27" s="138"/>
      <c r="IS27" s="138"/>
      <c r="IT27" s="377">
        <v>6.5</v>
      </c>
      <c r="IU27" s="138"/>
      <c r="IV27" s="138"/>
      <c r="IW27" s="338"/>
      <c r="IX27" s="21">
        <v>9.9</v>
      </c>
      <c r="IY27" s="138"/>
      <c r="IZ27" s="138"/>
      <c r="JA27" s="338"/>
      <c r="JB27" s="21">
        <v>10</v>
      </c>
      <c r="JC27" s="138"/>
      <c r="JD27" s="338"/>
      <c r="JE27" s="138"/>
      <c r="JF27" s="138"/>
      <c r="JG27" s="338"/>
      <c r="JH27" s="138"/>
      <c r="JI27" s="138"/>
      <c r="JJ27" s="338"/>
      <c r="JK27" s="13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 t="s">
        <v>217</v>
      </c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 t="s">
        <v>217</v>
      </c>
      <c r="KU27" s="18" t="s">
        <v>217</v>
      </c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</row>
    <row r="28" spans="1:361" ht="16" thickBot="1" x14ac:dyDescent="0.25">
      <c r="FP28" t="s">
        <v>257</v>
      </c>
      <c r="FQ28" t="s">
        <v>563</v>
      </c>
      <c r="FR28" s="146" t="s">
        <v>547</v>
      </c>
      <c r="FS28" s="71" t="s">
        <v>548</v>
      </c>
      <c r="FT28" s="142" t="s">
        <v>549</v>
      </c>
      <c r="FU28" s="147" t="s">
        <v>550</v>
      </c>
      <c r="FV28" s="136" t="s">
        <v>551</v>
      </c>
      <c r="FW28" s="135" t="s">
        <v>552</v>
      </c>
      <c r="FX28" s="148" t="s">
        <v>237</v>
      </c>
      <c r="FY28" s="149" t="s">
        <v>553</v>
      </c>
      <c r="FZ28" s="150" t="s">
        <v>558</v>
      </c>
      <c r="GA28" s="141" t="s">
        <v>556</v>
      </c>
      <c r="GB28" s="143" t="s">
        <v>554</v>
      </c>
      <c r="GC28" s="18" t="s">
        <v>241</v>
      </c>
      <c r="GD28" s="18" t="s">
        <v>242</v>
      </c>
      <c r="GE28" s="18" t="s">
        <v>243</v>
      </c>
      <c r="GF28" s="18" t="s">
        <v>244</v>
      </c>
      <c r="GG28" s="18" t="s">
        <v>245</v>
      </c>
      <c r="GH28" s="18" t="s">
        <v>246</v>
      </c>
      <c r="GI28" s="18" t="s">
        <v>216</v>
      </c>
      <c r="GJ28" t="s">
        <v>565</v>
      </c>
      <c r="GK28" s="95" t="s">
        <v>256</v>
      </c>
      <c r="GL28" s="95" t="s">
        <v>255</v>
      </c>
      <c r="GM28" s="95" t="s">
        <v>259</v>
      </c>
      <c r="GN28" s="95" t="s">
        <v>258</v>
      </c>
      <c r="GO28" s="95" t="s">
        <v>257</v>
      </c>
      <c r="GP28" s="95" t="s">
        <v>269</v>
      </c>
      <c r="GQ28" s="96"/>
      <c r="GR28" s="95"/>
      <c r="GS28" s="413"/>
      <c r="GT28" s="5"/>
      <c r="GU28" s="5"/>
      <c r="GW28" s="21">
        <f>GW27/SQRT(15)</f>
        <v>2.7627281202946237</v>
      </c>
      <c r="HB28" s="21">
        <f>HB27/SQRT(15)</f>
        <v>1.7299325613059795</v>
      </c>
      <c r="HF28" s="21">
        <f>HF27/SQRT(15)</f>
        <v>2.7885480092693404</v>
      </c>
      <c r="HJ28" s="21">
        <f>HJ27/SQRT(15)</f>
        <v>4.905778905196061</v>
      </c>
      <c r="HN28" s="21">
        <f>HN27/SQRT(15)</f>
        <v>5.4221766846903838</v>
      </c>
      <c r="HQ28" t="s">
        <v>217</v>
      </c>
      <c r="HR28" s="21">
        <f>HR27/SQRT(15)</f>
        <v>1.9106717841289924</v>
      </c>
      <c r="HV28" s="21">
        <f>HV27/SQRT(15)</f>
        <v>2.4528894525980305</v>
      </c>
      <c r="HZ28" s="21">
        <f>HZ27/SQRT(15)</f>
        <v>1.8073922282301278</v>
      </c>
      <c r="ID28" s="21">
        <f>ID27/SQRT(15)</f>
        <v>1.7815723392554117</v>
      </c>
      <c r="IH28" s="21">
        <f>IH27/SQRT(15)</f>
        <v>2.3237900077244502</v>
      </c>
      <c r="IL28" s="21">
        <f>IL27/SQRT(15)</f>
        <v>2.0914110069520051</v>
      </c>
      <c r="IP28" s="21">
        <f>IP27/SQRT(15)</f>
        <v>0.33565855667130945</v>
      </c>
      <c r="IT28" s="376">
        <f>IT27/SQRT(15)</f>
        <v>1.6782927833565473</v>
      </c>
      <c r="IX28" s="21">
        <f>IX27/SQRT(15)</f>
        <v>2.5561690084968953</v>
      </c>
      <c r="IY28" t="s">
        <v>217</v>
      </c>
      <c r="JB28" s="21">
        <f>10/SQRT(15)</f>
        <v>2.5819888974716112</v>
      </c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 t="s">
        <v>217</v>
      </c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</row>
    <row r="29" spans="1:361" x14ac:dyDescent="0.2">
      <c r="FP29" s="5">
        <v>6</v>
      </c>
      <c r="FQ29" s="322">
        <v>0</v>
      </c>
      <c r="FR29" s="249">
        <v>0</v>
      </c>
      <c r="FS29" s="250">
        <v>0</v>
      </c>
      <c r="FT29" s="251">
        <v>3.333333445092667E-2</v>
      </c>
      <c r="FU29" s="252">
        <v>4.3333331744000003E-2</v>
      </c>
      <c r="FV29" s="160">
        <v>7.9999998212000004E-2</v>
      </c>
      <c r="FW29" s="253">
        <v>0</v>
      </c>
      <c r="FX29" s="254">
        <v>0</v>
      </c>
      <c r="FY29" s="255">
        <v>7.6666668057299991E-2</v>
      </c>
      <c r="FZ29" s="256">
        <v>0.98666667938233321</v>
      </c>
      <c r="GA29" s="257">
        <v>0.27666666110376664</v>
      </c>
      <c r="GB29" s="258">
        <v>0</v>
      </c>
      <c r="GC29" s="18">
        <v>0</v>
      </c>
      <c r="GD29" s="18">
        <v>9</v>
      </c>
      <c r="GE29" s="18">
        <v>9</v>
      </c>
      <c r="GF29" s="18">
        <v>0</v>
      </c>
      <c r="GG29" s="18">
        <v>1</v>
      </c>
      <c r="GH29" s="18">
        <v>0</v>
      </c>
      <c r="GI29" s="18">
        <v>19</v>
      </c>
      <c r="GJ29" s="101">
        <v>58</v>
      </c>
      <c r="GK29" s="5">
        <v>131</v>
      </c>
      <c r="GL29" s="5">
        <v>80</v>
      </c>
      <c r="GM29" s="5">
        <v>159</v>
      </c>
      <c r="GN29" s="5">
        <v>50</v>
      </c>
      <c r="GO29" s="5">
        <v>161</v>
      </c>
      <c r="GP29" s="5">
        <v>3</v>
      </c>
      <c r="GQ29" s="5"/>
      <c r="GR29" s="5"/>
      <c r="GS29" s="5"/>
      <c r="GT29" s="18"/>
      <c r="GU29" s="24"/>
    </row>
    <row r="30" spans="1:361" x14ac:dyDescent="0.2">
      <c r="FP30" s="5">
        <v>-2</v>
      </c>
      <c r="FQ30" s="322">
        <v>2</v>
      </c>
      <c r="FR30" s="259">
        <v>0.40600000000000003</v>
      </c>
      <c r="FS30" s="72">
        <v>0.22666666666666666</v>
      </c>
      <c r="FT30" s="260">
        <v>0.41333333333333327</v>
      </c>
      <c r="FU30" s="261">
        <v>0.37666666666666665</v>
      </c>
      <c r="FV30" s="154">
        <v>0.48333333333333339</v>
      </c>
      <c r="FW30" s="262">
        <v>0.20142857142857146</v>
      </c>
      <c r="FX30" s="263">
        <v>3.8333333333333337E-2</v>
      </c>
      <c r="FY30" s="264">
        <v>0.62</v>
      </c>
      <c r="FZ30" s="265">
        <v>0.55000000000000004</v>
      </c>
      <c r="GA30" s="266">
        <v>0.69</v>
      </c>
      <c r="GB30" s="267">
        <v>0.34</v>
      </c>
      <c r="GC30" s="18">
        <v>6</v>
      </c>
      <c r="GD30" s="18">
        <v>14</v>
      </c>
      <c r="GE30" s="18">
        <v>5</v>
      </c>
      <c r="GF30" s="18">
        <v>-1</v>
      </c>
      <c r="GG30" s="18">
        <v>4</v>
      </c>
      <c r="GH30" s="18">
        <v>1</v>
      </c>
      <c r="GI30" s="18">
        <v>29</v>
      </c>
      <c r="GJ30" s="5">
        <v>42</v>
      </c>
      <c r="GK30" s="5">
        <v>130</v>
      </c>
      <c r="GL30" s="5">
        <v>124</v>
      </c>
      <c r="GM30" s="5">
        <v>125</v>
      </c>
      <c r="GN30" s="5">
        <v>86</v>
      </c>
      <c r="GO30" s="5">
        <v>123</v>
      </c>
      <c r="GP30" s="5">
        <v>1</v>
      </c>
      <c r="GQ30" s="5"/>
      <c r="GR30" s="5"/>
      <c r="GS30" s="5"/>
      <c r="GT30" s="18"/>
      <c r="GU30" s="24"/>
    </row>
    <row r="31" spans="1:361" x14ac:dyDescent="0.2">
      <c r="CL31" t="s">
        <v>217</v>
      </c>
      <c r="FK31" s="5">
        <v>8</v>
      </c>
      <c r="FL31" s="322">
        <v>5</v>
      </c>
      <c r="FM31" s="259">
        <v>0.04</v>
      </c>
      <c r="FN31" s="72">
        <v>0.20000000000000004</v>
      </c>
      <c r="FO31" s="260">
        <v>0.14666666666666667</v>
      </c>
      <c r="FP31" s="261">
        <v>0.28666666666666668</v>
      </c>
      <c r="FQ31" s="154">
        <v>3.3333333333333335E-3</v>
      </c>
      <c r="FR31" s="262">
        <v>0.19285714285714287</v>
      </c>
      <c r="FS31" s="263">
        <v>6.6666666666666666E-2</v>
      </c>
      <c r="FT31" s="264">
        <v>0.06</v>
      </c>
      <c r="FU31" s="265">
        <v>0.21</v>
      </c>
      <c r="FV31" s="266">
        <v>0.20666666666666667</v>
      </c>
      <c r="FW31" s="267">
        <v>0.20333333333333334</v>
      </c>
      <c r="FX31" s="18">
        <v>3</v>
      </c>
      <c r="FY31" s="18">
        <v>8</v>
      </c>
      <c r="FZ31" s="18">
        <v>15</v>
      </c>
      <c r="GA31" s="18">
        <v>0</v>
      </c>
      <c r="GB31" s="18">
        <v>6</v>
      </c>
      <c r="GC31" s="18">
        <v>5</v>
      </c>
      <c r="GD31" s="18">
        <v>37</v>
      </c>
      <c r="GE31" s="5">
        <v>71</v>
      </c>
      <c r="GF31" s="5">
        <v>114</v>
      </c>
      <c r="GG31" s="5">
        <v>117</v>
      </c>
      <c r="GH31" s="5">
        <v>123</v>
      </c>
      <c r="GI31" s="5">
        <v>88</v>
      </c>
      <c r="GJ31" s="5">
        <v>136</v>
      </c>
      <c r="GK31" s="5">
        <v>0</v>
      </c>
      <c r="GL31" s="5">
        <v>35</v>
      </c>
      <c r="GM31" s="5">
        <v>71</v>
      </c>
      <c r="GN31" s="5">
        <v>52</v>
      </c>
      <c r="GO31" s="18">
        <v>28</v>
      </c>
      <c r="GP31" s="24">
        <v>146</v>
      </c>
      <c r="HV31" t="s">
        <v>662</v>
      </c>
      <c r="HW31" s="139" t="s">
        <v>521</v>
      </c>
      <c r="HX31" s="139" t="s">
        <v>522</v>
      </c>
      <c r="HY31" s="139" t="s">
        <v>523</v>
      </c>
      <c r="HZ31" s="139" t="s">
        <v>655</v>
      </c>
      <c r="IA31" s="139" t="s">
        <v>310</v>
      </c>
      <c r="IB31" s="139" t="s">
        <v>518</v>
      </c>
      <c r="IC31" s="139" t="s">
        <v>519</v>
      </c>
      <c r="ID31" s="139" t="s">
        <v>656</v>
      </c>
      <c r="IE31" s="139" t="s">
        <v>659</v>
      </c>
      <c r="IF31" s="139" t="s">
        <v>660</v>
      </c>
      <c r="IG31" s="139" t="s">
        <v>520</v>
      </c>
      <c r="IH31" s="139" t="s">
        <v>653</v>
      </c>
      <c r="II31" s="139" t="s">
        <v>654</v>
      </c>
    </row>
    <row r="32" spans="1:361" x14ac:dyDescent="0.2">
      <c r="FK32" s="5">
        <v>13</v>
      </c>
      <c r="FL32" s="322">
        <v>-4</v>
      </c>
      <c r="FM32" s="259">
        <v>0.83600000441059996</v>
      </c>
      <c r="FN32" s="72">
        <v>0.33333333333333331</v>
      </c>
      <c r="FO32" s="260">
        <v>1</v>
      </c>
      <c r="FP32" s="261">
        <v>0.76333332061766657</v>
      </c>
      <c r="FQ32" s="154">
        <v>0.99333333969100002</v>
      </c>
      <c r="FR32" s="262">
        <v>0.5714285714285714</v>
      </c>
      <c r="FS32" s="263">
        <v>0.48833332614341335</v>
      </c>
      <c r="FT32" s="264">
        <v>0.66999999992549331</v>
      </c>
      <c r="FU32" s="265">
        <v>1</v>
      </c>
      <c r="FV32" s="266">
        <v>0.85999999443700004</v>
      </c>
      <c r="FW32" s="267">
        <v>0.5499999920526667</v>
      </c>
      <c r="FX32" s="18">
        <v>7</v>
      </c>
      <c r="FY32" s="18">
        <v>15</v>
      </c>
      <c r="FZ32" s="18">
        <v>29</v>
      </c>
      <c r="GA32" s="18">
        <v>-1</v>
      </c>
      <c r="GB32" s="18">
        <v>6</v>
      </c>
      <c r="GC32" s="18">
        <v>3</v>
      </c>
      <c r="GD32" s="18">
        <v>59</v>
      </c>
      <c r="GE32" s="5">
        <v>79</v>
      </c>
      <c r="GF32" s="5">
        <v>144</v>
      </c>
      <c r="GG32" s="5">
        <v>81</v>
      </c>
      <c r="GH32" s="5">
        <v>148</v>
      </c>
      <c r="GI32" s="5">
        <v>84</v>
      </c>
      <c r="GJ32" s="5">
        <v>147</v>
      </c>
      <c r="GK32" s="5">
        <v>7</v>
      </c>
      <c r="GL32" s="5">
        <v>35</v>
      </c>
      <c r="GM32" s="5">
        <v>79</v>
      </c>
      <c r="GN32" s="5">
        <v>56</v>
      </c>
      <c r="GO32" s="18">
        <v>39</v>
      </c>
      <c r="GP32" s="24">
        <v>112</v>
      </c>
      <c r="HW32" s="21">
        <v>-0.35529889394031439</v>
      </c>
      <c r="HX32" s="21">
        <v>-0.29211373916045386</v>
      </c>
      <c r="HY32" s="21">
        <v>-0.21518479080140895</v>
      </c>
      <c r="HZ32" s="21">
        <v>-8.699872278311585E-2</v>
      </c>
      <c r="IA32" s="21">
        <v>-0.31808036443073923</v>
      </c>
      <c r="IB32" s="21">
        <v>-0.26075867745036507</v>
      </c>
      <c r="IC32" s="21">
        <v>-0.25813865717952023</v>
      </c>
      <c r="ID32" s="21">
        <v>-0.26087848142586018</v>
      </c>
      <c r="IE32" s="21">
        <v>-0.12715449255611508</v>
      </c>
      <c r="IF32" s="21">
        <v>-0.16817898183040944</v>
      </c>
      <c r="IG32" s="21">
        <v>-0.22070171368961619</v>
      </c>
      <c r="IH32" s="21">
        <v>-0.14831486217372353</v>
      </c>
      <c r="II32" s="21">
        <v>-0.27658289021075461</v>
      </c>
    </row>
    <row r="33" spans="167:272" x14ac:dyDescent="0.2">
      <c r="FK33" s="5">
        <v>2</v>
      </c>
      <c r="FL33" s="322">
        <v>-1</v>
      </c>
      <c r="FM33" s="259">
        <v>0.45199999362238003</v>
      </c>
      <c r="FN33" s="72">
        <v>0.37999999957780001</v>
      </c>
      <c r="FO33" s="260">
        <v>0.48999999463566662</v>
      </c>
      <c r="FP33" s="261">
        <v>0.530000006159</v>
      </c>
      <c r="FQ33" s="154">
        <v>0.69999998807899999</v>
      </c>
      <c r="FR33" s="262">
        <v>0.62571428929071427</v>
      </c>
      <c r="FS33" s="263">
        <v>0.50166667004416665</v>
      </c>
      <c r="FT33" s="264">
        <v>0.93000000715266662</v>
      </c>
      <c r="FU33" s="265">
        <v>0.98333332935966666</v>
      </c>
      <c r="FV33" s="266">
        <v>1</v>
      </c>
      <c r="FW33" s="267">
        <v>0.29666666686533333</v>
      </c>
      <c r="FX33" s="18">
        <v>4</v>
      </c>
      <c r="FY33" s="18">
        <v>15</v>
      </c>
      <c r="FZ33" s="18">
        <v>21</v>
      </c>
      <c r="GA33" s="18">
        <v>1</v>
      </c>
      <c r="GB33" s="18">
        <v>5</v>
      </c>
      <c r="GC33" s="18">
        <v>9</v>
      </c>
      <c r="GD33" s="18">
        <v>55</v>
      </c>
      <c r="GE33" s="5">
        <v>33</v>
      </c>
      <c r="GF33" s="5">
        <v>136</v>
      </c>
      <c r="GG33" s="5">
        <v>137</v>
      </c>
      <c r="GH33" s="5">
        <v>110</v>
      </c>
      <c r="GI33" s="5">
        <v>52</v>
      </c>
      <c r="GJ33" s="5">
        <v>131</v>
      </c>
      <c r="GK33" s="5">
        <v>4</v>
      </c>
      <c r="GL33" s="5">
        <v>27</v>
      </c>
      <c r="GM33" s="5">
        <v>33</v>
      </c>
      <c r="GN33" s="5">
        <v>47</v>
      </c>
      <c r="GO33" s="18">
        <v>53</v>
      </c>
      <c r="GP33" s="24">
        <v>108</v>
      </c>
      <c r="HW33" s="18">
        <v>0.17107982432297858</v>
      </c>
      <c r="HX33" s="18">
        <v>0.13303820659874332</v>
      </c>
      <c r="HY33" s="18">
        <v>0.18980335174083621</v>
      </c>
      <c r="HZ33" s="18">
        <v>0.19906037068424953</v>
      </c>
      <c r="IA33" s="18">
        <v>0.19814481970533399</v>
      </c>
      <c r="IB33" s="18">
        <v>0.13231735442185522</v>
      </c>
      <c r="IC33" s="18">
        <v>0.17718560829347796</v>
      </c>
      <c r="ID33" s="18">
        <v>0.12322286173249333</v>
      </c>
      <c r="IE33" s="18">
        <v>0.16607899972969012</v>
      </c>
      <c r="IF33" s="18">
        <v>0.2380334141166888</v>
      </c>
      <c r="IG33" s="18">
        <v>0.17555826339042233</v>
      </c>
      <c r="IH33" s="18">
        <v>0.12787750193833866</v>
      </c>
      <c r="II33" s="18">
        <v>0.15640026672116597</v>
      </c>
    </row>
    <row r="34" spans="167:272" ht="16" thickBot="1" x14ac:dyDescent="0.25">
      <c r="FK34" s="5">
        <v>-1</v>
      </c>
      <c r="FL34" s="322">
        <v>-1</v>
      </c>
      <c r="FM34" s="259">
        <v>2.1999999999999999E-2</v>
      </c>
      <c r="FN34" s="72">
        <v>0.03</v>
      </c>
      <c r="FO34" s="260">
        <v>3.3333333333333333E-2</v>
      </c>
      <c r="FP34" s="261">
        <v>0.02</v>
      </c>
      <c r="FQ34" s="154">
        <v>0.02</v>
      </c>
      <c r="FR34" s="262">
        <v>0.02</v>
      </c>
      <c r="FS34" s="263">
        <v>2.3333333333333334E-2</v>
      </c>
      <c r="FT34" s="264">
        <v>4.9999999999999996E-2</v>
      </c>
      <c r="FU34" s="265">
        <v>0.02</v>
      </c>
      <c r="FV34" s="266">
        <v>0.02</v>
      </c>
      <c r="FW34" s="267">
        <v>0.02</v>
      </c>
      <c r="FX34" s="18">
        <v>-1</v>
      </c>
      <c r="FY34" s="18">
        <v>4</v>
      </c>
      <c r="FZ34" s="18">
        <v>0</v>
      </c>
      <c r="GA34" s="18">
        <v>0</v>
      </c>
      <c r="GB34" s="18">
        <v>0</v>
      </c>
      <c r="GC34" s="18">
        <v>0</v>
      </c>
      <c r="GD34" s="18">
        <v>3</v>
      </c>
      <c r="GE34" s="5">
        <v>81</v>
      </c>
      <c r="GF34" s="5">
        <v>134</v>
      </c>
      <c r="GG34" s="5">
        <v>106</v>
      </c>
      <c r="GH34" s="5">
        <v>126</v>
      </c>
      <c r="GI34" s="5">
        <v>91</v>
      </c>
      <c r="GJ34" s="5">
        <v>162</v>
      </c>
      <c r="GK34" s="81"/>
      <c r="GL34" s="81"/>
      <c r="GM34" s="5">
        <v>81</v>
      </c>
      <c r="GN34" s="5">
        <v>54</v>
      </c>
      <c r="GO34" s="18">
        <v>37</v>
      </c>
      <c r="GP34" s="24">
        <v>117</v>
      </c>
      <c r="HW34" s="18">
        <v>4.4172620698332436E-2</v>
      </c>
      <c r="HX34" s="18">
        <v>3.4350317237748972E-2</v>
      </c>
      <c r="HY34" s="18">
        <v>4.9007014689773809E-2</v>
      </c>
      <c r="HZ34" s="18">
        <v>5.1397166703331568E-2</v>
      </c>
      <c r="IA34" s="18">
        <v>5.1160772457068647E-2</v>
      </c>
      <c r="IB34" s="18">
        <v>3.4164194006004636E-2</v>
      </c>
      <c r="IC34" s="18">
        <v>4.5749127340551393E-2</v>
      </c>
      <c r="ID34" s="18">
        <v>3.1816006090797724E-2</v>
      </c>
      <c r="IE34" s="18">
        <v>4.288141334052506E-2</v>
      </c>
      <c r="IF34" s="18">
        <v>6.1459963247655278E-2</v>
      </c>
      <c r="IG34" s="18">
        <v>4.5328948693346728E-2</v>
      </c>
      <c r="IH34" s="18">
        <v>3.3017829024119483E-2</v>
      </c>
      <c r="II34" s="18">
        <v>4.0382375223564922E-2</v>
      </c>
    </row>
    <row r="35" spans="167:272" ht="16" thickBot="1" x14ac:dyDescent="0.25">
      <c r="FK35" s="5">
        <v>9</v>
      </c>
      <c r="FL35" s="322">
        <v>3</v>
      </c>
      <c r="FM35" s="259">
        <v>0.79600000000000004</v>
      </c>
      <c r="FN35" s="72">
        <v>0.33666666666666667</v>
      </c>
      <c r="FO35" s="260">
        <v>0.83333333333333337</v>
      </c>
      <c r="FP35" s="261">
        <v>0.36000000000000004</v>
      </c>
      <c r="FQ35" s="154">
        <v>0.48</v>
      </c>
      <c r="FR35" s="262">
        <v>6.5714285714285711E-2</v>
      </c>
      <c r="FS35" s="263">
        <v>0.02</v>
      </c>
      <c r="FT35" s="264">
        <v>0.98999999999999988</v>
      </c>
      <c r="FU35" s="265">
        <v>0.94</v>
      </c>
      <c r="FV35" s="266">
        <v>0.18666666666666668</v>
      </c>
      <c r="FW35" s="267">
        <v>0.53333333333333333</v>
      </c>
      <c r="FX35" s="18">
        <v>6</v>
      </c>
      <c r="FY35" s="18">
        <v>2</v>
      </c>
      <c r="FZ35" s="18">
        <v>6</v>
      </c>
      <c r="GA35" s="18">
        <v>-2</v>
      </c>
      <c r="GB35" s="18">
        <v>1</v>
      </c>
      <c r="GC35" s="18">
        <v>0</v>
      </c>
      <c r="GD35" s="18">
        <v>13</v>
      </c>
      <c r="GE35" s="5">
        <v>77</v>
      </c>
      <c r="GF35" s="5">
        <v>112</v>
      </c>
      <c r="GG35" s="5">
        <v>79</v>
      </c>
      <c r="GH35" s="5">
        <v>119</v>
      </c>
      <c r="GI35" s="5">
        <v>70</v>
      </c>
      <c r="GJ35" s="5">
        <v>135</v>
      </c>
      <c r="GK35" s="5">
        <v>10</v>
      </c>
      <c r="GL35" s="5">
        <v>33</v>
      </c>
      <c r="GM35" s="5">
        <v>77</v>
      </c>
      <c r="GN35" s="5">
        <v>53</v>
      </c>
      <c r="GO35" s="18">
        <v>38</v>
      </c>
      <c r="GP35" s="18">
        <v>79</v>
      </c>
      <c r="HT35" s="100" t="s">
        <v>661</v>
      </c>
      <c r="HU35" s="101" t="b">
        <v>1</v>
      </c>
      <c r="HV35" s="101" t="s">
        <v>230</v>
      </c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2"/>
    </row>
    <row r="36" spans="167:272" ht="16" thickBot="1" x14ac:dyDescent="0.25">
      <c r="FK36" s="5">
        <v>1</v>
      </c>
      <c r="FL36" s="322">
        <v>0</v>
      </c>
      <c r="FM36" s="259">
        <v>0.18800000020000002</v>
      </c>
      <c r="FN36" s="72">
        <v>6.6666666666666671E-3</v>
      </c>
      <c r="FO36" s="260">
        <v>0.29000000133333331</v>
      </c>
      <c r="FP36" s="261">
        <v>0.52999999133333331</v>
      </c>
      <c r="FQ36" s="154">
        <v>0.66666666666666663</v>
      </c>
      <c r="FR36" s="262">
        <v>2.4285714571428575E-2</v>
      </c>
      <c r="FS36" s="263">
        <v>0</v>
      </c>
      <c r="FT36" s="264">
        <v>0.45333333799999997</v>
      </c>
      <c r="FU36" s="265">
        <v>1</v>
      </c>
      <c r="FV36" s="266">
        <v>0.72999999933333337</v>
      </c>
      <c r="FW36" s="267">
        <v>0.54000000166666673</v>
      </c>
      <c r="FX36" s="18">
        <v>2</v>
      </c>
      <c r="FY36" s="18">
        <v>7</v>
      </c>
      <c r="FZ36" s="18">
        <v>9</v>
      </c>
      <c r="GA36" s="18">
        <v>1</v>
      </c>
      <c r="GB36" s="18">
        <v>2</v>
      </c>
      <c r="GC36" s="18">
        <v>0</v>
      </c>
      <c r="GD36" s="18">
        <v>21</v>
      </c>
      <c r="GE36" s="5">
        <v>59</v>
      </c>
      <c r="GF36" s="5">
        <v>160</v>
      </c>
      <c r="GG36" s="5">
        <v>72</v>
      </c>
      <c r="GH36" s="5">
        <v>92</v>
      </c>
      <c r="GI36" s="5">
        <v>61</v>
      </c>
      <c r="GJ36" s="5">
        <v>166</v>
      </c>
      <c r="GK36" s="5">
        <v>1</v>
      </c>
      <c r="GL36" s="5">
        <v>26</v>
      </c>
      <c r="GM36" s="5">
        <v>59</v>
      </c>
      <c r="GN36" s="5">
        <v>54</v>
      </c>
      <c r="GO36" s="18">
        <v>25</v>
      </c>
      <c r="GP36" s="24">
        <v>117</v>
      </c>
      <c r="HT36" s="68"/>
      <c r="HU36" s="5"/>
      <c r="HV36" s="5" t="s">
        <v>238</v>
      </c>
      <c r="HW36" s="5">
        <f>HW32*100</f>
        <v>-35.529889394031436</v>
      </c>
      <c r="HX36" s="5">
        <f t="shared" ref="HX36:II36" si="92">HX32*100</f>
        <v>-29.211373916045385</v>
      </c>
      <c r="HY36" s="5">
        <f t="shared" si="92"/>
        <v>-21.518479080140896</v>
      </c>
      <c r="HZ36" s="5">
        <f t="shared" si="92"/>
        <v>-8.6998722783115845</v>
      </c>
      <c r="IA36" s="5">
        <f t="shared" si="92"/>
        <v>-31.808036443073924</v>
      </c>
      <c r="IB36" s="5">
        <f t="shared" si="92"/>
        <v>-26.075867745036508</v>
      </c>
      <c r="IC36" s="5">
        <f t="shared" si="92"/>
        <v>-25.813865717952023</v>
      </c>
      <c r="ID36" s="5">
        <f t="shared" si="92"/>
        <v>-26.087848142586019</v>
      </c>
      <c r="IE36" s="5">
        <f t="shared" si="92"/>
        <v>-12.715449255611508</v>
      </c>
      <c r="IF36" s="5">
        <f t="shared" si="92"/>
        <v>-16.817898183040946</v>
      </c>
      <c r="IG36" s="5">
        <f t="shared" si="92"/>
        <v>-22.070171368961621</v>
      </c>
      <c r="IH36" s="5">
        <f t="shared" si="92"/>
        <v>-14.831486217372353</v>
      </c>
      <c r="II36" s="80">
        <f t="shared" si="92"/>
        <v>-27.658289021075461</v>
      </c>
      <c r="IQ36" s="4"/>
      <c r="JL36" t="s">
        <v>217</v>
      </c>
    </row>
    <row r="37" spans="167:272" ht="16" thickBot="1" x14ac:dyDescent="0.25">
      <c r="FK37" s="5">
        <v>10</v>
      </c>
      <c r="FL37" s="322">
        <v>2</v>
      </c>
      <c r="FM37" s="259">
        <v>0.16200000000000001</v>
      </c>
      <c r="FN37" s="72">
        <v>0.10666666666666667</v>
      </c>
      <c r="FO37" s="260">
        <v>0.11333333333333333</v>
      </c>
      <c r="FP37" s="261">
        <v>7.0000000000000007E-2</v>
      </c>
      <c r="FQ37" s="154">
        <v>0.67333333333333334</v>
      </c>
      <c r="FR37" s="262">
        <v>0.63428571428571423</v>
      </c>
      <c r="FS37" s="263">
        <v>0.25333333333333335</v>
      </c>
      <c r="FT37" s="264">
        <v>0.42333333333333334</v>
      </c>
      <c r="FU37" s="265">
        <v>0.96333333333333326</v>
      </c>
      <c r="FV37" s="266">
        <v>0.03</v>
      </c>
      <c r="FW37" s="267">
        <v>0.15666666666666665</v>
      </c>
      <c r="FX37" s="18">
        <v>2</v>
      </c>
      <c r="FY37" s="18">
        <v>7</v>
      </c>
      <c r="FZ37" s="18">
        <v>22</v>
      </c>
      <c r="GA37" s="18">
        <v>-4</v>
      </c>
      <c r="GB37" s="18">
        <v>8</v>
      </c>
      <c r="GC37" s="18">
        <v>2</v>
      </c>
      <c r="GD37" s="18">
        <v>37</v>
      </c>
      <c r="GE37" s="5">
        <v>19</v>
      </c>
      <c r="GF37" s="5">
        <v>106</v>
      </c>
      <c r="GG37" s="5">
        <v>118</v>
      </c>
      <c r="GH37" s="5">
        <v>101</v>
      </c>
      <c r="GI37" s="5">
        <v>78</v>
      </c>
      <c r="GJ37" s="5">
        <v>109</v>
      </c>
      <c r="GK37" s="5">
        <v>5</v>
      </c>
      <c r="GL37" s="5">
        <v>29</v>
      </c>
      <c r="GM37" s="5">
        <v>19</v>
      </c>
      <c r="GN37" s="5">
        <v>44</v>
      </c>
      <c r="GO37" s="18">
        <v>40</v>
      </c>
      <c r="GP37" s="24">
        <v>118</v>
      </c>
      <c r="HT37" s="86"/>
      <c r="HU37" s="83"/>
      <c r="HV37" s="83" t="s">
        <v>54</v>
      </c>
      <c r="HW37" s="83">
        <f>HW34*100</f>
        <v>4.4172620698332432</v>
      </c>
      <c r="HX37" s="83">
        <f t="shared" ref="HX37:II37" si="93">HX34*100</f>
        <v>3.4350317237748973</v>
      </c>
      <c r="HY37" s="83">
        <f t="shared" si="93"/>
        <v>4.9007014689773811</v>
      </c>
      <c r="HZ37" s="83">
        <f t="shared" si="93"/>
        <v>5.1397166703331569</v>
      </c>
      <c r="IA37" s="83">
        <f t="shared" si="93"/>
        <v>5.1160772457068644</v>
      </c>
      <c r="IB37" s="83">
        <f t="shared" si="93"/>
        <v>3.4164194006004638</v>
      </c>
      <c r="IC37" s="83">
        <f t="shared" si="93"/>
        <v>4.5749127340551397</v>
      </c>
      <c r="ID37" s="83">
        <f t="shared" si="93"/>
        <v>3.1816006090797724</v>
      </c>
      <c r="IE37" s="83">
        <f t="shared" si="93"/>
        <v>4.2881413340525061</v>
      </c>
      <c r="IF37" s="83">
        <f t="shared" si="93"/>
        <v>6.1459963247655276</v>
      </c>
      <c r="IG37" s="83">
        <f t="shared" si="93"/>
        <v>4.5328948693346724</v>
      </c>
      <c r="IH37" s="83">
        <f t="shared" si="93"/>
        <v>3.3017829024119481</v>
      </c>
      <c r="II37" s="84">
        <f t="shared" si="93"/>
        <v>4.0382375223564919</v>
      </c>
    </row>
    <row r="38" spans="167:272" x14ac:dyDescent="0.2">
      <c r="FK38" s="5">
        <v>1</v>
      </c>
      <c r="FL38" s="322">
        <v>2</v>
      </c>
      <c r="FM38" s="259">
        <v>8.7999998400000001E-2</v>
      </c>
      <c r="FN38" s="72">
        <v>0.16999999933333335</v>
      </c>
      <c r="FO38" s="260">
        <v>0.19333333266666666</v>
      </c>
      <c r="FP38" s="261">
        <v>5.0000000999999995E-2</v>
      </c>
      <c r="FQ38" s="154">
        <v>0</v>
      </c>
      <c r="FR38" s="262">
        <v>0.11000000057142857</v>
      </c>
      <c r="FS38" s="263">
        <v>2.4999999666666672E-2</v>
      </c>
      <c r="FT38" s="264">
        <v>0.1766666733333333</v>
      </c>
      <c r="FU38" s="265">
        <v>0.56000000233333325</v>
      </c>
      <c r="FV38" s="266">
        <v>5.9999999333333331E-2</v>
      </c>
      <c r="FW38" s="267">
        <v>4.3333333666666668E-2</v>
      </c>
      <c r="FX38" s="18">
        <v>3</v>
      </c>
      <c r="FY38" s="18">
        <v>4</v>
      </c>
      <c r="FZ38" s="18">
        <v>9</v>
      </c>
      <c r="GA38" s="18">
        <v>-1</v>
      </c>
      <c r="GB38" s="18">
        <v>0</v>
      </c>
      <c r="GC38" s="18">
        <v>1</v>
      </c>
      <c r="GD38" s="18">
        <v>16</v>
      </c>
      <c r="GE38" s="5">
        <v>75</v>
      </c>
      <c r="GF38" s="5">
        <v>124</v>
      </c>
      <c r="GG38" s="5">
        <v>123</v>
      </c>
      <c r="GH38" s="5">
        <v>108</v>
      </c>
      <c r="GI38" s="5">
        <v>82</v>
      </c>
      <c r="GJ38" s="5">
        <v>135</v>
      </c>
      <c r="GK38" s="5">
        <v>8</v>
      </c>
      <c r="GL38" s="5">
        <v>28</v>
      </c>
      <c r="GM38" s="5">
        <v>75</v>
      </c>
      <c r="GN38" s="5">
        <v>49</v>
      </c>
      <c r="GO38" s="18">
        <v>52</v>
      </c>
      <c r="GP38" s="24">
        <v>145</v>
      </c>
    </row>
    <row r="39" spans="167:272" x14ac:dyDescent="0.2">
      <c r="FK39" s="5">
        <v>2</v>
      </c>
      <c r="FL39" s="322">
        <v>0</v>
      </c>
      <c r="FM39" s="259">
        <v>0.16799999999999998</v>
      </c>
      <c r="FN39" s="72">
        <v>0</v>
      </c>
      <c r="FO39" s="260">
        <v>0</v>
      </c>
      <c r="FP39" s="261">
        <v>1.3333333333333334E-2</v>
      </c>
      <c r="FQ39" s="154">
        <v>0</v>
      </c>
      <c r="FR39" s="262">
        <v>9.4285714285714278E-2</v>
      </c>
      <c r="FS39" s="263">
        <v>0</v>
      </c>
      <c r="FT39" s="264">
        <v>0.48</v>
      </c>
      <c r="FU39" s="265">
        <v>1</v>
      </c>
      <c r="FV39" s="266">
        <v>1</v>
      </c>
      <c r="FW39" s="267">
        <v>0</v>
      </c>
      <c r="FX39" s="18">
        <v>-2</v>
      </c>
      <c r="FY39" s="18">
        <v>1</v>
      </c>
      <c r="FZ39" s="18">
        <v>4</v>
      </c>
      <c r="GA39" s="18">
        <v>1</v>
      </c>
      <c r="GB39" s="18">
        <v>2</v>
      </c>
      <c r="GC39" s="18">
        <v>0</v>
      </c>
      <c r="GD39" s="18">
        <v>6</v>
      </c>
      <c r="GE39" s="5">
        <v>49</v>
      </c>
      <c r="GF39" s="5">
        <v>126</v>
      </c>
      <c r="GG39" s="5">
        <v>121</v>
      </c>
      <c r="GH39" s="5">
        <v>142</v>
      </c>
      <c r="GI39" s="5">
        <v>79</v>
      </c>
      <c r="GJ39" s="5">
        <v>148</v>
      </c>
      <c r="GK39" s="5">
        <v>3</v>
      </c>
      <c r="GL39" s="5">
        <v>23</v>
      </c>
      <c r="GM39" s="5">
        <v>49</v>
      </c>
      <c r="GN39" s="5">
        <v>56</v>
      </c>
      <c r="GO39" s="18">
        <v>30</v>
      </c>
      <c r="GP39" s="79">
        <v>103</v>
      </c>
      <c r="HV39" t="s">
        <v>614</v>
      </c>
    </row>
    <row r="40" spans="167:272" x14ac:dyDescent="0.2">
      <c r="FK40" s="5">
        <v>-1</v>
      </c>
      <c r="FL40" s="322">
        <v>2</v>
      </c>
      <c r="FM40" s="259">
        <v>0.22399999722841998</v>
      </c>
      <c r="FN40" s="72">
        <v>0.34333332690082669</v>
      </c>
      <c r="FO40" s="260">
        <v>0.23666665578900001</v>
      </c>
      <c r="FP40" s="261">
        <v>0.45999999841066669</v>
      </c>
      <c r="FQ40" s="154">
        <v>0</v>
      </c>
      <c r="FR40" s="262">
        <v>0.32714286313521146</v>
      </c>
      <c r="FS40" s="263">
        <v>0.26333333024150002</v>
      </c>
      <c r="FT40" s="264">
        <v>0.78666667143500002</v>
      </c>
      <c r="FU40" s="265">
        <v>0.85666666428233329</v>
      </c>
      <c r="FV40" s="266">
        <v>0.91666664679833332</v>
      </c>
      <c r="FW40" s="267">
        <v>0.26000000039733334</v>
      </c>
      <c r="FX40" s="18">
        <v>9</v>
      </c>
      <c r="FY40" s="18">
        <v>12</v>
      </c>
      <c r="FZ40" s="18">
        <v>14</v>
      </c>
      <c r="GA40" s="18">
        <v>0</v>
      </c>
      <c r="GB40" s="18">
        <v>10</v>
      </c>
      <c r="GC40" s="18">
        <v>8</v>
      </c>
      <c r="GD40" s="18">
        <v>53</v>
      </c>
      <c r="GE40" s="5">
        <v>56</v>
      </c>
      <c r="GF40" s="5">
        <v>110</v>
      </c>
      <c r="GG40" s="5">
        <v>106</v>
      </c>
      <c r="GH40" s="5">
        <v>110</v>
      </c>
      <c r="GI40" s="5">
        <v>94</v>
      </c>
      <c r="GJ40" s="5">
        <v>130</v>
      </c>
      <c r="GK40" s="5">
        <v>6</v>
      </c>
      <c r="GL40" s="5">
        <v>29</v>
      </c>
      <c r="GM40" s="5">
        <v>56</v>
      </c>
      <c r="GN40" s="5">
        <v>48</v>
      </c>
      <c r="GO40" s="18">
        <v>32</v>
      </c>
      <c r="GP40" s="24">
        <v>123</v>
      </c>
      <c r="HV40" t="s">
        <v>238</v>
      </c>
      <c r="HW40" s="380">
        <v>-0.4310436288466668</v>
      </c>
      <c r="HX40" s="380">
        <v>-0.30209760827333337</v>
      </c>
      <c r="HY40" s="380">
        <v>-0.16283138669333327</v>
      </c>
      <c r="HZ40" s="380">
        <v>-0.10726679822666668</v>
      </c>
      <c r="IA40" s="380">
        <v>-0.42615136114666663</v>
      </c>
      <c r="IB40" s="380">
        <v>-0.37686010087333333</v>
      </c>
      <c r="IC40" s="380">
        <v>-0.24818905046666664</v>
      </c>
      <c r="ID40" s="380">
        <v>-0.28155138299333338</v>
      </c>
      <c r="IE40" s="380">
        <v>-0.12966095330000002</v>
      </c>
      <c r="IF40" s="380">
        <v>-0.27650326446000001</v>
      </c>
      <c r="IG40" s="380">
        <v>-0.2651409983866666</v>
      </c>
      <c r="IH40" s="380">
        <v>-0.17112701642666661</v>
      </c>
      <c r="II40" s="380">
        <v>-0.20563475518666668</v>
      </c>
    </row>
    <row r="41" spans="167:272" x14ac:dyDescent="0.2">
      <c r="FK41" s="5">
        <v>-6</v>
      </c>
      <c r="FL41" s="322">
        <v>1</v>
      </c>
      <c r="FM41" s="259">
        <v>0.83199999928480006</v>
      </c>
      <c r="FN41" s="72">
        <v>0.82666665315633336</v>
      </c>
      <c r="FO41" s="260">
        <v>0.85333331425966674</v>
      </c>
      <c r="FP41" s="261">
        <v>0.71999998887399996</v>
      </c>
      <c r="FQ41" s="154">
        <v>0.41666666666666669</v>
      </c>
      <c r="FR41" s="262">
        <v>0.11428571439214287</v>
      </c>
      <c r="FS41" s="263">
        <v>0.1899999997889</v>
      </c>
      <c r="FT41" s="264">
        <v>0.47000000377500001</v>
      </c>
      <c r="FU41" s="265">
        <v>0.98666667938233343</v>
      </c>
      <c r="FV41" s="266">
        <v>0.98000001907333323</v>
      </c>
      <c r="FW41" s="267">
        <v>0.44000001003329997</v>
      </c>
      <c r="FX41" s="18">
        <v>9</v>
      </c>
      <c r="FY41" s="18">
        <v>18</v>
      </c>
      <c r="FZ41" s="18">
        <v>11</v>
      </c>
      <c r="GA41" s="18">
        <v>-1</v>
      </c>
      <c r="GB41" s="18">
        <v>8</v>
      </c>
      <c r="GC41" s="18">
        <v>1</v>
      </c>
      <c r="GD41" s="18">
        <v>46</v>
      </c>
      <c r="GE41" s="5">
        <v>44</v>
      </c>
      <c r="GF41" s="5">
        <v>121</v>
      </c>
      <c r="GG41" s="5">
        <v>109</v>
      </c>
      <c r="GH41" s="5">
        <v>111</v>
      </c>
      <c r="GI41" s="5">
        <v>49</v>
      </c>
      <c r="GJ41" s="5">
        <v>156</v>
      </c>
      <c r="GK41" s="5">
        <v>1</v>
      </c>
      <c r="GL41" s="5">
        <v>26</v>
      </c>
      <c r="GM41" s="5">
        <v>44</v>
      </c>
      <c r="GN41" s="5">
        <v>43</v>
      </c>
      <c r="GO41" s="18">
        <v>34</v>
      </c>
      <c r="GP41" s="24">
        <v>111</v>
      </c>
      <c r="HV41" t="s">
        <v>54</v>
      </c>
      <c r="HW41" s="18">
        <v>7.771566769275344E-2</v>
      </c>
      <c r="HX41" s="18">
        <v>4.0748366163278683E-2</v>
      </c>
      <c r="HY41" s="18">
        <v>4.1314209407310919E-2</v>
      </c>
      <c r="HZ41" s="18">
        <v>5.2417875682137807E-2</v>
      </c>
      <c r="IA41" s="18">
        <v>7.010279347190583E-2</v>
      </c>
      <c r="IB41" s="18">
        <v>5.6191921507181983E-2</v>
      </c>
      <c r="IC41" s="18">
        <v>5.0250616709248311E-2</v>
      </c>
      <c r="ID41" s="18">
        <v>5.0620228358573029E-2</v>
      </c>
      <c r="IE41" s="18">
        <v>4.5728727485187394E-2</v>
      </c>
      <c r="IF41" s="18">
        <v>7.8611976059099517E-2</v>
      </c>
      <c r="IG41" s="18">
        <v>5.6317398378349912E-2</v>
      </c>
      <c r="IH41" s="18">
        <v>4.0070637829185123E-2</v>
      </c>
      <c r="II41" s="18">
        <v>3.4874207133812278E-2</v>
      </c>
    </row>
    <row r="42" spans="167:272" ht="16" thickBot="1" x14ac:dyDescent="0.25">
      <c r="FK42" s="5">
        <v>12</v>
      </c>
      <c r="FL42" s="322">
        <v>4</v>
      </c>
      <c r="FM42" s="259">
        <v>0.24000000159999998</v>
      </c>
      <c r="FN42" s="72">
        <v>9.6666668999999997E-2</v>
      </c>
      <c r="FO42" s="260">
        <v>0.249999999</v>
      </c>
      <c r="FP42" s="261">
        <v>0.24666666733333331</v>
      </c>
      <c r="FQ42" s="154">
        <v>0.50333332999999991</v>
      </c>
      <c r="FR42" s="262">
        <v>0.34571428385714287</v>
      </c>
      <c r="FS42" s="263">
        <v>0.14166666983333334</v>
      </c>
      <c r="FT42" s="264">
        <v>0.45000000299999998</v>
      </c>
      <c r="FU42" s="265">
        <v>0.61333334433333331</v>
      </c>
      <c r="FV42" s="266">
        <v>0.34000000866666663</v>
      </c>
      <c r="FW42" s="267">
        <v>0.15666666600000001</v>
      </c>
      <c r="FX42" s="18">
        <v>7</v>
      </c>
      <c r="FY42" s="18">
        <v>6</v>
      </c>
      <c r="FZ42" s="18">
        <v>22</v>
      </c>
      <c r="GA42" s="18">
        <v>1</v>
      </c>
      <c r="GB42" s="18">
        <v>3</v>
      </c>
      <c r="GC42" s="18">
        <v>14</v>
      </c>
      <c r="GD42" s="18">
        <v>53</v>
      </c>
      <c r="GE42" s="5">
        <v>63</v>
      </c>
      <c r="GF42" s="5">
        <v>127</v>
      </c>
      <c r="GG42" s="5">
        <v>128</v>
      </c>
      <c r="GH42" s="5">
        <v>115</v>
      </c>
      <c r="GI42" s="5">
        <v>93</v>
      </c>
      <c r="GJ42" s="5">
        <v>130</v>
      </c>
      <c r="GK42" s="5">
        <v>6</v>
      </c>
      <c r="GL42" s="5">
        <v>38</v>
      </c>
      <c r="GM42" s="5">
        <v>63</v>
      </c>
      <c r="GN42" s="5">
        <v>44</v>
      </c>
      <c r="GO42" s="18">
        <v>35</v>
      </c>
      <c r="GP42" s="24">
        <v>124</v>
      </c>
    </row>
    <row r="43" spans="167:272" x14ac:dyDescent="0.2">
      <c r="FK43" s="5">
        <v>-16</v>
      </c>
      <c r="FL43" s="322">
        <v>0</v>
      </c>
      <c r="FM43" s="259">
        <v>0.28999999459999998</v>
      </c>
      <c r="FN43" s="72">
        <v>0.25</v>
      </c>
      <c r="FO43" s="260">
        <v>0.33333333333333331</v>
      </c>
      <c r="FP43" s="261">
        <v>0.52333333133333337</v>
      </c>
      <c r="FQ43" s="154">
        <v>0.21333334100000001</v>
      </c>
      <c r="FR43" s="262">
        <v>0.13714286042857141</v>
      </c>
      <c r="FS43" s="263">
        <v>0.141666667</v>
      </c>
      <c r="FT43" s="264">
        <v>0.60333332433333331</v>
      </c>
      <c r="FU43" s="265">
        <v>0.5666666726666667</v>
      </c>
      <c r="FV43" s="266">
        <v>0.42333333333333334</v>
      </c>
      <c r="FW43" s="267">
        <v>0.36999999499999997</v>
      </c>
      <c r="FX43" s="18">
        <v>2</v>
      </c>
      <c r="FY43" s="18">
        <v>7</v>
      </c>
      <c r="FZ43" s="18">
        <v>9</v>
      </c>
      <c r="GA43" s="18">
        <v>-4</v>
      </c>
      <c r="GB43" s="18">
        <v>1</v>
      </c>
      <c r="GC43" s="18">
        <v>0</v>
      </c>
      <c r="GD43" s="18">
        <v>15</v>
      </c>
      <c r="GE43" s="5">
        <v>55</v>
      </c>
      <c r="GF43" s="5">
        <v>103</v>
      </c>
      <c r="GG43" s="5">
        <v>90</v>
      </c>
      <c r="GH43" s="5">
        <v>127</v>
      </c>
      <c r="GI43" s="5">
        <v>52</v>
      </c>
      <c r="GJ43" s="5">
        <v>128</v>
      </c>
      <c r="GK43" s="5">
        <v>0</v>
      </c>
      <c r="GL43" s="5">
        <v>24</v>
      </c>
      <c r="GM43" s="5">
        <v>55</v>
      </c>
      <c r="GN43" s="5">
        <v>42</v>
      </c>
      <c r="GO43" s="18">
        <v>27</v>
      </c>
      <c r="GP43" s="24">
        <v>83</v>
      </c>
      <c r="HT43" s="100" t="s">
        <v>664</v>
      </c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2"/>
    </row>
    <row r="44" spans="167:272" x14ac:dyDescent="0.2">
      <c r="FK44" s="5">
        <v>0</v>
      </c>
      <c r="FL44" s="322">
        <v>4</v>
      </c>
      <c r="FM44" s="259">
        <v>0.76000000219999997</v>
      </c>
      <c r="FN44" s="72">
        <v>0.75666667033333335</v>
      </c>
      <c r="FO44" s="260">
        <v>1</v>
      </c>
      <c r="FP44" s="261">
        <v>0.58666665833333331</v>
      </c>
      <c r="FQ44" s="154">
        <v>0.43666666633333334</v>
      </c>
      <c r="FR44" s="262">
        <v>0.20428571428571426</v>
      </c>
      <c r="FS44" s="263">
        <v>1.9999999666666667E-2</v>
      </c>
      <c r="FT44" s="264">
        <v>0.81333333266666674</v>
      </c>
      <c r="FU44" s="265">
        <v>1</v>
      </c>
      <c r="FV44" s="266">
        <v>0.82000000266666662</v>
      </c>
      <c r="FW44" s="267">
        <v>0.65999999133333331</v>
      </c>
      <c r="FX44" s="18">
        <v>8</v>
      </c>
      <c r="FY44" s="18">
        <v>9</v>
      </c>
      <c r="FZ44" s="18">
        <v>19</v>
      </c>
      <c r="GA44" s="18">
        <v>2</v>
      </c>
      <c r="GB44" s="18">
        <v>8</v>
      </c>
      <c r="GC44" s="18">
        <v>0</v>
      </c>
      <c r="GD44" s="18">
        <v>46</v>
      </c>
      <c r="GE44" s="5">
        <v>89</v>
      </c>
      <c r="GF44" s="5">
        <v>120</v>
      </c>
      <c r="GG44" s="5">
        <v>121</v>
      </c>
      <c r="GH44" s="5">
        <v>125</v>
      </c>
      <c r="GI44" s="5">
        <v>58</v>
      </c>
      <c r="GJ44" s="5">
        <v>152</v>
      </c>
      <c r="GK44" s="5">
        <v>1</v>
      </c>
      <c r="GL44" s="5">
        <v>27</v>
      </c>
      <c r="GM44" s="5">
        <v>89</v>
      </c>
      <c r="GN44" s="5">
        <v>48</v>
      </c>
      <c r="GO44" s="18">
        <v>31</v>
      </c>
      <c r="GP44" s="24">
        <v>86</v>
      </c>
      <c r="HT44" s="68" t="s">
        <v>663</v>
      </c>
      <c r="HU44" s="5"/>
      <c r="HV44" s="161" t="s">
        <v>238</v>
      </c>
      <c r="HW44" s="5">
        <v>-36.114021785641739</v>
      </c>
      <c r="HX44" s="5">
        <v>-28.979846593578927</v>
      </c>
      <c r="HY44" s="5">
        <v>-23.165503299377814</v>
      </c>
      <c r="HZ44" s="5">
        <v>-10.926222270130886</v>
      </c>
      <c r="IA44" s="5">
        <v>-32.183139898586248</v>
      </c>
      <c r="IB44" s="5">
        <v>-29.372686577533475</v>
      </c>
      <c r="IC44" s="5">
        <v>-35.415103438255038</v>
      </c>
      <c r="ID44" s="5">
        <v>-34.715915794177981</v>
      </c>
      <c r="IE44" s="5">
        <v>-27.681776906994859</v>
      </c>
      <c r="IF44" s="5">
        <v>-25.569696357001824</v>
      </c>
      <c r="IG44" s="5">
        <v>-30.910832813834844</v>
      </c>
      <c r="IH44" s="5">
        <v>-24.057270264032628</v>
      </c>
      <c r="II44" s="80">
        <v>-25.174240617206493</v>
      </c>
    </row>
    <row r="45" spans="167:272" x14ac:dyDescent="0.2">
      <c r="FK45" s="5">
        <v>1</v>
      </c>
      <c r="FL45" s="322">
        <v>7</v>
      </c>
      <c r="FM45" s="259">
        <v>0.35799999840000002</v>
      </c>
      <c r="FN45" s="72">
        <v>0.3166666726666667</v>
      </c>
      <c r="FO45" s="260">
        <v>0.31666666766666668</v>
      </c>
      <c r="FP45" s="261">
        <v>0.18333333366666668</v>
      </c>
      <c r="FQ45" s="154">
        <v>0.33000000666666662</v>
      </c>
      <c r="FR45" s="262">
        <v>0.16142857342857142</v>
      </c>
      <c r="FS45" s="263">
        <v>5.0000000000000001E-3</v>
      </c>
      <c r="FT45" s="264">
        <v>0.176666667</v>
      </c>
      <c r="FU45" s="265">
        <v>0.46666665899999998</v>
      </c>
      <c r="FV45" s="266">
        <v>0.57999998333333336</v>
      </c>
      <c r="FW45" s="267">
        <v>0.51000001033333331</v>
      </c>
      <c r="FX45" s="18">
        <v>3</v>
      </c>
      <c r="FY45" s="18">
        <v>12</v>
      </c>
      <c r="FZ45" s="18">
        <v>13</v>
      </c>
      <c r="GA45" s="18">
        <v>-3</v>
      </c>
      <c r="GB45" s="18">
        <v>4</v>
      </c>
      <c r="GC45" s="18">
        <v>0</v>
      </c>
      <c r="GD45" s="18">
        <v>29</v>
      </c>
      <c r="GE45" s="5">
        <v>76</v>
      </c>
      <c r="GF45" s="5">
        <v>113</v>
      </c>
      <c r="GG45" s="5">
        <v>106</v>
      </c>
      <c r="GH45" s="5">
        <v>122</v>
      </c>
      <c r="GI45" s="5">
        <v>86</v>
      </c>
      <c r="GJ45" s="5">
        <v>128</v>
      </c>
      <c r="GK45" s="5">
        <v>8</v>
      </c>
      <c r="GL45" s="5">
        <v>33</v>
      </c>
      <c r="GM45" s="5">
        <v>76</v>
      </c>
      <c r="GN45" s="5">
        <v>43</v>
      </c>
      <c r="GO45" s="18">
        <v>43</v>
      </c>
      <c r="GP45" s="24">
        <v>107</v>
      </c>
      <c r="HT45" s="68"/>
      <c r="HU45" s="5"/>
      <c r="HV45" s="161" t="s">
        <v>53</v>
      </c>
      <c r="HW45" s="5">
        <v>34.299879063323381</v>
      </c>
      <c r="HX45" s="5">
        <v>32.801561381051215</v>
      </c>
      <c r="HY45" s="5">
        <v>44.09588854516425</v>
      </c>
      <c r="HZ45" s="5">
        <v>43.538141179612808</v>
      </c>
      <c r="IA45" s="5">
        <v>32.471033679574077</v>
      </c>
      <c r="IB45" s="5">
        <v>29.670717257659341</v>
      </c>
      <c r="IC45" s="5">
        <v>25.946483131594512</v>
      </c>
      <c r="ID45" s="5">
        <v>25.7718936476187</v>
      </c>
      <c r="IE45" s="5">
        <v>29.007435308882744</v>
      </c>
      <c r="IF45" s="5">
        <v>31.771711420073341</v>
      </c>
      <c r="IG45" s="5">
        <v>26.978251810416292</v>
      </c>
      <c r="IH45" s="5">
        <v>30.282998022250929</v>
      </c>
      <c r="II45" s="80">
        <v>29.779802582370568</v>
      </c>
    </row>
    <row r="46" spans="167:272" ht="16" thickBot="1" x14ac:dyDescent="0.25">
      <c r="FK46" s="5">
        <v>8</v>
      </c>
      <c r="FL46" s="322">
        <v>3</v>
      </c>
      <c r="FM46" s="259">
        <v>0.37200000000000005</v>
      </c>
      <c r="FN46" s="72">
        <v>0.25666666666666665</v>
      </c>
      <c r="FO46" s="260">
        <v>0.35000000000000003</v>
      </c>
      <c r="FP46" s="261">
        <v>0.30333333333333329</v>
      </c>
      <c r="FQ46" s="154">
        <v>0.46666666666666662</v>
      </c>
      <c r="FR46" s="262">
        <v>0.48999999999999994</v>
      </c>
      <c r="FS46" s="263">
        <v>0.22166666666666668</v>
      </c>
      <c r="FT46" s="264">
        <v>0.96333333333333337</v>
      </c>
      <c r="FU46" s="265">
        <v>1</v>
      </c>
      <c r="FV46" s="266">
        <v>1</v>
      </c>
      <c r="FW46" s="267">
        <v>0.92666666666666664</v>
      </c>
      <c r="FX46" s="18">
        <v>3</v>
      </c>
      <c r="FY46" s="18">
        <v>15</v>
      </c>
      <c r="FZ46" s="18">
        <v>17</v>
      </c>
      <c r="GA46" s="18">
        <v>0</v>
      </c>
      <c r="GB46" s="18">
        <v>4</v>
      </c>
      <c r="GC46" s="18">
        <v>1</v>
      </c>
      <c r="GD46" s="18">
        <v>40</v>
      </c>
      <c r="GE46" s="5">
        <v>18</v>
      </c>
      <c r="GF46" s="5">
        <v>104</v>
      </c>
      <c r="GG46" s="5">
        <v>127</v>
      </c>
      <c r="GH46" s="5">
        <v>106</v>
      </c>
      <c r="GI46" s="5">
        <v>58</v>
      </c>
      <c r="GJ46" s="5">
        <v>89</v>
      </c>
      <c r="GK46" s="5">
        <v>8</v>
      </c>
      <c r="GL46" s="5">
        <v>27</v>
      </c>
      <c r="GM46" s="5">
        <v>18</v>
      </c>
      <c r="GN46" s="5">
        <v>41</v>
      </c>
      <c r="GO46" s="18">
        <v>33</v>
      </c>
      <c r="GP46" s="24">
        <v>88</v>
      </c>
      <c r="HT46" s="86"/>
      <c r="HU46" s="83"/>
      <c r="HV46" s="163" t="s">
        <v>54</v>
      </c>
      <c r="HW46" s="83">
        <v>8.8561906926119924</v>
      </c>
      <c r="HX46" s="83">
        <v>8.4693267305607804</v>
      </c>
      <c r="HY46" s="83">
        <v>11.38550946477597</v>
      </c>
      <c r="HZ46" s="83">
        <v>11.241499714231184</v>
      </c>
      <c r="IA46" s="83">
        <v>8.3839848450087029</v>
      </c>
      <c r="IB46" s="83">
        <v>7.6609462539295752</v>
      </c>
      <c r="IC46" s="83">
        <v>6.6993531374211459</v>
      </c>
      <c r="ID46" s="83">
        <v>6.6542743264970632</v>
      </c>
      <c r="IE46" s="83">
        <v>7.4896875911661249</v>
      </c>
      <c r="IF46" s="83">
        <v>8.2034206140301364</v>
      </c>
      <c r="IG46" s="83">
        <v>6.9657546647688262</v>
      </c>
      <c r="IH46" s="83">
        <v>7.8190364675606654</v>
      </c>
      <c r="II46" s="84">
        <v>7.6891119636577212</v>
      </c>
      <c r="IL46" t="s">
        <v>217</v>
      </c>
    </row>
    <row r="47" spans="167:272" ht="16" thickBot="1" x14ac:dyDescent="0.25">
      <c r="FK47" s="5">
        <v>5</v>
      </c>
      <c r="FL47" s="322">
        <v>3</v>
      </c>
      <c r="FM47" s="268">
        <v>0.48000000119199998</v>
      </c>
      <c r="FN47" s="269">
        <v>0.48666666944833326</v>
      </c>
      <c r="FO47" s="270">
        <v>0.58999999364199995</v>
      </c>
      <c r="FP47" s="271">
        <v>0.5466666718326666</v>
      </c>
      <c r="FQ47" s="162">
        <v>0.41999999682100003</v>
      </c>
      <c r="FR47" s="272">
        <v>0.37857142756035428</v>
      </c>
      <c r="FS47" s="273">
        <v>9.8333332066699988E-2</v>
      </c>
      <c r="FT47" s="274">
        <v>0.52000000079499997</v>
      </c>
      <c r="FU47" s="275">
        <v>0.4133333315453333</v>
      </c>
      <c r="FV47" s="276">
        <v>0.91666668653466665</v>
      </c>
      <c r="FW47" s="277">
        <v>0.68000000715266662</v>
      </c>
      <c r="FX47" s="18">
        <v>6</v>
      </c>
      <c r="FY47" s="18">
        <v>11</v>
      </c>
      <c r="FZ47" s="18">
        <v>14</v>
      </c>
      <c r="GA47" s="18">
        <v>-3</v>
      </c>
      <c r="GB47" s="18">
        <v>6</v>
      </c>
      <c r="GC47" s="18">
        <v>2</v>
      </c>
      <c r="GD47" s="18">
        <v>36</v>
      </c>
      <c r="GE47" s="83">
        <v>65</v>
      </c>
      <c r="GF47" s="5">
        <v>115</v>
      </c>
      <c r="GG47" s="5">
        <v>148</v>
      </c>
      <c r="GH47" s="5">
        <v>126</v>
      </c>
      <c r="GI47" s="5">
        <v>53</v>
      </c>
      <c r="GJ47" s="5">
        <v>132</v>
      </c>
      <c r="GK47" s="5">
        <v>5</v>
      </c>
      <c r="GL47" s="5">
        <v>29</v>
      </c>
      <c r="GM47" s="5">
        <v>65</v>
      </c>
      <c r="GN47" s="5">
        <v>39</v>
      </c>
      <c r="GO47" s="18">
        <v>41</v>
      </c>
      <c r="GP47" s="24">
        <v>120</v>
      </c>
    </row>
    <row r="48" spans="167:272" ht="16" thickBot="1" x14ac:dyDescent="0.25">
      <c r="HW48" s="139" t="s">
        <v>521</v>
      </c>
      <c r="HX48" s="139" t="s">
        <v>522</v>
      </c>
      <c r="HY48" s="139" t="s">
        <v>523</v>
      </c>
      <c r="HZ48" s="139" t="s">
        <v>655</v>
      </c>
      <c r="IA48" s="139" t="s">
        <v>310</v>
      </c>
      <c r="IB48" s="139" t="s">
        <v>518</v>
      </c>
      <c r="IC48" s="139" t="s">
        <v>519</v>
      </c>
      <c r="ID48" s="139" t="s">
        <v>656</v>
      </c>
      <c r="IE48" s="139" t="s">
        <v>659</v>
      </c>
      <c r="IF48" s="139" t="s">
        <v>660</v>
      </c>
      <c r="IG48" s="139" t="s">
        <v>520</v>
      </c>
      <c r="IH48" s="139" t="s">
        <v>653</v>
      </c>
      <c r="II48" s="139" t="s">
        <v>654</v>
      </c>
    </row>
    <row r="49" spans="166:243" ht="16" thickBot="1" x14ac:dyDescent="0.25">
      <c r="FK49" t="s">
        <v>257</v>
      </c>
      <c r="FL49" s="95" t="s">
        <v>269</v>
      </c>
      <c r="FM49" s="96" t="s">
        <v>247</v>
      </c>
      <c r="HT49" t="s">
        <v>665</v>
      </c>
      <c r="HV49" s="161" t="s">
        <v>238</v>
      </c>
      <c r="HW49" s="21">
        <v>11.3</v>
      </c>
      <c r="HX49" s="21">
        <v>6.6</v>
      </c>
      <c r="HY49" s="21">
        <v>10.1</v>
      </c>
      <c r="HZ49" s="21">
        <v>3.2</v>
      </c>
      <c r="IA49" s="21">
        <v>-0.23</v>
      </c>
      <c r="IB49" s="21">
        <v>1.3</v>
      </c>
      <c r="IC49" s="21">
        <v>5.3</v>
      </c>
      <c r="ID49" s="376">
        <v>1.7</v>
      </c>
      <c r="IE49" s="21">
        <v>1.9</v>
      </c>
      <c r="IF49" s="21">
        <v>3.3</v>
      </c>
      <c r="IG49" s="21">
        <v>-0.2</v>
      </c>
      <c r="IH49" s="21">
        <f>0.5</f>
        <v>0.5</v>
      </c>
      <c r="II49" s="21">
        <v>0.26</v>
      </c>
    </row>
    <row r="50" spans="166:243" x14ac:dyDescent="0.2">
      <c r="FJ50">
        <v>1</v>
      </c>
      <c r="FK50">
        <v>6</v>
      </c>
      <c r="FL50" s="5">
        <v>3</v>
      </c>
      <c r="FM50" s="5">
        <v>20</v>
      </c>
      <c r="HT50" t="s">
        <v>230</v>
      </c>
      <c r="HV50" s="161" t="s">
        <v>53</v>
      </c>
      <c r="HW50" s="21">
        <v>10.7</v>
      </c>
      <c r="HX50" s="21">
        <v>6.7</v>
      </c>
      <c r="HY50" s="21">
        <v>10.8</v>
      </c>
      <c r="HZ50" s="21">
        <v>1.3</v>
      </c>
      <c r="IA50" s="21">
        <v>9</v>
      </c>
      <c r="IB50" s="21">
        <v>9.5</v>
      </c>
      <c r="IC50" s="21">
        <v>7.4</v>
      </c>
      <c r="ID50" s="377">
        <v>6.5</v>
      </c>
      <c r="IE50" s="21">
        <v>9.9</v>
      </c>
      <c r="IF50" s="21">
        <v>10</v>
      </c>
      <c r="IG50" s="21">
        <v>6.9</v>
      </c>
      <c r="IH50" s="21">
        <v>7</v>
      </c>
      <c r="II50" s="21">
        <v>8.1</v>
      </c>
    </row>
    <row r="51" spans="166:243" ht="16" thickBot="1" x14ac:dyDescent="0.25">
      <c r="FJ51">
        <v>2</v>
      </c>
      <c r="FK51">
        <v>-2</v>
      </c>
      <c r="FL51" s="5">
        <v>1</v>
      </c>
      <c r="FM51" s="5">
        <v>33</v>
      </c>
      <c r="HV51" s="163" t="s">
        <v>54</v>
      </c>
      <c r="HW51" s="21">
        <v>2.7627281202946237</v>
      </c>
      <c r="HX51" s="21">
        <v>1.7299325613059795</v>
      </c>
      <c r="HY51" s="21">
        <v>2.7885480092693404</v>
      </c>
      <c r="HZ51" s="21">
        <f>HZ50/SQRT(15)</f>
        <v>0.33565855667130945</v>
      </c>
      <c r="IA51" s="21">
        <v>2.3237900077244502</v>
      </c>
      <c r="IB51" s="21">
        <f>IB50/SQRT(15)</f>
        <v>2.4528894525980305</v>
      </c>
      <c r="IC51" s="21">
        <f>IC50/SQRT(15)</f>
        <v>1.9106717841289924</v>
      </c>
      <c r="ID51" s="376">
        <f>ID50/SQRT(15)</f>
        <v>1.6782927833565473</v>
      </c>
      <c r="IE51" s="21">
        <f>IE50/SQRT(15)</f>
        <v>2.5561690084968953</v>
      </c>
      <c r="IF51" s="21">
        <v>2.5819888974716112</v>
      </c>
      <c r="IG51" s="21">
        <f>IG50/SQRT(15)</f>
        <v>1.7815723392554117</v>
      </c>
      <c r="IH51" s="21">
        <f>IH50/SQRT(15)</f>
        <v>1.8073922282301278</v>
      </c>
      <c r="II51" s="21">
        <f>II50/SQRT(15)</f>
        <v>2.0914110069520051</v>
      </c>
    </row>
    <row r="52" spans="166:243" x14ac:dyDescent="0.2">
      <c r="FJ52" s="18">
        <v>3</v>
      </c>
      <c r="FK52">
        <v>8</v>
      </c>
      <c r="FL52" s="5">
        <v>0</v>
      </c>
      <c r="FM52" s="5">
        <v>35</v>
      </c>
    </row>
    <row r="53" spans="166:243" x14ac:dyDescent="0.2">
      <c r="FJ53" s="18">
        <v>4</v>
      </c>
      <c r="FK53">
        <v>13</v>
      </c>
      <c r="FL53" s="5">
        <v>7</v>
      </c>
      <c r="FM53" s="5">
        <v>35</v>
      </c>
    </row>
    <row r="54" spans="166:243" x14ac:dyDescent="0.2">
      <c r="FJ54" s="18">
        <v>5</v>
      </c>
      <c r="FK54">
        <v>2</v>
      </c>
      <c r="FL54" s="5">
        <v>4</v>
      </c>
      <c r="FM54" s="5">
        <v>27</v>
      </c>
    </row>
    <row r="55" spans="166:243" x14ac:dyDescent="0.2">
      <c r="FJ55" s="18">
        <v>7</v>
      </c>
      <c r="FK55">
        <v>9</v>
      </c>
      <c r="FL55" s="5">
        <v>10</v>
      </c>
      <c r="FM55" s="5">
        <v>33</v>
      </c>
    </row>
    <row r="56" spans="166:243" x14ac:dyDescent="0.2">
      <c r="FJ56" s="18">
        <v>9</v>
      </c>
      <c r="FK56">
        <v>1</v>
      </c>
      <c r="FL56" s="5">
        <v>1</v>
      </c>
      <c r="FM56" s="5">
        <v>26</v>
      </c>
    </row>
    <row r="57" spans="166:243" x14ac:dyDescent="0.2">
      <c r="FJ57" s="18">
        <v>10</v>
      </c>
      <c r="FK57">
        <v>10</v>
      </c>
      <c r="FL57" s="5">
        <v>5</v>
      </c>
      <c r="FM57" s="5">
        <v>29</v>
      </c>
    </row>
    <row r="58" spans="166:243" x14ac:dyDescent="0.2">
      <c r="FJ58" s="18">
        <v>11</v>
      </c>
      <c r="FK58">
        <v>1</v>
      </c>
      <c r="FL58" s="5">
        <v>8</v>
      </c>
      <c r="FM58" s="5">
        <v>28</v>
      </c>
    </row>
    <row r="59" spans="166:243" x14ac:dyDescent="0.2">
      <c r="FJ59" s="18">
        <v>12</v>
      </c>
      <c r="FK59">
        <v>2</v>
      </c>
      <c r="FL59" s="5">
        <v>3</v>
      </c>
      <c r="FM59" s="5">
        <v>23</v>
      </c>
    </row>
    <row r="60" spans="166:243" x14ac:dyDescent="0.2">
      <c r="FJ60" s="18">
        <v>13</v>
      </c>
      <c r="FK60">
        <v>-1</v>
      </c>
      <c r="FL60" s="5">
        <v>6</v>
      </c>
      <c r="FM60" s="5">
        <v>29</v>
      </c>
    </row>
    <row r="61" spans="166:243" x14ac:dyDescent="0.2">
      <c r="FJ61" s="18">
        <v>14</v>
      </c>
      <c r="FK61">
        <v>-6</v>
      </c>
      <c r="FL61" s="5">
        <v>1</v>
      </c>
      <c r="FM61" s="5">
        <v>26</v>
      </c>
    </row>
    <row r="62" spans="166:243" x14ac:dyDescent="0.2">
      <c r="FJ62" s="18">
        <v>15</v>
      </c>
      <c r="FK62">
        <v>12</v>
      </c>
      <c r="FL62" s="5">
        <v>6</v>
      </c>
      <c r="FM62" s="5">
        <v>38</v>
      </c>
    </row>
    <row r="63" spans="166:243" x14ac:dyDescent="0.2">
      <c r="FJ63" s="18">
        <v>16</v>
      </c>
      <c r="FK63">
        <v>-16</v>
      </c>
      <c r="FL63" s="5">
        <v>0</v>
      </c>
      <c r="FM63" s="5">
        <v>24</v>
      </c>
    </row>
    <row r="64" spans="166:243" x14ac:dyDescent="0.2">
      <c r="FJ64" s="18">
        <v>17</v>
      </c>
      <c r="FK64">
        <v>0</v>
      </c>
      <c r="FL64" s="5">
        <v>1</v>
      </c>
      <c r="FM64" s="5">
        <v>27</v>
      </c>
    </row>
    <row r="65" spans="166:169" x14ac:dyDescent="0.2">
      <c r="FJ65" s="18">
        <v>18</v>
      </c>
      <c r="FK65">
        <v>1</v>
      </c>
      <c r="FL65" s="5">
        <v>8</v>
      </c>
      <c r="FM65" s="5">
        <v>33</v>
      </c>
    </row>
    <row r="66" spans="166:169" x14ac:dyDescent="0.2">
      <c r="FJ66" s="18">
        <v>19</v>
      </c>
      <c r="FK66">
        <v>8</v>
      </c>
      <c r="FL66" s="5">
        <v>8</v>
      </c>
      <c r="FM66" s="5">
        <v>27</v>
      </c>
    </row>
    <row r="67" spans="166:169" x14ac:dyDescent="0.2">
      <c r="FJ67" s="18">
        <v>20</v>
      </c>
      <c r="FK67">
        <v>5</v>
      </c>
      <c r="FL67" s="5">
        <v>5</v>
      </c>
      <c r="FM67" s="5">
        <v>29</v>
      </c>
    </row>
  </sheetData>
  <mergeCells count="2">
    <mergeCell ref="MO1:MS1"/>
    <mergeCell ref="MT1:MW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W67"/>
  <sheetViews>
    <sheetView zoomScale="40" zoomScaleNormal="40" zoomScalePageLayoutView="40" workbookViewId="0">
      <pane xSplit="1" topLeftCell="B1" activePane="topRight" state="frozen"/>
      <selection pane="topRight" activeCell="A2" activeCellId="1" sqref="BE2:BE22 A2:A22"/>
    </sheetView>
  </sheetViews>
  <sheetFormatPr baseColWidth="10" defaultColWidth="9.1640625" defaultRowHeight="15" x14ac:dyDescent="0.2"/>
  <cols>
    <col min="1" max="115" width="9.1640625" style="18"/>
    <col min="116" max="116" width="9.1640625" style="18" customWidth="1"/>
    <col min="117" max="211" width="9.1640625" style="18"/>
    <col min="212" max="212" width="11.6640625" style="18" customWidth="1"/>
    <col min="213" max="215" width="9.1640625" style="18"/>
    <col min="216" max="216" width="14.5" style="18" customWidth="1"/>
    <col min="217" max="281" width="9.1640625" style="18"/>
    <col min="282" max="282" width="8.6640625" style="18" customWidth="1"/>
    <col min="283" max="16384" width="9.1640625" style="18"/>
  </cols>
  <sheetData>
    <row r="1" spans="1:361" s="330" customFormat="1" ht="16.5" customHeight="1" thickBot="1" x14ac:dyDescent="0.3">
      <c r="U1" s="330" t="s">
        <v>352</v>
      </c>
      <c r="V1" s="330" t="s">
        <v>352</v>
      </c>
      <c r="W1" s="330" t="s">
        <v>352</v>
      </c>
      <c r="X1" s="330" t="s">
        <v>352</v>
      </c>
      <c r="Y1" s="330" t="s">
        <v>352</v>
      </c>
      <c r="AB1" s="381" t="s">
        <v>351</v>
      </c>
      <c r="AC1" s="381" t="s">
        <v>351</v>
      </c>
      <c r="AD1" s="381" t="s">
        <v>351</v>
      </c>
      <c r="AE1" s="381" t="s">
        <v>351</v>
      </c>
      <c r="AF1" s="382" t="s">
        <v>351</v>
      </c>
      <c r="AG1" s="382" t="s">
        <v>351</v>
      </c>
      <c r="AH1" s="382" t="s">
        <v>351</v>
      </c>
      <c r="AI1" s="382" t="s">
        <v>351</v>
      </c>
      <c r="AJ1" s="330" t="s">
        <v>351</v>
      </c>
      <c r="AK1" s="330" t="s">
        <v>351</v>
      </c>
      <c r="AL1" s="330" t="s">
        <v>351</v>
      </c>
      <c r="AM1" s="330" t="s">
        <v>351</v>
      </c>
      <c r="AN1" s="381" t="s">
        <v>351</v>
      </c>
      <c r="AO1" s="381" t="s">
        <v>351</v>
      </c>
      <c r="AP1" s="381" t="s">
        <v>351</v>
      </c>
      <c r="AQ1" s="381" t="s">
        <v>351</v>
      </c>
      <c r="AR1" s="330" t="s">
        <v>351</v>
      </c>
      <c r="AS1" s="330" t="s">
        <v>351</v>
      </c>
      <c r="AT1" s="330" t="s">
        <v>351</v>
      </c>
      <c r="AU1" s="330" t="s">
        <v>351</v>
      </c>
      <c r="AV1" s="382" t="s">
        <v>351</v>
      </c>
      <c r="AW1" s="382" t="s">
        <v>351</v>
      </c>
      <c r="AX1" s="382" t="s">
        <v>351</v>
      </c>
      <c r="AY1" s="382" t="s">
        <v>351</v>
      </c>
      <c r="BH1" s="330" t="s">
        <v>453</v>
      </c>
      <c r="BN1" s="330" t="s">
        <v>465</v>
      </c>
      <c r="BW1" s="381" t="s">
        <v>55</v>
      </c>
      <c r="BX1" s="330" t="s">
        <v>56</v>
      </c>
      <c r="BY1" s="382" t="s">
        <v>347</v>
      </c>
      <c r="BZ1" s="329" t="s">
        <v>583</v>
      </c>
      <c r="CL1" s="383" t="s">
        <v>501</v>
      </c>
      <c r="CM1" s="384" t="s">
        <v>618</v>
      </c>
      <c r="CN1" s="385" t="s">
        <v>503</v>
      </c>
      <c r="CO1" s="385"/>
      <c r="CP1" s="385"/>
      <c r="CQ1" s="385"/>
      <c r="CR1" s="385"/>
      <c r="CS1" s="385"/>
      <c r="CT1" s="385"/>
      <c r="CZ1" s="386"/>
      <c r="DA1" s="437" t="s">
        <v>504</v>
      </c>
      <c r="DB1" s="438"/>
      <c r="DC1" s="438"/>
      <c r="DD1" s="439"/>
      <c r="DE1" s="440" t="s">
        <v>505</v>
      </c>
      <c r="DF1" s="441"/>
      <c r="DG1" s="441"/>
      <c r="DH1" s="442"/>
      <c r="DI1" s="443" t="s">
        <v>506</v>
      </c>
      <c r="DJ1" s="444"/>
      <c r="DK1" s="444"/>
      <c r="DL1" s="445"/>
      <c r="DM1" s="396"/>
      <c r="DN1" s="437" t="s">
        <v>507</v>
      </c>
      <c r="DO1" s="438"/>
      <c r="DP1" s="438"/>
      <c r="DQ1" s="439"/>
      <c r="DR1" s="440" t="s">
        <v>508</v>
      </c>
      <c r="DS1" s="441"/>
      <c r="DT1" s="441"/>
      <c r="DU1" s="442"/>
      <c r="DV1" s="446" t="s">
        <v>509</v>
      </c>
      <c r="DW1" s="446"/>
      <c r="DX1" s="446"/>
      <c r="DY1" s="446"/>
      <c r="DZ1" s="398"/>
      <c r="EA1" s="399" t="s">
        <v>510</v>
      </c>
      <c r="EB1" s="400"/>
      <c r="EC1" s="400"/>
      <c r="ED1" s="401"/>
      <c r="EE1" s="447" t="s">
        <v>511</v>
      </c>
      <c r="EF1" s="448"/>
      <c r="EG1" s="448"/>
      <c r="EH1" s="449"/>
      <c r="EI1" s="450" t="s">
        <v>512</v>
      </c>
      <c r="EJ1" s="446"/>
      <c r="EK1" s="446"/>
      <c r="EL1" s="446"/>
      <c r="EN1" s="382"/>
      <c r="EO1" s="406"/>
      <c r="EP1" s="382"/>
      <c r="EQ1" s="382"/>
      <c r="ER1" s="382"/>
      <c r="EU1" s="382" t="s">
        <v>544</v>
      </c>
      <c r="EV1" s="382"/>
      <c r="EW1" s="382"/>
      <c r="EX1" s="382"/>
      <c r="EY1" s="382"/>
      <c r="EZ1" s="382"/>
      <c r="FA1" s="382"/>
      <c r="FB1" s="330" t="s">
        <v>248</v>
      </c>
      <c r="FC1" s="330" t="s">
        <v>251</v>
      </c>
      <c r="FD1" s="330" t="s">
        <v>252</v>
      </c>
      <c r="FE1" s="407" t="s">
        <v>608</v>
      </c>
      <c r="FF1" s="408" t="s">
        <v>347</v>
      </c>
      <c r="FG1" s="308"/>
      <c r="FH1" s="308"/>
      <c r="FI1" s="308"/>
      <c r="FJ1" s="308"/>
      <c r="FK1" s="308"/>
      <c r="FL1" s="308"/>
      <c r="FM1" s="308"/>
      <c r="FN1" s="308"/>
      <c r="FO1" s="308"/>
      <c r="FP1" s="308"/>
      <c r="FT1" s="330" t="s">
        <v>583</v>
      </c>
      <c r="GF1" s="382" t="s">
        <v>617</v>
      </c>
      <c r="GG1" s="382"/>
      <c r="GH1" s="382"/>
      <c r="GI1" s="382"/>
      <c r="GJ1" s="382"/>
      <c r="GK1" s="382"/>
      <c r="GL1" s="382"/>
      <c r="GT1" s="331"/>
      <c r="GW1" s="409" t="s">
        <v>666</v>
      </c>
      <c r="HA1" s="409"/>
      <c r="HB1" s="330" t="s">
        <v>667</v>
      </c>
      <c r="HE1" s="409"/>
      <c r="HF1" s="330" t="s">
        <v>668</v>
      </c>
      <c r="HI1" s="409"/>
      <c r="HJ1" s="330" t="s">
        <v>669</v>
      </c>
      <c r="HK1" s="332"/>
      <c r="HM1" s="410"/>
      <c r="HN1" s="409" t="s">
        <v>670</v>
      </c>
      <c r="HR1" s="330" t="s">
        <v>519</v>
      </c>
      <c r="HV1" s="330" t="s">
        <v>518</v>
      </c>
      <c r="HZ1" s="330" t="s">
        <v>653</v>
      </c>
      <c r="ID1" s="330" t="s">
        <v>520</v>
      </c>
      <c r="IH1" s="330" t="s">
        <v>310</v>
      </c>
      <c r="IL1" s="330" t="s">
        <v>654</v>
      </c>
      <c r="IP1" s="330" t="s">
        <v>655</v>
      </c>
      <c r="IT1" s="330" t="s">
        <v>656</v>
      </c>
      <c r="IX1" s="330" t="s">
        <v>671</v>
      </c>
      <c r="JB1" s="330" t="s">
        <v>672</v>
      </c>
      <c r="JC1" s="330" t="s">
        <v>585</v>
      </c>
      <c r="KE1" s="100" t="s">
        <v>613</v>
      </c>
      <c r="KF1" s="411" t="s">
        <v>609</v>
      </c>
      <c r="KG1" s="411"/>
      <c r="KI1" s="411" t="s">
        <v>610</v>
      </c>
      <c r="KJ1" s="411"/>
      <c r="KL1" s="382" t="s">
        <v>347</v>
      </c>
      <c r="KN1" s="412"/>
      <c r="KQ1" s="407" t="s">
        <v>608</v>
      </c>
      <c r="KR1" s="408" t="s">
        <v>347</v>
      </c>
      <c r="KS1" s="308"/>
      <c r="KT1" s="308"/>
      <c r="KU1" s="308"/>
      <c r="KV1" s="308"/>
      <c r="KW1" s="308"/>
      <c r="KX1" s="308"/>
      <c r="KY1" s="308"/>
      <c r="KZ1" s="308"/>
      <c r="LA1" s="308"/>
      <c r="LB1" s="308"/>
      <c r="LK1" s="370" t="s">
        <v>545</v>
      </c>
      <c r="LL1" s="371" t="s">
        <v>643</v>
      </c>
      <c r="LM1" s="372"/>
      <c r="LN1" s="372"/>
      <c r="LO1" s="372"/>
      <c r="LQ1" s="412"/>
      <c r="LR1" s="382" t="s">
        <v>347</v>
      </c>
      <c r="LS1" s="332"/>
      <c r="LT1" s="368" t="s">
        <v>644</v>
      </c>
      <c r="LU1" s="368"/>
      <c r="LV1" s="368"/>
      <c r="LW1" s="368"/>
      <c r="LX1" s="412"/>
      <c r="LY1" s="382" t="s">
        <v>347</v>
      </c>
      <c r="LZ1" s="332"/>
      <c r="MA1" s="372" t="s">
        <v>645</v>
      </c>
      <c r="MB1" s="372"/>
      <c r="MC1" s="372"/>
      <c r="MD1" s="372"/>
      <c r="ME1" s="412"/>
      <c r="MF1" s="382" t="s">
        <v>347</v>
      </c>
      <c r="MG1" s="332"/>
      <c r="MI1" s="369" t="s">
        <v>646</v>
      </c>
      <c r="MJ1" s="369"/>
      <c r="MK1" s="369"/>
      <c r="ML1" s="412"/>
      <c r="MM1" s="382" t="s">
        <v>347</v>
      </c>
      <c r="MO1" s="539" t="s">
        <v>675</v>
      </c>
      <c r="MP1" s="539"/>
      <c r="MQ1" s="539"/>
      <c r="MR1" s="539"/>
      <c r="MS1" s="540"/>
      <c r="MT1" s="541" t="s">
        <v>676</v>
      </c>
      <c r="MU1" s="541"/>
      <c r="MV1" s="541"/>
      <c r="MW1" s="541"/>
    </row>
    <row r="2" spans="1:361" ht="20" thickBot="1" x14ac:dyDescent="0.3">
      <c r="A2" s="94" t="s">
        <v>276</v>
      </c>
      <c r="B2" s="95" t="s">
        <v>268</v>
      </c>
      <c r="C2" s="95" t="s">
        <v>269</v>
      </c>
      <c r="D2" s="96" t="s">
        <v>247</v>
      </c>
      <c r="E2" s="95" t="s">
        <v>248</v>
      </c>
      <c r="F2" s="95" t="s">
        <v>250</v>
      </c>
      <c r="G2" s="18" t="s">
        <v>251</v>
      </c>
      <c r="H2" s="67" t="s">
        <v>252</v>
      </c>
      <c r="I2" s="95" t="s">
        <v>253</v>
      </c>
      <c r="J2" s="95" t="s">
        <v>256</v>
      </c>
      <c r="K2" s="95" t="s">
        <v>255</v>
      </c>
      <c r="L2" s="95" t="s">
        <v>259</v>
      </c>
      <c r="M2" s="95" t="s">
        <v>258</v>
      </c>
      <c r="N2" s="95" t="s">
        <v>257</v>
      </c>
      <c r="O2" s="95" t="s">
        <v>263</v>
      </c>
      <c r="P2" s="95" t="s">
        <v>264</v>
      </c>
      <c r="Q2" s="95" t="s">
        <v>265</v>
      </c>
      <c r="R2" s="95" t="s">
        <v>266</v>
      </c>
      <c r="S2" s="95" t="s">
        <v>249</v>
      </c>
      <c r="T2" s="95" t="s">
        <v>350</v>
      </c>
      <c r="U2" s="95" t="s">
        <v>270</v>
      </c>
      <c r="V2" s="95" t="s">
        <v>271</v>
      </c>
      <c r="W2" s="95" t="s">
        <v>272</v>
      </c>
      <c r="X2" s="95" t="s">
        <v>273</v>
      </c>
      <c r="Y2" s="95" t="s">
        <v>274</v>
      </c>
      <c r="Z2" s="97" t="s">
        <v>311</v>
      </c>
      <c r="AA2" s="98" t="s">
        <v>313</v>
      </c>
      <c r="AB2" s="95" t="s">
        <v>337</v>
      </c>
      <c r="AC2" s="95" t="s">
        <v>338</v>
      </c>
      <c r="AD2" s="95" t="s">
        <v>339</v>
      </c>
      <c r="AE2" s="95" t="s">
        <v>52</v>
      </c>
      <c r="AF2" s="152" t="s">
        <v>348</v>
      </c>
      <c r="AG2" s="152" t="s">
        <v>338</v>
      </c>
      <c r="AH2" s="152" t="s">
        <v>339</v>
      </c>
      <c r="AI2" s="152" t="s">
        <v>52</v>
      </c>
      <c r="AJ2" s="125" t="s">
        <v>349</v>
      </c>
      <c r="AK2" s="95" t="s">
        <v>338</v>
      </c>
      <c r="AL2" s="95" t="s">
        <v>339</v>
      </c>
      <c r="AM2" s="126" t="s">
        <v>52</v>
      </c>
      <c r="AN2" s="125" t="s">
        <v>55</v>
      </c>
      <c r="AO2" s="95"/>
      <c r="AP2" s="95"/>
      <c r="AQ2" s="126"/>
      <c r="AR2" s="125" t="s">
        <v>56</v>
      </c>
      <c r="AS2" s="95"/>
      <c r="AT2" s="95"/>
      <c r="AU2" s="126"/>
      <c r="AV2" s="183" t="s">
        <v>347</v>
      </c>
      <c r="AW2" s="152"/>
      <c r="AX2" s="152"/>
      <c r="AY2" s="184"/>
      <c r="AZ2" s="153" t="s">
        <v>420</v>
      </c>
      <c r="BA2" s="152" t="s">
        <v>421</v>
      </c>
      <c r="BB2" s="95" t="s">
        <v>424</v>
      </c>
      <c r="BC2" s="152" t="s">
        <v>423</v>
      </c>
      <c r="BD2" s="136" t="s">
        <v>26</v>
      </c>
      <c r="BE2" s="150" t="s">
        <v>29</v>
      </c>
      <c r="BF2" s="18" t="s">
        <v>425</v>
      </c>
      <c r="BG2" s="18" t="s">
        <v>426</v>
      </c>
      <c r="BH2" s="217" t="s">
        <v>454</v>
      </c>
      <c r="BI2" s="218" t="s">
        <v>455</v>
      </c>
      <c r="BJ2" s="219" t="s">
        <v>456</v>
      </c>
      <c r="BL2" s="18" t="s">
        <v>459</v>
      </c>
      <c r="BM2" s="18" t="s">
        <v>460</v>
      </c>
      <c r="BN2" s="18" t="s">
        <v>461</v>
      </c>
      <c r="BO2" s="18" t="s">
        <v>462</v>
      </c>
      <c r="BP2" s="18" t="s">
        <v>463</v>
      </c>
      <c r="BQ2" s="138"/>
      <c r="BR2" s="138" t="s">
        <v>496</v>
      </c>
      <c r="BS2" s="138"/>
      <c r="BT2" s="138" t="s">
        <v>497</v>
      </c>
      <c r="BU2" s="138" t="s">
        <v>498</v>
      </c>
      <c r="BV2" s="18" t="s">
        <v>540</v>
      </c>
      <c r="BW2" s="18" t="s">
        <v>36</v>
      </c>
      <c r="BX2" s="18" t="s">
        <v>36</v>
      </c>
      <c r="BZ2" s="3" t="s">
        <v>406</v>
      </c>
      <c r="CA2" s="18" t="s">
        <v>407</v>
      </c>
      <c r="CB2" s="18" t="s">
        <v>408</v>
      </c>
      <c r="CC2" s="18" t="s">
        <v>409</v>
      </c>
      <c r="CD2" s="18" t="s">
        <v>410</v>
      </c>
      <c r="CE2" s="18" t="s">
        <v>411</v>
      </c>
      <c r="CF2" s="18" t="s">
        <v>412</v>
      </c>
      <c r="CG2" s="18" t="s">
        <v>413</v>
      </c>
      <c r="CH2" s="18" t="s">
        <v>414</v>
      </c>
      <c r="CI2" s="18" t="s">
        <v>415</v>
      </c>
      <c r="CJ2" s="21" t="s">
        <v>416</v>
      </c>
      <c r="CK2" s="290"/>
      <c r="CL2" s="290" t="s">
        <v>517</v>
      </c>
      <c r="CM2" s="290" t="s">
        <v>457</v>
      </c>
      <c r="CN2" s="290" t="s">
        <v>518</v>
      </c>
      <c r="CO2" s="290" t="s">
        <v>519</v>
      </c>
      <c r="CP2" s="290" t="s">
        <v>520</v>
      </c>
      <c r="CQ2" s="290" t="s">
        <v>521</v>
      </c>
      <c r="CR2" s="290" t="s">
        <v>522</v>
      </c>
      <c r="CS2" s="290" t="s">
        <v>523</v>
      </c>
      <c r="CT2" s="290" t="s">
        <v>310</v>
      </c>
      <c r="CU2" s="378" t="s">
        <v>653</v>
      </c>
      <c r="CV2" s="378" t="s">
        <v>656</v>
      </c>
      <c r="CW2" s="378" t="s">
        <v>657</v>
      </c>
      <c r="CX2" s="378" t="s">
        <v>658</v>
      </c>
      <c r="CY2" s="378" t="s">
        <v>655</v>
      </c>
      <c r="CZ2" s="290"/>
      <c r="DA2" s="351" t="s">
        <v>513</v>
      </c>
      <c r="DB2" s="436" t="s">
        <v>514</v>
      </c>
      <c r="DC2" s="288" t="s">
        <v>515</v>
      </c>
      <c r="DD2" s="353" t="s">
        <v>516</v>
      </c>
      <c r="DE2" s="351" t="s">
        <v>513</v>
      </c>
      <c r="DF2" s="436" t="s">
        <v>514</v>
      </c>
      <c r="DG2" s="288" t="s">
        <v>515</v>
      </c>
      <c r="DH2" s="352" t="s">
        <v>516</v>
      </c>
      <c r="DI2" s="351" t="s">
        <v>513</v>
      </c>
      <c r="DJ2" s="436" t="s">
        <v>514</v>
      </c>
      <c r="DK2" s="288" t="s">
        <v>515</v>
      </c>
      <c r="DL2" s="352" t="s">
        <v>516</v>
      </c>
      <c r="DM2" s="291"/>
      <c r="DN2" s="351" t="s">
        <v>513</v>
      </c>
      <c r="DO2" s="436" t="s">
        <v>514</v>
      </c>
      <c r="DP2" s="436" t="s">
        <v>515</v>
      </c>
      <c r="DQ2" s="300" t="s">
        <v>516</v>
      </c>
      <c r="DR2" s="351" t="s">
        <v>513</v>
      </c>
      <c r="DS2" s="436" t="s">
        <v>514</v>
      </c>
      <c r="DT2" s="436" t="s">
        <v>515</v>
      </c>
      <c r="DU2" s="301" t="s">
        <v>516</v>
      </c>
      <c r="DV2" s="436" t="s">
        <v>513</v>
      </c>
      <c r="DW2" s="436" t="s">
        <v>514</v>
      </c>
      <c r="DX2" s="288" t="s">
        <v>515</v>
      </c>
      <c r="DY2" s="299" t="s">
        <v>516</v>
      </c>
      <c r="DZ2" s="291"/>
      <c r="EA2" s="436" t="s">
        <v>513</v>
      </c>
      <c r="EB2" s="436" t="s">
        <v>514</v>
      </c>
      <c r="EC2" s="436" t="s">
        <v>515</v>
      </c>
      <c r="ED2" s="300" t="s">
        <v>516</v>
      </c>
      <c r="EE2" s="436" t="s">
        <v>513</v>
      </c>
      <c r="EF2" s="436" t="s">
        <v>514</v>
      </c>
      <c r="EG2" s="436" t="s">
        <v>515</v>
      </c>
      <c r="EH2" s="301" t="s">
        <v>516</v>
      </c>
      <c r="EI2" s="436" t="s">
        <v>513</v>
      </c>
      <c r="EJ2" s="436" t="s">
        <v>514</v>
      </c>
      <c r="EK2" s="436" t="s">
        <v>515</v>
      </c>
      <c r="EL2" s="301" t="s">
        <v>516</v>
      </c>
      <c r="EM2" s="291"/>
      <c r="EN2" s="333" t="s">
        <v>541</v>
      </c>
      <c r="EO2" s="313"/>
      <c r="EP2" s="334" t="s">
        <v>542</v>
      </c>
      <c r="EQ2" s="313"/>
      <c r="ER2" s="313" t="s">
        <v>543</v>
      </c>
      <c r="ES2" s="18" t="s">
        <v>241</v>
      </c>
      <c r="ET2" s="18" t="s">
        <v>242</v>
      </c>
      <c r="EU2" s="18" t="s">
        <v>243</v>
      </c>
      <c r="EV2" s="18" t="s">
        <v>244</v>
      </c>
      <c r="EW2" s="18" t="s">
        <v>245</v>
      </c>
      <c r="EX2" s="18" t="s">
        <v>246</v>
      </c>
      <c r="EY2" s="18" t="s">
        <v>216</v>
      </c>
      <c r="EZ2" s="161" t="s">
        <v>457</v>
      </c>
      <c r="FA2" s="21" t="s">
        <v>458</v>
      </c>
      <c r="FB2" s="67" t="s">
        <v>545</v>
      </c>
      <c r="FC2" s="6" t="s">
        <v>546</v>
      </c>
      <c r="FD2" s="24" t="s">
        <v>546</v>
      </c>
      <c r="FE2" s="339" t="s">
        <v>313</v>
      </c>
      <c r="FF2" s="146" t="s">
        <v>406</v>
      </c>
      <c r="FG2" s="71" t="s">
        <v>407</v>
      </c>
      <c r="FH2" s="142" t="s">
        <v>408</v>
      </c>
      <c r="FI2" s="147" t="s">
        <v>409</v>
      </c>
      <c r="FJ2" s="136" t="s">
        <v>410</v>
      </c>
      <c r="FK2" s="135" t="s">
        <v>411</v>
      </c>
      <c r="FL2" s="148" t="s">
        <v>412</v>
      </c>
      <c r="FM2" s="149" t="s">
        <v>413</v>
      </c>
      <c r="FN2" s="150" t="s">
        <v>414</v>
      </c>
      <c r="FO2" s="141" t="s">
        <v>415</v>
      </c>
      <c r="FP2" s="143" t="s">
        <v>416</v>
      </c>
      <c r="FQ2" s="95" t="s">
        <v>265</v>
      </c>
      <c r="FR2" s="95" t="s">
        <v>270</v>
      </c>
      <c r="FS2" s="95" t="s">
        <v>274</v>
      </c>
      <c r="FT2" s="146" t="s">
        <v>547</v>
      </c>
      <c r="FU2" s="71" t="s">
        <v>548</v>
      </c>
      <c r="FV2" s="142" t="s">
        <v>549</v>
      </c>
      <c r="FW2" s="147" t="s">
        <v>550</v>
      </c>
      <c r="FX2" s="136" t="s">
        <v>551</v>
      </c>
      <c r="FY2" s="135" t="s">
        <v>552</v>
      </c>
      <c r="FZ2" s="148" t="s">
        <v>237</v>
      </c>
      <c r="GA2" s="149" t="s">
        <v>553</v>
      </c>
      <c r="GB2" s="150" t="s">
        <v>558</v>
      </c>
      <c r="GC2" s="141" t="s">
        <v>556</v>
      </c>
      <c r="GD2" s="143" t="s">
        <v>554</v>
      </c>
      <c r="GE2" s="161" t="s">
        <v>457</v>
      </c>
      <c r="GF2" s="77" t="s">
        <v>241</v>
      </c>
      <c r="GG2" s="77" t="s">
        <v>242</v>
      </c>
      <c r="GH2" s="77" t="s">
        <v>243</v>
      </c>
      <c r="GI2" s="77" t="s">
        <v>244</v>
      </c>
      <c r="GJ2" s="77" t="s">
        <v>245</v>
      </c>
      <c r="GK2" s="77" t="s">
        <v>246</v>
      </c>
      <c r="GL2" s="77" t="s">
        <v>216</v>
      </c>
      <c r="GN2" s="95" t="s">
        <v>256</v>
      </c>
      <c r="GO2" s="95" t="s">
        <v>255</v>
      </c>
      <c r="GP2" s="95" t="s">
        <v>259</v>
      </c>
      <c r="GQ2" s="95" t="s">
        <v>258</v>
      </c>
      <c r="GR2" s="95" t="s">
        <v>257</v>
      </c>
      <c r="GS2" s="150" t="s">
        <v>29</v>
      </c>
      <c r="GT2" s="326" t="s">
        <v>566</v>
      </c>
      <c r="GU2" s="324" t="s">
        <v>567</v>
      </c>
      <c r="GV2" s="325" t="s">
        <v>568</v>
      </c>
      <c r="GW2" s="167" t="s">
        <v>569</v>
      </c>
      <c r="GX2" s="77" t="s">
        <v>616</v>
      </c>
      <c r="GY2" s="21" t="s">
        <v>570</v>
      </c>
      <c r="GZ2" s="18" t="s">
        <v>571</v>
      </c>
      <c r="HA2" s="167" t="s">
        <v>572</v>
      </c>
      <c r="HB2" s="77" t="s">
        <v>573</v>
      </c>
      <c r="HC2" s="21" t="s">
        <v>574</v>
      </c>
      <c r="HD2" s="18" t="s">
        <v>575</v>
      </c>
      <c r="HE2" s="167" t="s">
        <v>576</v>
      </c>
      <c r="HF2" s="77" t="s">
        <v>573</v>
      </c>
      <c r="HG2" s="21" t="s">
        <v>577</v>
      </c>
      <c r="HH2" s="18" t="s">
        <v>578</v>
      </c>
      <c r="HI2" s="167" t="s">
        <v>579</v>
      </c>
      <c r="HJ2" s="77" t="s">
        <v>580</v>
      </c>
      <c r="HK2" s="204" t="s">
        <v>581</v>
      </c>
      <c r="HL2" s="24" t="s">
        <v>582</v>
      </c>
      <c r="HM2" s="167" t="s">
        <v>579</v>
      </c>
      <c r="HN2" s="154" t="s">
        <v>580</v>
      </c>
      <c r="HO2" s="154" t="s">
        <v>55</v>
      </c>
      <c r="HP2" s="154" t="s">
        <v>651</v>
      </c>
      <c r="HQ2" s="167" t="s">
        <v>579</v>
      </c>
      <c r="HR2" s="154" t="s">
        <v>652</v>
      </c>
      <c r="HS2" s="154" t="s">
        <v>55</v>
      </c>
      <c r="HT2" s="154" t="s">
        <v>651</v>
      </c>
      <c r="HU2" s="167" t="s">
        <v>579</v>
      </c>
      <c r="HV2" s="154" t="s">
        <v>652</v>
      </c>
      <c r="HW2" s="154" t="s">
        <v>55</v>
      </c>
      <c r="HX2" s="154" t="s">
        <v>651</v>
      </c>
      <c r="HY2" s="167" t="s">
        <v>579</v>
      </c>
      <c r="HZ2" s="154" t="s">
        <v>652</v>
      </c>
      <c r="IA2" s="154" t="s">
        <v>55</v>
      </c>
      <c r="IB2" s="154" t="s">
        <v>651</v>
      </c>
      <c r="IC2" s="167" t="s">
        <v>579</v>
      </c>
      <c r="ID2" s="154" t="s">
        <v>652</v>
      </c>
      <c r="IE2" s="154" t="s">
        <v>55</v>
      </c>
      <c r="IF2" s="154" t="s">
        <v>651</v>
      </c>
      <c r="IG2" s="167" t="s">
        <v>579</v>
      </c>
      <c r="IH2" s="154" t="s">
        <v>652</v>
      </c>
      <c r="II2" s="154" t="s">
        <v>55</v>
      </c>
      <c r="IJ2" s="154" t="s">
        <v>651</v>
      </c>
      <c r="IK2" s="167" t="s">
        <v>579</v>
      </c>
      <c r="IL2" s="154" t="s">
        <v>652</v>
      </c>
      <c r="IM2" s="154" t="s">
        <v>55</v>
      </c>
      <c r="IN2" s="154" t="s">
        <v>651</v>
      </c>
      <c r="IO2" s="167" t="s">
        <v>579</v>
      </c>
      <c r="IP2" s="154" t="s">
        <v>652</v>
      </c>
      <c r="IQ2" s="154" t="s">
        <v>55</v>
      </c>
      <c r="IR2" s="154" t="s">
        <v>651</v>
      </c>
      <c r="IS2" s="167" t="s">
        <v>579</v>
      </c>
      <c r="IT2" s="154" t="s">
        <v>652</v>
      </c>
      <c r="IU2" s="154" t="s">
        <v>55</v>
      </c>
      <c r="IV2" s="154" t="s">
        <v>651</v>
      </c>
      <c r="IW2" s="167" t="s">
        <v>579</v>
      </c>
      <c r="IX2" s="154" t="s">
        <v>652</v>
      </c>
      <c r="IY2" s="154" t="s">
        <v>55</v>
      </c>
      <c r="IZ2" s="154" t="s">
        <v>651</v>
      </c>
      <c r="JA2" s="167" t="s">
        <v>579</v>
      </c>
      <c r="JB2" s="154" t="s">
        <v>652</v>
      </c>
      <c r="JC2" s="154" t="s">
        <v>616</v>
      </c>
      <c r="JD2" s="18" t="s">
        <v>584</v>
      </c>
      <c r="JF2" s="335" t="s">
        <v>586</v>
      </c>
      <c r="JG2" s="336" t="s">
        <v>587</v>
      </c>
      <c r="JH2" s="336" t="s">
        <v>588</v>
      </c>
      <c r="JI2" s="336"/>
      <c r="JJ2" s="336" t="s">
        <v>589</v>
      </c>
      <c r="JK2" s="336" t="s">
        <v>588</v>
      </c>
      <c r="JL2" s="336"/>
      <c r="JM2" s="336" t="s">
        <v>590</v>
      </c>
      <c r="JN2" s="336" t="s">
        <v>588</v>
      </c>
      <c r="JO2" s="336" t="s">
        <v>607</v>
      </c>
      <c r="JP2" s="336" t="s">
        <v>591</v>
      </c>
      <c r="JQ2" s="336" t="s">
        <v>588</v>
      </c>
      <c r="JR2" s="336"/>
      <c r="JS2" s="335" t="s">
        <v>592</v>
      </c>
      <c r="JT2" s="336" t="s">
        <v>587</v>
      </c>
      <c r="JU2" s="336" t="s">
        <v>588</v>
      </c>
      <c r="JV2" s="336"/>
      <c r="JW2" s="336" t="s">
        <v>589</v>
      </c>
      <c r="JX2" s="336" t="s">
        <v>588</v>
      </c>
      <c r="JY2" s="336"/>
      <c r="JZ2" s="336" t="s">
        <v>590</v>
      </c>
      <c r="KA2" s="336" t="s">
        <v>588</v>
      </c>
      <c r="KB2" s="336"/>
      <c r="KC2" s="336" t="s">
        <v>591</v>
      </c>
      <c r="KD2" s="336" t="s">
        <v>588</v>
      </c>
      <c r="KE2" s="68"/>
      <c r="KF2" s="5" t="s">
        <v>513</v>
      </c>
      <c r="KG2" s="5" t="s">
        <v>611</v>
      </c>
      <c r="KH2" s="5" t="s">
        <v>52</v>
      </c>
      <c r="KI2" s="5" t="s">
        <v>612</v>
      </c>
      <c r="KJ2" s="5" t="s">
        <v>611</v>
      </c>
      <c r="KK2" s="5" t="s">
        <v>52</v>
      </c>
      <c r="KL2" s="154" t="s">
        <v>614</v>
      </c>
      <c r="KM2" s="154" t="s">
        <v>615</v>
      </c>
      <c r="KN2" s="185" t="s">
        <v>619</v>
      </c>
      <c r="KO2" s="154" t="s">
        <v>616</v>
      </c>
      <c r="KQ2" s="339" t="s">
        <v>313</v>
      </c>
      <c r="KR2" s="146" t="s">
        <v>406</v>
      </c>
      <c r="KS2" s="71" t="s">
        <v>407</v>
      </c>
      <c r="KT2" s="142" t="s">
        <v>408</v>
      </c>
      <c r="KU2" s="147" t="s">
        <v>409</v>
      </c>
      <c r="KV2" s="136" t="s">
        <v>410</v>
      </c>
      <c r="KW2" s="135" t="s">
        <v>411</v>
      </c>
      <c r="KX2" s="148" t="s">
        <v>412</v>
      </c>
      <c r="KY2" s="149" t="s">
        <v>413</v>
      </c>
      <c r="KZ2" s="150" t="s">
        <v>414</v>
      </c>
      <c r="LA2" s="141" t="s">
        <v>415</v>
      </c>
      <c r="LB2" s="143" t="s">
        <v>416</v>
      </c>
      <c r="LC2" s="356"/>
      <c r="LD2" s="357" t="s">
        <v>621</v>
      </c>
      <c r="LE2" s="357" t="s">
        <v>330</v>
      </c>
      <c r="LF2" s="357" t="s">
        <v>622</v>
      </c>
      <c r="LG2" s="357" t="s">
        <v>332</v>
      </c>
      <c r="LH2" s="357" t="s">
        <v>333</v>
      </c>
      <c r="LI2" s="357" t="s">
        <v>334</v>
      </c>
      <c r="LJ2" s="150" t="s">
        <v>29</v>
      </c>
      <c r="LK2" s="370"/>
      <c r="LL2" s="365" t="s">
        <v>647</v>
      </c>
      <c r="LM2" s="366" t="s">
        <v>648</v>
      </c>
      <c r="LN2" s="5" t="s">
        <v>52</v>
      </c>
      <c r="LO2" s="367" t="s">
        <v>649</v>
      </c>
      <c r="LP2" s="367" t="s">
        <v>650</v>
      </c>
      <c r="LQ2" s="80" t="s">
        <v>52</v>
      </c>
      <c r="LR2" s="77"/>
      <c r="LS2" s="365" t="s">
        <v>647</v>
      </c>
      <c r="LT2" s="366" t="s">
        <v>648</v>
      </c>
      <c r="LU2" s="5" t="s">
        <v>52</v>
      </c>
      <c r="LV2" s="367" t="s">
        <v>649</v>
      </c>
      <c r="LW2" s="367" t="s">
        <v>650</v>
      </c>
      <c r="LX2" s="80" t="s">
        <v>52</v>
      </c>
      <c r="LY2" s="77"/>
      <c r="LZ2" s="365" t="s">
        <v>647</v>
      </c>
      <c r="MA2" s="366" t="s">
        <v>648</v>
      </c>
      <c r="MB2" s="5" t="s">
        <v>52</v>
      </c>
      <c r="MC2" s="367" t="s">
        <v>649</v>
      </c>
      <c r="MD2" s="367" t="s">
        <v>650</v>
      </c>
      <c r="ME2" s="80" t="s">
        <v>52</v>
      </c>
      <c r="MF2" s="77"/>
      <c r="MG2" s="365" t="s">
        <v>647</v>
      </c>
      <c r="MH2" s="366" t="s">
        <v>648</v>
      </c>
      <c r="MI2" s="5" t="s">
        <v>52</v>
      </c>
      <c r="MJ2" s="367" t="s">
        <v>649</v>
      </c>
      <c r="MK2" s="367" t="s">
        <v>650</v>
      </c>
      <c r="ML2" s="80" t="s">
        <v>52</v>
      </c>
      <c r="MM2" s="77"/>
      <c r="MO2" s="414" t="s">
        <v>677</v>
      </c>
      <c r="MP2" s="415" t="s">
        <v>678</v>
      </c>
      <c r="MQ2" s="415" t="s">
        <v>679</v>
      </c>
      <c r="MR2" s="415" t="s">
        <v>680</v>
      </c>
      <c r="MS2" s="416" t="s">
        <v>681</v>
      </c>
      <c r="MT2" s="417" t="s">
        <v>682</v>
      </c>
      <c r="MU2" s="418" t="s">
        <v>683</v>
      </c>
      <c r="MV2" s="418" t="s">
        <v>684</v>
      </c>
      <c r="MW2" s="418" t="s">
        <v>681</v>
      </c>
    </row>
    <row r="3" spans="1:361" ht="15.75" customHeight="1" x14ac:dyDescent="0.2">
      <c r="A3" s="3" t="s">
        <v>0</v>
      </c>
      <c r="B3" s="5">
        <v>0</v>
      </c>
      <c r="C3" s="5">
        <v>3</v>
      </c>
      <c r="D3" s="5">
        <v>20</v>
      </c>
      <c r="E3" s="5">
        <v>58</v>
      </c>
      <c r="F3" s="5">
        <v>56</v>
      </c>
      <c r="G3" s="18">
        <v>24</v>
      </c>
      <c r="H3" s="24">
        <v>55</v>
      </c>
      <c r="I3" s="5">
        <v>23</v>
      </c>
      <c r="J3" s="5">
        <v>131</v>
      </c>
      <c r="K3" s="5">
        <v>80</v>
      </c>
      <c r="L3" s="5">
        <v>159</v>
      </c>
      <c r="M3" s="5">
        <v>50</v>
      </c>
      <c r="N3" s="5">
        <v>161</v>
      </c>
      <c r="O3" s="5">
        <v>0</v>
      </c>
      <c r="P3" s="5">
        <v>-6</v>
      </c>
      <c r="Q3" s="5">
        <v>0</v>
      </c>
      <c r="R3" s="5">
        <v>-1</v>
      </c>
      <c r="S3" s="5">
        <v>8</v>
      </c>
      <c r="T3" s="18">
        <v>6</v>
      </c>
      <c r="U3" s="5">
        <v>1</v>
      </c>
      <c r="V3" s="5">
        <v>0</v>
      </c>
      <c r="W3" s="5">
        <v>-4</v>
      </c>
      <c r="X3" s="5">
        <v>14</v>
      </c>
      <c r="Y3" s="5">
        <v>6</v>
      </c>
      <c r="Z3" s="92">
        <v>-3.1136297368421002E-2</v>
      </c>
      <c r="AA3" s="88">
        <v>11</v>
      </c>
      <c r="AB3" s="66">
        <v>87</v>
      </c>
      <c r="AC3" s="101">
        <v>77</v>
      </c>
      <c r="AD3" s="101">
        <v>108</v>
      </c>
      <c r="AE3" s="102">
        <v>91</v>
      </c>
      <c r="AF3" s="182">
        <v>14</v>
      </c>
      <c r="AG3" s="160">
        <v>10</v>
      </c>
      <c r="AH3" s="160">
        <v>7</v>
      </c>
      <c r="AI3" s="160">
        <v>10</v>
      </c>
      <c r="AJ3" s="68">
        <v>101</v>
      </c>
      <c r="AK3" s="5">
        <v>87</v>
      </c>
      <c r="AL3" s="5">
        <v>115</v>
      </c>
      <c r="AM3" s="80">
        <v>101</v>
      </c>
      <c r="AN3" s="68">
        <v>87</v>
      </c>
      <c r="AO3" s="5">
        <v>77</v>
      </c>
      <c r="AP3" s="5">
        <v>108</v>
      </c>
      <c r="AQ3" s="80">
        <v>91</v>
      </c>
      <c r="AR3" s="68">
        <v>101</v>
      </c>
      <c r="AS3" s="5">
        <v>87</v>
      </c>
      <c r="AT3" s="5">
        <v>115</v>
      </c>
      <c r="AU3" s="80">
        <v>101</v>
      </c>
      <c r="AV3" s="179">
        <f>AR3-AN3</f>
        <v>14</v>
      </c>
      <c r="AW3" s="154">
        <f t="shared" ref="AW3:AY18" si="0">AS3-AO3</f>
        <v>10</v>
      </c>
      <c r="AX3" s="154">
        <f t="shared" si="0"/>
        <v>7</v>
      </c>
      <c r="AY3" s="185">
        <f t="shared" si="0"/>
        <v>10</v>
      </c>
      <c r="AZ3" s="9">
        <v>1.2413793103448276</v>
      </c>
      <c r="BA3" s="77">
        <v>0.10276544895868911</v>
      </c>
      <c r="BB3" s="18">
        <v>0.88505747126436785</v>
      </c>
      <c r="BC3" s="77">
        <v>2.3671332650506471E-2</v>
      </c>
      <c r="BD3" s="154">
        <v>0.33000001311299998</v>
      </c>
      <c r="BE3" s="144">
        <v>0</v>
      </c>
      <c r="BF3" s="5">
        <v>0</v>
      </c>
      <c r="BG3" s="5">
        <v>-6</v>
      </c>
      <c r="BK3" s="18" t="s">
        <v>0</v>
      </c>
      <c r="BL3" s="18">
        <v>0</v>
      </c>
      <c r="BM3" s="18">
        <v>0</v>
      </c>
      <c r="BN3" s="18">
        <v>-1</v>
      </c>
      <c r="BO3" s="18">
        <v>1</v>
      </c>
      <c r="BP3" s="18">
        <v>0</v>
      </c>
      <c r="BQ3" s="138" t="s">
        <v>466</v>
      </c>
      <c r="BR3" s="138">
        <v>-1.60857358248744E-27</v>
      </c>
      <c r="BS3" s="138" t="s">
        <v>467</v>
      </c>
      <c r="BT3" s="138">
        <v>-1.1509700087500101E-27</v>
      </c>
      <c r="BU3" s="138">
        <f>AVERAGE(BR3,BT3)</f>
        <v>-1.3797717956187249E-27</v>
      </c>
      <c r="BW3" s="18">
        <v>0.74000000953699996</v>
      </c>
      <c r="BX3" s="18">
        <v>0</v>
      </c>
      <c r="BY3" s="18">
        <f>BW3-BX3</f>
        <v>0.74000000953699996</v>
      </c>
      <c r="BZ3" s="3">
        <v>0</v>
      </c>
      <c r="CA3" s="18">
        <v>0</v>
      </c>
      <c r="CB3" s="18">
        <v>3.333333445092667E-2</v>
      </c>
      <c r="CC3" s="18">
        <v>4.3333331744000003E-2</v>
      </c>
      <c r="CD3" s="18">
        <v>7.9999998212000004E-2</v>
      </c>
      <c r="CE3" s="18">
        <v>0</v>
      </c>
      <c r="CF3" s="18">
        <v>0</v>
      </c>
      <c r="CG3" s="18">
        <v>7.6666668057299991E-2</v>
      </c>
      <c r="CH3" s="18">
        <v>0.98666667938233321</v>
      </c>
      <c r="CI3" s="18">
        <v>0.27666666110376664</v>
      </c>
      <c r="CJ3" s="18">
        <v>0</v>
      </c>
      <c r="CK3" s="285" t="s">
        <v>524</v>
      </c>
      <c r="CL3" s="18">
        <v>1.6630495780000001</v>
      </c>
      <c r="CM3" s="18">
        <v>-1.6873948219999999</v>
      </c>
      <c r="CN3" s="18">
        <v>-0.187242614</v>
      </c>
      <c r="CO3" s="18">
        <v>-0.21316443730000001</v>
      </c>
      <c r="CP3" s="18">
        <v>-4.6699681600000001E-2</v>
      </c>
      <c r="CQ3" s="18">
        <v>-0.18124281019999999</v>
      </c>
      <c r="CR3" s="18">
        <v>-1.395795191E-2</v>
      </c>
      <c r="CS3" s="18">
        <v>-9.4979387669999991E-3</v>
      </c>
      <c r="CT3" s="18">
        <v>-0.53483405490000002</v>
      </c>
      <c r="CY3" s="18">
        <v>-7.7297546359999997E-2</v>
      </c>
      <c r="CZ3" s="285" t="s">
        <v>524</v>
      </c>
      <c r="DA3" s="68">
        <v>8.3569198839999999</v>
      </c>
      <c r="DB3" s="5">
        <v>8.5218662609999996</v>
      </c>
      <c r="DC3" s="5">
        <v>8.2818837819999995</v>
      </c>
      <c r="DD3" s="80">
        <f t="shared" ref="DD3:DD6" si="1">AVERAGE(DA3,DC3)</f>
        <v>8.3194018330000006</v>
      </c>
      <c r="DE3" s="68">
        <v>9.1047846809999999</v>
      </c>
      <c r="DF3" s="5">
        <v>8.4524927160000001</v>
      </c>
      <c r="DG3" s="5">
        <v>7.4383820150000002</v>
      </c>
      <c r="DH3" s="80">
        <f t="shared" ref="DH3:DH6" si="2">AVERAGE(DE3,DG3)</f>
        <v>8.2715833480000001</v>
      </c>
      <c r="DI3" s="151">
        <f t="shared" ref="DI3:DL6" si="3">DE3-DA3</f>
        <v>0.74786479700000008</v>
      </c>
      <c r="DJ3" s="24">
        <f t="shared" si="3"/>
        <v>-6.9373544999999481E-2</v>
      </c>
      <c r="DK3" s="293">
        <f t="shared" si="3"/>
        <v>-0.84350176699999935</v>
      </c>
      <c r="DL3" s="244">
        <f t="shared" si="3"/>
        <v>-4.7818485000000521E-2</v>
      </c>
      <c r="DM3" s="295" t="s">
        <v>524</v>
      </c>
      <c r="DN3" s="68">
        <v>3.2167677239999999</v>
      </c>
      <c r="DO3" s="5">
        <v>3.2402146319999998</v>
      </c>
      <c r="DP3" s="5">
        <v>3.3105156529999999</v>
      </c>
      <c r="DQ3" s="3">
        <f t="shared" ref="DQ3:DQ6" si="4">AVERAGE(DN3,DP3)</f>
        <v>3.2636416884999999</v>
      </c>
      <c r="DR3" s="68">
        <v>8.4507175750000005</v>
      </c>
      <c r="DS3" s="5">
        <v>6.8197445090000004</v>
      </c>
      <c r="DT3" s="5">
        <v>4.6827379880000004</v>
      </c>
      <c r="DU3" s="3">
        <f t="shared" ref="DU3:DU6" si="5">AVERAGE(DR3,DT3)</f>
        <v>6.5667277815000009</v>
      </c>
      <c r="DV3" s="24">
        <f t="shared" ref="DV3:DY6" si="6">DR3-DN3</f>
        <v>5.2339498510000002</v>
      </c>
      <c r="DW3" s="24">
        <f t="shared" si="6"/>
        <v>3.5795298770000006</v>
      </c>
      <c r="DX3" s="240">
        <f t="shared" si="6"/>
        <v>1.3722223350000005</v>
      </c>
      <c r="DY3" s="103">
        <f t="shared" si="6"/>
        <v>3.303086093000001</v>
      </c>
      <c r="DZ3" s="295" t="s">
        <v>524</v>
      </c>
      <c r="EA3" s="18">
        <v>8.4756659750000001</v>
      </c>
      <c r="EB3" s="18">
        <v>6.2187548550000002</v>
      </c>
      <c r="EC3" s="18">
        <v>6.7217666649999996</v>
      </c>
      <c r="ED3" s="3">
        <f t="shared" ref="ED3:ED6" si="7">AVERAGE(EA3,EC3)</f>
        <v>7.5987163199999994</v>
      </c>
      <c r="EE3" s="18">
        <v>5.8717347899999996</v>
      </c>
      <c r="EF3" s="18">
        <v>5.3498013479999997</v>
      </c>
      <c r="EG3" s="18">
        <v>4.1786548100000003</v>
      </c>
      <c r="EH3" s="3">
        <f t="shared" ref="EH3:EH6" si="8">AVERAGE(EE3,EG3)</f>
        <v>5.0251947999999995</v>
      </c>
      <c r="EI3" s="24">
        <f t="shared" ref="EI3:EL6" si="9">EE3-EA3</f>
        <v>-2.6039311850000004</v>
      </c>
      <c r="EJ3" s="24">
        <f t="shared" si="9"/>
        <v>-0.86895350700000051</v>
      </c>
      <c r="EK3" s="240">
        <f t="shared" si="9"/>
        <v>-2.5431118549999994</v>
      </c>
      <c r="EL3" s="188">
        <f t="shared" si="9"/>
        <v>-2.5735215199999999</v>
      </c>
      <c r="EM3" s="295" t="s">
        <v>524</v>
      </c>
      <c r="EN3" s="151" t="s">
        <v>466</v>
      </c>
      <c r="EO3" s="244">
        <v>32.559413042826897</v>
      </c>
      <c r="EP3" s="151" t="s">
        <v>467</v>
      </c>
      <c r="EQ3" s="244">
        <v>48.414092869684701</v>
      </c>
      <c r="ER3" s="244">
        <f>AVERAGE(EO3,EQ3)</f>
        <v>40.486752956255799</v>
      </c>
      <c r="ES3" s="18">
        <v>0</v>
      </c>
      <c r="ET3" s="18">
        <v>9</v>
      </c>
      <c r="EU3" s="18">
        <v>9</v>
      </c>
      <c r="EV3" s="18">
        <v>0</v>
      </c>
      <c r="EW3" s="18">
        <v>1</v>
      </c>
      <c r="EX3" s="18">
        <v>0</v>
      </c>
      <c r="EY3" s="18">
        <v>19</v>
      </c>
      <c r="EZ3" s="220">
        <v>-1.6873948219999999</v>
      </c>
      <c r="FA3" s="18">
        <v>-20.550620935191617</v>
      </c>
      <c r="FB3" s="309">
        <v>1</v>
      </c>
      <c r="FC3" s="101">
        <v>58</v>
      </c>
      <c r="FD3" s="18">
        <v>24</v>
      </c>
      <c r="FE3" s="340">
        <v>11</v>
      </c>
      <c r="FF3" s="18">
        <v>-3.999999910592E-3</v>
      </c>
      <c r="FG3" s="18">
        <v>-6.6666665176533342E-3</v>
      </c>
      <c r="FH3" s="18">
        <v>2.6666667933273335E-2</v>
      </c>
      <c r="FI3" s="18">
        <v>3.6666665226346672E-2</v>
      </c>
      <c r="FJ3" s="18">
        <v>6.9999998435520003E-2</v>
      </c>
      <c r="FK3" s="18">
        <v>-5.7142855865600006E-3</v>
      </c>
      <c r="FL3" s="18">
        <v>-3.3333332588266671E-3</v>
      </c>
      <c r="FM3" s="18">
        <v>7.0000001539646653E-2</v>
      </c>
      <c r="FN3" s="18">
        <v>0.98666667938233321</v>
      </c>
      <c r="FO3" s="18">
        <v>0.27333332784493997</v>
      </c>
      <c r="FP3" s="18">
        <v>-6.6666665176533342E-3</v>
      </c>
      <c r="FQ3" s="322">
        <v>0</v>
      </c>
      <c r="FR3" s="5">
        <v>1</v>
      </c>
      <c r="FS3" s="5">
        <v>6</v>
      </c>
      <c r="FT3" s="249">
        <v>0</v>
      </c>
      <c r="FU3" s="250">
        <v>0</v>
      </c>
      <c r="FV3" s="251">
        <v>3.333333445092667E-2</v>
      </c>
      <c r="FW3" s="252">
        <v>4.3333331744000003E-2</v>
      </c>
      <c r="FX3" s="160">
        <v>7.9999998212000004E-2</v>
      </c>
      <c r="FY3" s="253">
        <v>0</v>
      </c>
      <c r="FZ3" s="254">
        <v>0</v>
      </c>
      <c r="GA3" s="255">
        <v>7.6666668057299991E-2</v>
      </c>
      <c r="GB3" s="256">
        <v>0.98666667938233321</v>
      </c>
      <c r="GC3" s="257">
        <v>0.27666666110376664</v>
      </c>
      <c r="GD3" s="258">
        <v>0</v>
      </c>
      <c r="GE3" s="220">
        <v>-1.6873948219999999</v>
      </c>
      <c r="GF3" s="18">
        <v>0</v>
      </c>
      <c r="GG3" s="18">
        <v>9</v>
      </c>
      <c r="GH3" s="18">
        <v>9</v>
      </c>
      <c r="GI3" s="18">
        <v>0</v>
      </c>
      <c r="GJ3" s="18">
        <v>1</v>
      </c>
      <c r="GK3" s="18">
        <v>0</v>
      </c>
      <c r="GL3" s="18">
        <v>19</v>
      </c>
      <c r="GN3" s="5">
        <v>131</v>
      </c>
      <c r="GO3" s="5">
        <v>80</v>
      </c>
      <c r="GP3" s="5">
        <v>159</v>
      </c>
      <c r="GQ3" s="5">
        <v>50</v>
      </c>
      <c r="GR3" s="5">
        <v>161</v>
      </c>
      <c r="GS3" s="144">
        <v>0</v>
      </c>
      <c r="GT3" s="18">
        <v>74.843299999999999</v>
      </c>
      <c r="GU3" s="18">
        <v>67.620199999999997</v>
      </c>
      <c r="GV3" s="1">
        <f>GT3-GU3</f>
        <v>7.2231000000000023</v>
      </c>
      <c r="GW3" s="5">
        <f>GT3/GU3</f>
        <v>1.1068186725268485</v>
      </c>
      <c r="GX3" s="18">
        <f>LOG(GW3)</f>
        <v>4.4076477273186795E-2</v>
      </c>
      <c r="GY3" s="18">
        <v>65.334699999999998</v>
      </c>
      <c r="GZ3" s="18">
        <v>63.9465</v>
      </c>
      <c r="HA3" s="3">
        <f>GY3-GZ3</f>
        <v>1.3881999999999977</v>
      </c>
      <c r="HB3" s="18">
        <f>GY3/GZ3</f>
        <v>1.0217087721767415</v>
      </c>
      <c r="HC3" s="18">
        <v>72.250500000000002</v>
      </c>
      <c r="HD3" s="18">
        <v>65.236000000000004</v>
      </c>
      <c r="HE3" s="3">
        <f>HC3-HD3</f>
        <v>7.0144999999999982</v>
      </c>
      <c r="HF3" s="18">
        <f>HC3/HD3</f>
        <v>1.1075249862039365</v>
      </c>
      <c r="HG3" s="18">
        <v>53.774000000000001</v>
      </c>
      <c r="HH3" s="18">
        <v>76.178700000000006</v>
      </c>
      <c r="HI3" s="3">
        <f>HG3-HH3</f>
        <v>-22.404700000000005</v>
      </c>
      <c r="HJ3" s="18">
        <f>HG3/HH3</f>
        <v>0.70589285456433359</v>
      </c>
      <c r="HK3" s="5">
        <v>91.088800000000006</v>
      </c>
      <c r="HL3" s="5">
        <v>72.750799999999998</v>
      </c>
      <c r="HM3" s="3">
        <f>HK3-HL3</f>
        <v>18.338000000000008</v>
      </c>
      <c r="HN3" s="5">
        <f>HK3/HL3</f>
        <v>1.2520659566630197</v>
      </c>
      <c r="HO3" s="18">
        <v>55.591500000000003</v>
      </c>
      <c r="HP3" s="18">
        <v>55.807000000000002</v>
      </c>
      <c r="HQ3" s="3">
        <f>HO3-HP3</f>
        <v>-0.21549999999999869</v>
      </c>
      <c r="HR3" s="18">
        <f>HO3/HP3</f>
        <v>0.9961384772519577</v>
      </c>
      <c r="HS3" s="18">
        <v>58.429000000000002</v>
      </c>
      <c r="HT3" s="18">
        <v>58.607300000000002</v>
      </c>
      <c r="HU3" s="3">
        <f>HS3-HT3</f>
        <v>-0.17830000000000013</v>
      </c>
      <c r="HV3" s="18">
        <f>HS3/HT3</f>
        <v>0.99695771687144774</v>
      </c>
      <c r="HW3" s="18">
        <v>56.892699999999998</v>
      </c>
      <c r="HX3" s="18">
        <v>58.643500000000003</v>
      </c>
      <c r="HY3" s="3">
        <f>HW3-HX3</f>
        <v>-1.7508000000000052</v>
      </c>
      <c r="HZ3" s="18">
        <f>HW3/HX3</f>
        <v>0.97014502886082843</v>
      </c>
      <c r="IA3" s="18">
        <v>48.6175</v>
      </c>
      <c r="IB3" s="18">
        <v>48.289900000000003</v>
      </c>
      <c r="IC3" s="3">
        <f>IA3-IB3</f>
        <v>0.32759999999999678</v>
      </c>
      <c r="ID3" s="18">
        <f>IA3/IB3</f>
        <v>1.0067840273017752</v>
      </c>
      <c r="IE3" s="18">
        <v>45.715600000000002</v>
      </c>
      <c r="IF3" s="18">
        <v>46.976199999999999</v>
      </c>
      <c r="IG3" s="3">
        <f>IE3-IF3</f>
        <v>-1.2605999999999966</v>
      </c>
      <c r="IH3" s="18">
        <f>IE3/IF3</f>
        <v>0.9731651346852237</v>
      </c>
      <c r="II3" s="18">
        <v>58.826999999999998</v>
      </c>
      <c r="IJ3" s="18">
        <v>56.332000000000001</v>
      </c>
      <c r="IK3" s="3">
        <f>II3-IJ3</f>
        <v>2.4949999999999974</v>
      </c>
      <c r="IL3" s="18">
        <f>II3/IJ3</f>
        <v>1.0442909891358374</v>
      </c>
      <c r="IM3" s="18">
        <v>76.114800000000002</v>
      </c>
      <c r="IN3" s="18">
        <v>70.202500000000001</v>
      </c>
      <c r="IO3" s="3">
        <f>IM3-IN3</f>
        <v>5.9123000000000019</v>
      </c>
      <c r="IP3" s="18">
        <f>IM3/IN3</f>
        <v>1.0842177985114489</v>
      </c>
      <c r="IQ3" s="18">
        <v>52.249699999999997</v>
      </c>
      <c r="IR3" s="18">
        <v>53.003700000000002</v>
      </c>
      <c r="IS3" s="3">
        <f>IQ3-IR3</f>
        <v>-0.75400000000000489</v>
      </c>
      <c r="IT3" s="18">
        <f>IQ3/IR3</f>
        <v>0.98577457800115831</v>
      </c>
      <c r="IU3" s="18">
        <v>54.146999999999998</v>
      </c>
      <c r="IV3" s="18">
        <v>55.443800000000003</v>
      </c>
      <c r="IW3" s="3">
        <f>IU3-IV3</f>
        <v>-1.2968000000000046</v>
      </c>
      <c r="IX3" s="18">
        <f>IU3/IV3</f>
        <v>0.97661054978194128</v>
      </c>
      <c r="IY3" s="18">
        <v>62.913499999999999</v>
      </c>
      <c r="IZ3" s="18">
        <v>61.563699999999997</v>
      </c>
      <c r="JA3" s="3">
        <f>IY3-IZ3</f>
        <v>1.3498000000000019</v>
      </c>
      <c r="JB3" s="18">
        <f>IY3/IZ3</f>
        <v>1.0219252579036022</v>
      </c>
      <c r="JC3" s="18">
        <f>LOG(HN3)</f>
        <v>9.7627207357083912E-2</v>
      </c>
      <c r="JD3" s="18">
        <v>40.486752956255799</v>
      </c>
      <c r="JE3" s="18">
        <f>JD3/100</f>
        <v>0.404867529562558</v>
      </c>
      <c r="JG3" s="336" t="s">
        <v>593</v>
      </c>
      <c r="JH3" s="18">
        <v>0.64809904041364497</v>
      </c>
      <c r="JJ3" s="336" t="s">
        <v>593</v>
      </c>
      <c r="JK3" s="18">
        <v>0.5035201700277</v>
      </c>
      <c r="JM3" s="336" t="s">
        <v>593</v>
      </c>
      <c r="JN3" s="18">
        <v>0.244943388843369</v>
      </c>
      <c r="JO3" s="18">
        <f>1-JN3</f>
        <v>0.75505661115663103</v>
      </c>
      <c r="JP3" s="336" t="s">
        <v>593</v>
      </c>
      <c r="JQ3" s="18">
        <v>0.50102159895769205</v>
      </c>
      <c r="JT3" s="336" t="s">
        <v>593</v>
      </c>
      <c r="JU3" s="18">
        <v>0.65714946064990098</v>
      </c>
      <c r="JW3" s="336" t="s">
        <v>593</v>
      </c>
      <c r="JX3" s="18">
        <v>0.51877938138697299</v>
      </c>
      <c r="JZ3" s="336" t="s">
        <v>593</v>
      </c>
      <c r="KA3" s="18">
        <v>0.399774026575279</v>
      </c>
      <c r="KC3" s="336" t="s">
        <v>593</v>
      </c>
      <c r="KD3" s="18">
        <v>0.61036403522636096</v>
      </c>
      <c r="KE3" s="68" t="s">
        <v>524</v>
      </c>
      <c r="KF3" s="347">
        <v>2.6200000000000001E-2</v>
      </c>
      <c r="KG3" s="347">
        <v>7.4999999999999997E-3</v>
      </c>
      <c r="KH3" s="347">
        <f>AVERAGE(KF3:KG3)</f>
        <v>1.685E-2</v>
      </c>
      <c r="KI3" s="348">
        <v>9.5899999999999999E-2</v>
      </c>
      <c r="KJ3" s="348">
        <v>2.93E-2</v>
      </c>
      <c r="KK3" s="348">
        <f>AVERAGE(KI3:KJ3)</f>
        <v>6.2600000000000003E-2</v>
      </c>
      <c r="KL3" s="347">
        <f>KK3-KH3</f>
        <v>4.5749999999999999E-2</v>
      </c>
      <c r="KM3" s="347">
        <f>KK3/KH3</f>
        <v>3.71513353115727</v>
      </c>
      <c r="KN3" s="354">
        <f t="shared" ref="KN3:KN8" si="10">KM3+3.878</f>
        <v>7.5931335311572701</v>
      </c>
      <c r="KO3" s="18">
        <f>LOG(KN3)</f>
        <v>0.88042103735122701</v>
      </c>
      <c r="KP3" s="18">
        <v>0.88042103735122701</v>
      </c>
      <c r="KQ3" s="340">
        <v>11</v>
      </c>
      <c r="KR3" s="18">
        <v>-3.999999910592E-3</v>
      </c>
      <c r="KS3" s="18">
        <v>-6.6666665176533342E-3</v>
      </c>
      <c r="KT3" s="18">
        <v>2.6666667933273335E-2</v>
      </c>
      <c r="KU3" s="18">
        <v>3.6666665226346672E-2</v>
      </c>
      <c r="KV3" s="18">
        <v>6.9999998435520003E-2</v>
      </c>
      <c r="KW3" s="18">
        <v>-5.7142855865600006E-3</v>
      </c>
      <c r="KX3" s="18">
        <v>-3.3333332588266671E-3</v>
      </c>
      <c r="KY3" s="18">
        <v>7.0000001539646653E-2</v>
      </c>
      <c r="KZ3" s="18">
        <v>0.98666667938233321</v>
      </c>
      <c r="LA3" s="18">
        <v>0.27333332784493997</v>
      </c>
      <c r="LB3" s="18">
        <v>-6.6666665176533342E-3</v>
      </c>
      <c r="LC3" s="358" t="s">
        <v>623</v>
      </c>
      <c r="LD3" s="358">
        <v>11</v>
      </c>
      <c r="LE3" s="358">
        <v>16</v>
      </c>
      <c r="LF3" s="358">
        <v>10.5</v>
      </c>
      <c r="LG3" s="358">
        <v>3</v>
      </c>
      <c r="LH3" s="358">
        <v>10</v>
      </c>
      <c r="LI3" s="358">
        <v>0</v>
      </c>
      <c r="LJ3" s="144">
        <v>0</v>
      </c>
      <c r="LK3" s="158" t="s">
        <v>524</v>
      </c>
      <c r="LL3" s="68">
        <v>0.49480000000000002</v>
      </c>
      <c r="LM3" s="5">
        <v>0.49719999999999998</v>
      </c>
      <c r="LN3" s="5">
        <f>AVERAGE(LL3:LM3)</f>
        <v>0.496</v>
      </c>
      <c r="LO3" s="5">
        <v>0.52359999999999995</v>
      </c>
      <c r="LP3" s="5">
        <v>0.51370000000000005</v>
      </c>
      <c r="LQ3" s="80">
        <f>AVERAGE(LO3:LP3)</f>
        <v>0.51865000000000006</v>
      </c>
      <c r="LR3" s="77">
        <f>LN3-LQ3</f>
        <v>-2.2650000000000059E-2</v>
      </c>
      <c r="LS3" s="68">
        <v>6.7457000000000003</v>
      </c>
      <c r="LT3" s="5">
        <v>6.4036999999999997</v>
      </c>
      <c r="LU3" s="5">
        <f>AVERAGE(LS3:LT3)</f>
        <v>6.5747</v>
      </c>
      <c r="LV3" s="5">
        <v>9.3452000000000002</v>
      </c>
      <c r="LW3" s="5">
        <v>8.1631</v>
      </c>
      <c r="LX3" s="80">
        <f>AVERAGE(LV3:LW3)</f>
        <v>8.7541499999999992</v>
      </c>
      <c r="LY3" s="77">
        <f>LU3-LX3</f>
        <v>-2.1794499999999992</v>
      </c>
      <c r="LZ3" s="68">
        <v>1.0430999999999999</v>
      </c>
      <c r="MA3" s="5">
        <v>1.0210999999999999</v>
      </c>
      <c r="MB3" s="5">
        <f>AVERAGE(LZ3:MA3)</f>
        <v>1.0320999999999998</v>
      </c>
      <c r="MC3" s="5">
        <v>0.9738</v>
      </c>
      <c r="MD3" s="5">
        <v>1.0073000000000001</v>
      </c>
      <c r="ME3" s="80">
        <f>AVERAGE(MC3:MD3)</f>
        <v>0.99055000000000004</v>
      </c>
      <c r="MF3" s="77">
        <f>MB3-ME3</f>
        <v>4.1549999999999754E-2</v>
      </c>
      <c r="MG3" s="68">
        <v>0.2923</v>
      </c>
      <c r="MH3" s="5">
        <v>0.30549999999999999</v>
      </c>
      <c r="MI3" s="5">
        <f>AVERAGE(MG3:MH3)</f>
        <v>0.2989</v>
      </c>
      <c r="MJ3" s="5">
        <v>0.3795</v>
      </c>
      <c r="MK3" s="5">
        <v>0.35210000000000002</v>
      </c>
      <c r="ML3" s="80">
        <f>AVERAGE(MJ3:MK3)</f>
        <v>0.36580000000000001</v>
      </c>
      <c r="MM3" s="77">
        <f>MI3-ML3</f>
        <v>-6.6900000000000015E-2</v>
      </c>
      <c r="MO3" s="5">
        <v>-1.0039172329999999</v>
      </c>
      <c r="MP3" s="5">
        <v>1.4980359560000001</v>
      </c>
      <c r="MQ3" s="5">
        <v>3.0679297399999998</v>
      </c>
      <c r="MR3" s="5">
        <v>2.6242965620000001</v>
      </c>
      <c r="MS3" s="292">
        <v>2.4116468750000002</v>
      </c>
      <c r="MT3" s="18">
        <v>-1.6873948219999999</v>
      </c>
      <c r="MU3" s="18">
        <v>2.3166915370000001</v>
      </c>
      <c r="MV3" s="18">
        <v>1.8977384850000001</v>
      </c>
      <c r="MW3" s="18">
        <v>2.1336499070000001</v>
      </c>
    </row>
    <row r="4" spans="1:361" ht="15.75" customHeight="1" x14ac:dyDescent="0.2">
      <c r="A4" s="3" t="s">
        <v>1</v>
      </c>
      <c r="B4" s="5">
        <v>0</v>
      </c>
      <c r="C4" s="5">
        <v>1</v>
      </c>
      <c r="D4" s="5">
        <v>33</v>
      </c>
      <c r="E4" s="5">
        <v>42</v>
      </c>
      <c r="F4" s="5">
        <v>56</v>
      </c>
      <c r="G4" s="18">
        <v>30</v>
      </c>
      <c r="H4" s="24">
        <v>94</v>
      </c>
      <c r="I4" s="5">
        <v>16</v>
      </c>
      <c r="J4" s="5">
        <v>130</v>
      </c>
      <c r="K4" s="5">
        <v>124</v>
      </c>
      <c r="L4" s="5">
        <v>125</v>
      </c>
      <c r="M4" s="5">
        <v>86</v>
      </c>
      <c r="N4" s="5">
        <v>123</v>
      </c>
      <c r="O4" s="5">
        <v>9.5</v>
      </c>
      <c r="P4" s="5">
        <v>2</v>
      </c>
      <c r="Q4" s="5">
        <v>2</v>
      </c>
      <c r="R4" s="5">
        <v>-1</v>
      </c>
      <c r="S4" s="5">
        <v>8</v>
      </c>
      <c r="T4" s="18">
        <v>8</v>
      </c>
      <c r="U4" s="5">
        <v>1</v>
      </c>
      <c r="V4" s="5">
        <v>5</v>
      </c>
      <c r="W4" s="5">
        <v>4</v>
      </c>
      <c r="X4" s="5">
        <v>-5</v>
      </c>
      <c r="Y4" s="5">
        <v>-2</v>
      </c>
      <c r="Z4" s="92">
        <v>2.0308752631578979E-2</v>
      </c>
      <c r="AA4" s="88">
        <v>11.5</v>
      </c>
      <c r="AB4" s="68"/>
      <c r="AC4" s="5"/>
      <c r="AD4" s="5"/>
      <c r="AE4" s="80"/>
      <c r="AF4" s="179"/>
      <c r="AG4" s="154"/>
      <c r="AH4" s="154"/>
      <c r="AI4" s="154"/>
      <c r="AJ4" s="68"/>
      <c r="AK4" s="5"/>
      <c r="AL4" s="5"/>
      <c r="AM4" s="80"/>
      <c r="AN4" s="127">
        <v>77</v>
      </c>
      <c r="AO4" s="79">
        <v>82</v>
      </c>
      <c r="AP4" s="79">
        <v>81</v>
      </c>
      <c r="AQ4" s="128">
        <v>80</v>
      </c>
      <c r="AR4" s="127">
        <v>78</v>
      </c>
      <c r="AS4" s="79">
        <v>76</v>
      </c>
      <c r="AT4" s="79">
        <v>97</v>
      </c>
      <c r="AU4" s="128">
        <v>84</v>
      </c>
      <c r="AV4" s="179">
        <f t="shared" ref="AV4:AY22" si="11">AR4-AN4</f>
        <v>1</v>
      </c>
      <c r="AW4" s="154">
        <f t="shared" si="0"/>
        <v>-6</v>
      </c>
      <c r="AX4" s="154">
        <f t="shared" si="0"/>
        <v>16</v>
      </c>
      <c r="AY4" s="185">
        <f t="shared" si="0"/>
        <v>4</v>
      </c>
      <c r="AZ4" s="9"/>
      <c r="BA4" s="77"/>
      <c r="BC4" s="77"/>
      <c r="BD4" s="154">
        <v>0.9</v>
      </c>
      <c r="BE4" s="144">
        <v>0.93</v>
      </c>
      <c r="BF4" s="5">
        <v>2</v>
      </c>
      <c r="BG4" s="5">
        <v>2</v>
      </c>
      <c r="BK4" s="18" t="s">
        <v>1</v>
      </c>
      <c r="BL4" s="18">
        <v>3</v>
      </c>
      <c r="BM4" s="18">
        <v>3</v>
      </c>
      <c r="BN4" s="18">
        <v>4</v>
      </c>
      <c r="BO4" s="18">
        <v>11</v>
      </c>
      <c r="BP4" s="18">
        <v>18</v>
      </c>
      <c r="BQ4" s="138" t="s">
        <v>468</v>
      </c>
      <c r="BR4" s="138">
        <v>-3.7291102489853598E-27</v>
      </c>
      <c r="BS4" s="138" t="s">
        <v>469</v>
      </c>
      <c r="BT4" s="138">
        <v>-1.2543391486447901E-27</v>
      </c>
      <c r="BU4" s="138">
        <f t="shared" ref="BU4:BU22" si="12">AVERAGE(BR4,BT4)</f>
        <v>-2.4917246988150751E-27</v>
      </c>
      <c r="BW4" s="18">
        <v>0.2</v>
      </c>
      <c r="BX4" s="18">
        <v>0</v>
      </c>
      <c r="BY4" s="18">
        <f t="shared" ref="BY4:BY22" si="13">BW4-BX4</f>
        <v>0.2</v>
      </c>
      <c r="BZ4" s="3">
        <v>0.40600000000000003</v>
      </c>
      <c r="CA4" s="18">
        <v>0.22666666666666666</v>
      </c>
      <c r="CB4" s="18">
        <v>0.41333333333333327</v>
      </c>
      <c r="CC4" s="18">
        <v>0.37666666666666665</v>
      </c>
      <c r="CD4" s="18">
        <v>0.48333333333333339</v>
      </c>
      <c r="CE4" s="18">
        <v>0.20142857142857146</v>
      </c>
      <c r="CF4" s="18">
        <v>3.8333333333333337E-2</v>
      </c>
      <c r="CG4" s="18">
        <v>0.62</v>
      </c>
      <c r="CH4" s="18">
        <v>0.55000000000000004</v>
      </c>
      <c r="CI4" s="18">
        <v>0.69</v>
      </c>
      <c r="CJ4" s="18">
        <v>0.34</v>
      </c>
      <c r="CK4" s="296" t="s">
        <v>525</v>
      </c>
      <c r="CL4" s="18">
        <v>1.938641179</v>
      </c>
      <c r="CM4" s="18">
        <v>-3.3545457519999999</v>
      </c>
      <c r="CN4" s="18">
        <v>-0.50193669340000002</v>
      </c>
      <c r="CO4" s="18">
        <v>-0.4775746817</v>
      </c>
      <c r="CP4" s="18">
        <v>-0.61372735020000002</v>
      </c>
      <c r="CQ4" s="18">
        <v>-0.94251040259999996</v>
      </c>
      <c r="CR4" s="18">
        <v>-0.40027858490000001</v>
      </c>
      <c r="CS4" s="18">
        <v>-0.28224115220000001</v>
      </c>
      <c r="CT4" s="18">
        <v>-0.4757869656</v>
      </c>
      <c r="CY4" s="18">
        <v>-0.2183285589</v>
      </c>
      <c r="CZ4" s="296" t="s">
        <v>525</v>
      </c>
      <c r="DA4" s="68">
        <v>20.75369152</v>
      </c>
      <c r="DB4" s="5">
        <v>17.75832548</v>
      </c>
      <c r="DC4" s="5">
        <v>19.371486659999999</v>
      </c>
      <c r="DD4" s="80">
        <f t="shared" si="1"/>
        <v>20.062589089999999</v>
      </c>
      <c r="DE4" s="68">
        <v>11.738881040000001</v>
      </c>
      <c r="DF4" s="5">
        <v>16.0000347</v>
      </c>
      <c r="DG4" s="5">
        <v>15.37234582</v>
      </c>
      <c r="DH4" s="80">
        <f t="shared" si="2"/>
        <v>13.555613430000001</v>
      </c>
      <c r="DI4" s="151">
        <f t="shared" si="3"/>
        <v>-9.0148104799999995</v>
      </c>
      <c r="DJ4" s="24">
        <f t="shared" si="3"/>
        <v>-1.7582907799999994</v>
      </c>
      <c r="DK4" s="294">
        <f t="shared" si="3"/>
        <v>-3.999140839999999</v>
      </c>
      <c r="DL4" s="244">
        <f t="shared" si="3"/>
        <v>-6.5069756599999984</v>
      </c>
      <c r="DM4" s="297" t="s">
        <v>525</v>
      </c>
      <c r="DN4" s="68">
        <v>6.1432718570000002</v>
      </c>
      <c r="DO4" s="5">
        <v>5.3621252620000002</v>
      </c>
      <c r="DP4" s="5">
        <v>5.1739891770000002</v>
      </c>
      <c r="DQ4" s="3">
        <f t="shared" si="4"/>
        <v>5.6586305170000006</v>
      </c>
      <c r="DR4" s="68">
        <v>7.8486701649999997</v>
      </c>
      <c r="DS4" s="5">
        <v>8.9043115910000008</v>
      </c>
      <c r="DT4" s="5">
        <v>5.8278123370000001</v>
      </c>
      <c r="DU4" s="3">
        <f t="shared" si="5"/>
        <v>6.8382412509999995</v>
      </c>
      <c r="DV4" s="24">
        <f t="shared" si="6"/>
        <v>1.7053983079999995</v>
      </c>
      <c r="DW4" s="24">
        <f t="shared" si="6"/>
        <v>3.5421863290000006</v>
      </c>
      <c r="DX4" s="24">
        <f t="shared" si="6"/>
        <v>0.65382315999999996</v>
      </c>
      <c r="DY4" s="188">
        <f t="shared" si="6"/>
        <v>1.1796107339999988</v>
      </c>
      <c r="DZ4" s="297" t="s">
        <v>525</v>
      </c>
      <c r="EA4" s="18">
        <v>64.634064850000001</v>
      </c>
      <c r="EB4" s="18">
        <v>46.703520709999999</v>
      </c>
      <c r="EC4" s="18">
        <v>26.04815249</v>
      </c>
      <c r="ED4" s="3">
        <f t="shared" si="7"/>
        <v>45.341108669999997</v>
      </c>
      <c r="EE4" s="18">
        <v>8.3695108220000005</v>
      </c>
      <c r="EF4" s="18">
        <v>16.34055597</v>
      </c>
      <c r="EG4" s="18">
        <v>11.37597933</v>
      </c>
      <c r="EH4" s="3">
        <f t="shared" si="8"/>
        <v>9.8727450760000011</v>
      </c>
      <c r="EI4" s="24">
        <f t="shared" si="9"/>
        <v>-56.264554027999999</v>
      </c>
      <c r="EJ4" s="24">
        <f t="shared" si="9"/>
        <v>-30.362964739999999</v>
      </c>
      <c r="EK4" s="24">
        <f t="shared" si="9"/>
        <v>-14.67217316</v>
      </c>
      <c r="EL4" s="188">
        <f t="shared" si="9"/>
        <v>-35.468363593999996</v>
      </c>
      <c r="EM4" s="297" t="s">
        <v>525</v>
      </c>
      <c r="EN4" s="151" t="s">
        <v>468</v>
      </c>
      <c r="EO4" s="244">
        <v>23.7523116447136</v>
      </c>
      <c r="EP4" s="151" t="s">
        <v>469</v>
      </c>
      <c r="EQ4" s="244">
        <v>41.329914651808799</v>
      </c>
      <c r="ER4" s="244">
        <f t="shared" ref="ER4:ER22" si="14">AVERAGE(EO4,EQ4)</f>
        <v>32.541113148261203</v>
      </c>
      <c r="ES4" s="18">
        <v>6</v>
      </c>
      <c r="ET4" s="18">
        <v>14</v>
      </c>
      <c r="EU4" s="18">
        <v>5</v>
      </c>
      <c r="EV4" s="18">
        <v>-1</v>
      </c>
      <c r="EW4" s="18">
        <v>4</v>
      </c>
      <c r="EX4" s="18">
        <v>1</v>
      </c>
      <c r="EY4" s="18">
        <v>29</v>
      </c>
      <c r="EZ4" s="5">
        <v>-3.3545457519999999</v>
      </c>
      <c r="FA4" s="18">
        <v>-33.589345025527166</v>
      </c>
      <c r="FB4" s="310">
        <v>2</v>
      </c>
      <c r="FC4" s="5">
        <v>42</v>
      </c>
      <c r="FD4" s="18">
        <v>30</v>
      </c>
      <c r="FE4" s="340">
        <v>11.5</v>
      </c>
      <c r="FF4" s="18">
        <v>0.40600000000000003</v>
      </c>
      <c r="FG4" s="18">
        <v>0.22666666666666666</v>
      </c>
      <c r="FH4" s="18">
        <v>0.41333333333333327</v>
      </c>
      <c r="FI4" s="18">
        <v>0.37666666666666665</v>
      </c>
      <c r="FJ4" s="18">
        <v>0.48333333333333339</v>
      </c>
      <c r="FK4" s="18">
        <v>0.20142857142857146</v>
      </c>
      <c r="FL4" s="18">
        <v>3.8333333333333337E-2</v>
      </c>
      <c r="FM4" s="18">
        <v>0.62</v>
      </c>
      <c r="FN4" s="18">
        <v>0.55000000000000004</v>
      </c>
      <c r="FO4" s="18">
        <v>0.69</v>
      </c>
      <c r="FP4" s="18">
        <v>0.34</v>
      </c>
      <c r="FQ4" s="322">
        <v>2</v>
      </c>
      <c r="FR4" s="5">
        <v>1</v>
      </c>
      <c r="FS4" s="5">
        <v>-2</v>
      </c>
      <c r="FT4" s="259">
        <v>0.40600000000000003</v>
      </c>
      <c r="FU4" s="72">
        <v>0.22666666666666666</v>
      </c>
      <c r="FV4" s="260">
        <v>0.41333333333333327</v>
      </c>
      <c r="FW4" s="261">
        <v>0.37666666666666665</v>
      </c>
      <c r="FX4" s="154">
        <v>0.48333333333333339</v>
      </c>
      <c r="FY4" s="262">
        <v>0.20142857142857146</v>
      </c>
      <c r="FZ4" s="263">
        <v>3.8333333333333337E-2</v>
      </c>
      <c r="GA4" s="264">
        <v>0.62</v>
      </c>
      <c r="GB4" s="265">
        <v>0.55000000000000004</v>
      </c>
      <c r="GC4" s="266">
        <v>0.69</v>
      </c>
      <c r="GD4" s="267">
        <v>0.34</v>
      </c>
      <c r="GE4" s="5">
        <v>-3.3545457519999999</v>
      </c>
      <c r="GF4" s="18">
        <v>6</v>
      </c>
      <c r="GG4" s="18">
        <v>14</v>
      </c>
      <c r="GH4" s="18">
        <v>5</v>
      </c>
      <c r="GI4" s="18">
        <v>-1</v>
      </c>
      <c r="GJ4" s="18">
        <v>4</v>
      </c>
      <c r="GK4" s="18">
        <v>1</v>
      </c>
      <c r="GL4" s="18">
        <v>29</v>
      </c>
      <c r="GN4" s="5">
        <v>130</v>
      </c>
      <c r="GO4" s="5">
        <v>124</v>
      </c>
      <c r="GP4" s="5">
        <v>125</v>
      </c>
      <c r="GQ4" s="5">
        <v>86</v>
      </c>
      <c r="GR4" s="5">
        <v>123</v>
      </c>
      <c r="GS4" s="144">
        <v>0.93</v>
      </c>
      <c r="GT4" s="18">
        <v>78.474299999999999</v>
      </c>
      <c r="GU4" s="18">
        <v>60.856499999999997</v>
      </c>
      <c r="GV4" s="3">
        <f t="shared" ref="GV4:GV22" si="15">GT4-GU4</f>
        <v>17.617800000000003</v>
      </c>
      <c r="GW4" s="5">
        <f t="shared" ref="GW4:GW22" si="16">GT4/GU4</f>
        <v>1.2894974242685662</v>
      </c>
      <c r="GX4" s="18">
        <f t="shared" ref="GX4:GX22" si="17">LOG(GW4)</f>
        <v>0.11042047898495608</v>
      </c>
      <c r="GY4" s="18">
        <v>67.063500000000005</v>
      </c>
      <c r="GZ4" s="18">
        <v>59.012</v>
      </c>
      <c r="HA4" s="3">
        <f t="shared" ref="HA4:HA22" si="18">GY4-GZ4</f>
        <v>8.0515000000000043</v>
      </c>
      <c r="HB4" s="18">
        <f t="shared" ref="HB4:HB22" si="19">GY4/GZ4</f>
        <v>1.1364383515217245</v>
      </c>
      <c r="HC4" s="18">
        <v>75.308800000000005</v>
      </c>
      <c r="HD4" s="18">
        <v>62.24</v>
      </c>
      <c r="HE4" s="3">
        <f t="shared" ref="HE4:HE22" si="20">HC4-HD4</f>
        <v>13.068800000000003</v>
      </c>
      <c r="HF4" s="18">
        <f t="shared" ref="HF4:HF17" si="21">HC4/HD4</f>
        <v>1.209974293059126</v>
      </c>
      <c r="HG4" s="18">
        <v>24.652899999999999</v>
      </c>
      <c r="HH4" s="18">
        <v>50.599600000000002</v>
      </c>
      <c r="HI4" s="3">
        <f t="shared" ref="HI4:HI22" si="22">HG4-HH4</f>
        <v>-25.946700000000003</v>
      </c>
      <c r="HJ4" s="18">
        <f t="shared" ref="HJ4:HJ22" si="23">HG4/HH4</f>
        <v>0.48721531395505097</v>
      </c>
      <c r="HK4" s="5">
        <v>91.446799999999996</v>
      </c>
      <c r="HL4" s="5">
        <v>51.344799999999999</v>
      </c>
      <c r="HM4" s="3">
        <f t="shared" ref="HM4:HM22" si="24">HK4-HL4</f>
        <v>40.101999999999997</v>
      </c>
      <c r="HN4" s="5">
        <f>HK4/HL4</f>
        <v>1.7810333276203236</v>
      </c>
      <c r="HO4" s="18">
        <v>54.386499999999998</v>
      </c>
      <c r="HP4" s="18">
        <v>46.563499999999998</v>
      </c>
      <c r="HQ4" s="3">
        <f t="shared" ref="HQ4:HQ22" si="25">HO4-HP4</f>
        <v>7.8230000000000004</v>
      </c>
      <c r="HR4" s="18">
        <f t="shared" ref="HR4:HR22" si="26">HO4/HP4</f>
        <v>1.1680071300482138</v>
      </c>
      <c r="HS4" s="18">
        <v>56.170999999999999</v>
      </c>
      <c r="HT4" s="18">
        <v>47.178699999999999</v>
      </c>
      <c r="HU4" s="3">
        <f t="shared" ref="HU4:HU22" si="27">HS4-HT4</f>
        <v>8.9923000000000002</v>
      </c>
      <c r="HV4" s="18">
        <f t="shared" ref="HV4:HV22" si="28">HS4/HT4</f>
        <v>1.1906008431771118</v>
      </c>
      <c r="HW4" s="18">
        <v>56.983800000000002</v>
      </c>
      <c r="HX4" s="18">
        <v>53.225499999999997</v>
      </c>
      <c r="HY4" s="3">
        <f t="shared" ref="HY4:HY22" si="29">HW4-HX4</f>
        <v>3.7583000000000055</v>
      </c>
      <c r="HZ4" s="18">
        <f t="shared" ref="HZ4:HZ22" si="30">HW4/HX4</f>
        <v>1.0706108913960415</v>
      </c>
      <c r="IA4" s="18">
        <v>45.081099999999999</v>
      </c>
      <c r="IB4" s="18">
        <v>47.296500000000002</v>
      </c>
      <c r="IC4" s="3">
        <f t="shared" ref="IC4:IC22" si="31">IA4-IB4</f>
        <v>-2.2154000000000025</v>
      </c>
      <c r="ID4" s="18">
        <f t="shared" ref="ID4:ID22" si="32">IA4/IB4</f>
        <v>0.95315932468575892</v>
      </c>
      <c r="IE4" s="18">
        <v>41.8005</v>
      </c>
      <c r="IF4" s="18">
        <v>40.956200000000003</v>
      </c>
      <c r="IG4" s="3">
        <f t="shared" ref="IG4:IG22" si="33">IE4-IF4</f>
        <v>0.84429999999999694</v>
      </c>
      <c r="IH4" s="18">
        <f t="shared" ref="IH4:IH22" si="34">IE4/IF4</f>
        <v>1.020614705465839</v>
      </c>
      <c r="II4" s="18">
        <v>58.640300000000003</v>
      </c>
      <c r="IJ4" s="18">
        <v>53.695799999999998</v>
      </c>
      <c r="IK4" s="3">
        <f t="shared" ref="IK4:IK22" si="35">II4-IJ4</f>
        <v>4.944500000000005</v>
      </c>
      <c r="IL4" s="18">
        <f t="shared" ref="IL4:IL22" si="36">II4/IJ4</f>
        <v>1.0920835521586418</v>
      </c>
      <c r="IM4" s="18">
        <v>77.659300000000002</v>
      </c>
      <c r="IN4" s="18">
        <v>67.589299999999994</v>
      </c>
      <c r="IO4" s="3">
        <f t="shared" ref="IO4:IO22" si="37">IM4-IN4</f>
        <v>10.070000000000007</v>
      </c>
      <c r="IP4" s="18">
        <f t="shared" ref="IP4:IP22" si="38">IM4/IN4</f>
        <v>1.1489880794741181</v>
      </c>
      <c r="IQ4" s="18">
        <v>48.4084</v>
      </c>
      <c r="IR4" s="18">
        <v>44.8279</v>
      </c>
      <c r="IS4" s="3">
        <f t="shared" ref="IS4:IS21" si="39">IQ4-IR4</f>
        <v>3.5805000000000007</v>
      </c>
      <c r="IT4" s="18">
        <f t="shared" ref="IT4:IT22" si="40">IQ4/IR4</f>
        <v>1.0798721332027599</v>
      </c>
      <c r="IU4" s="18">
        <v>51.405999999999999</v>
      </c>
      <c r="IV4" s="18">
        <v>47.210299999999997</v>
      </c>
      <c r="IW4" s="3">
        <f t="shared" ref="IW4:IW22" si="41">IU4-IV4</f>
        <v>4.1957000000000022</v>
      </c>
      <c r="IX4" s="18">
        <f t="shared" ref="IX4:IX22" si="42">IU4/IV4</f>
        <v>1.0888725553533869</v>
      </c>
      <c r="IY4" s="18">
        <v>57.267000000000003</v>
      </c>
      <c r="IZ4" s="18">
        <v>54.224200000000003</v>
      </c>
      <c r="JA4" s="3">
        <f t="shared" ref="JA4:JA22" si="43">IY4-IZ4</f>
        <v>3.0427999999999997</v>
      </c>
      <c r="JB4" s="18">
        <f t="shared" ref="JB4:JB22" si="44">IY4/IZ4</f>
        <v>1.0561151662910655</v>
      </c>
      <c r="JC4" s="18">
        <f>LOG(HN4)</f>
        <v>0.25067204628310774</v>
      </c>
      <c r="JD4" s="18">
        <v>32.541113148261203</v>
      </c>
      <c r="JE4" s="18">
        <f t="shared" ref="JE4:JE22" si="45">JD4/100</f>
        <v>0.32541113148261203</v>
      </c>
      <c r="JG4" s="336" t="s">
        <v>594</v>
      </c>
      <c r="JH4" s="18">
        <v>0.35023930109753099</v>
      </c>
      <c r="JJ4" s="336" t="s">
        <v>594</v>
      </c>
      <c r="JK4" s="18">
        <v>0.21050644835506099</v>
      </c>
      <c r="JM4" s="336" t="s">
        <v>594</v>
      </c>
      <c r="JN4" s="18">
        <v>0.27703996309275802</v>
      </c>
      <c r="JO4" s="18">
        <f t="shared" ref="JO4:JO22" si="46">1-JN4</f>
        <v>0.72296003690724198</v>
      </c>
      <c r="JP4" s="336" t="s">
        <v>594</v>
      </c>
      <c r="JQ4" s="18">
        <v>0.45154655626411</v>
      </c>
      <c r="JT4" s="336" t="s">
        <v>594</v>
      </c>
      <c r="JU4" s="18">
        <v>0.31991479442487902</v>
      </c>
      <c r="JW4" s="336" t="s">
        <v>594</v>
      </c>
      <c r="JX4" s="18">
        <v>0.22875973293013299</v>
      </c>
      <c r="JZ4" s="336" t="s">
        <v>594</v>
      </c>
      <c r="KA4" s="18">
        <v>0.29921809698499302</v>
      </c>
      <c r="KC4" s="336" t="s">
        <v>594</v>
      </c>
      <c r="KD4" s="18">
        <v>0.39520924927720302</v>
      </c>
      <c r="KE4" s="68" t="s">
        <v>525</v>
      </c>
      <c r="KF4" s="347">
        <v>9.4999999999999998E-3</v>
      </c>
      <c r="KG4" s="347">
        <v>1.21E-2</v>
      </c>
      <c r="KH4" s="347">
        <f t="shared" ref="KH4:KH22" si="47">AVERAGE(KF4:KG4)</f>
        <v>1.0800000000000001E-2</v>
      </c>
      <c r="KI4" s="348">
        <v>7.7399999999999997E-2</v>
      </c>
      <c r="KJ4" s="348">
        <v>3.1800000000000002E-2</v>
      </c>
      <c r="KK4" s="348">
        <f t="shared" ref="KK4:KK22" si="48">AVERAGE(KI4:KJ4)</f>
        <v>5.4599999999999996E-2</v>
      </c>
      <c r="KL4" s="347">
        <f t="shared" ref="KL4:KL22" si="49">KK4-KH4</f>
        <v>4.3799999999999992E-2</v>
      </c>
      <c r="KM4" s="347">
        <f t="shared" ref="KM4:KM22" si="50">KK4/KH4</f>
        <v>5.0555555555555545</v>
      </c>
      <c r="KN4" s="354">
        <f t="shared" si="10"/>
        <v>8.9335555555555537</v>
      </c>
      <c r="KO4" s="18">
        <f t="shared" ref="KO4:KO22" si="51">LOG(KN4)</f>
        <v>0.9510243425200795</v>
      </c>
      <c r="KP4" s="18">
        <v>0.9510243425200795</v>
      </c>
      <c r="KQ4" s="340">
        <v>11.5</v>
      </c>
      <c r="KR4" s="18">
        <v>0.40600000000000003</v>
      </c>
      <c r="KS4" s="18">
        <v>0.22666666666666666</v>
      </c>
      <c r="KT4" s="18">
        <v>0.41333333333333327</v>
      </c>
      <c r="KU4" s="18">
        <v>0.37666666666666665</v>
      </c>
      <c r="KV4" s="18">
        <v>0.48333333333333339</v>
      </c>
      <c r="KW4" s="18">
        <v>0.20142857142857146</v>
      </c>
      <c r="KX4" s="18">
        <v>3.8333333333333337E-2</v>
      </c>
      <c r="KY4" s="18">
        <v>0.62</v>
      </c>
      <c r="KZ4" s="18">
        <v>0.55000000000000004</v>
      </c>
      <c r="LA4" s="18">
        <v>0.69</v>
      </c>
      <c r="LB4" s="18">
        <v>0.34</v>
      </c>
      <c r="LC4" s="358" t="s">
        <v>624</v>
      </c>
      <c r="LD4" s="358">
        <v>11.5</v>
      </c>
      <c r="LE4" s="358">
        <v>10</v>
      </c>
      <c r="LF4" s="358">
        <v>6.5</v>
      </c>
      <c r="LG4" s="358">
        <v>11.5</v>
      </c>
      <c r="LH4" s="358">
        <v>3.5</v>
      </c>
      <c r="LI4" s="358">
        <v>16</v>
      </c>
      <c r="LJ4" s="144">
        <v>0.93</v>
      </c>
      <c r="LK4" s="158" t="s">
        <v>525</v>
      </c>
      <c r="LL4" s="68">
        <v>0.48349999999999999</v>
      </c>
      <c r="LM4" s="5">
        <v>0.50339999999999996</v>
      </c>
      <c r="LN4" s="5">
        <f t="shared" ref="LN4:LN22" si="52">AVERAGE(LL4:LM4)</f>
        <v>0.49344999999999994</v>
      </c>
      <c r="LO4" s="5">
        <v>0.56499999999999995</v>
      </c>
      <c r="LP4" s="5">
        <v>0.55520000000000003</v>
      </c>
      <c r="LQ4" s="80">
        <f t="shared" ref="LQ4:LQ22" si="53">AVERAGE(LO4:LP4)</f>
        <v>0.56010000000000004</v>
      </c>
      <c r="LR4" s="77">
        <f t="shared" ref="LR4:LR22" si="54">LN4-LQ4</f>
        <v>-6.6650000000000098E-2</v>
      </c>
      <c r="LS4" s="68">
        <v>9.7530000000000001</v>
      </c>
      <c r="LT4" s="5">
        <v>12.755599999999999</v>
      </c>
      <c r="LU4" s="5">
        <f t="shared" ref="LU4:LU22" si="55">AVERAGE(LS4:LT4)</f>
        <v>11.254300000000001</v>
      </c>
      <c r="LV4" s="5">
        <v>22.781099999999999</v>
      </c>
      <c r="LW4" s="5">
        <v>17.895900000000001</v>
      </c>
      <c r="LX4" s="80">
        <f t="shared" ref="LX4:LX22" si="56">AVERAGE(LV4:LW4)</f>
        <v>20.3385</v>
      </c>
      <c r="LY4" s="77">
        <f t="shared" ref="LY4:LY22" si="57">LU4-LX4</f>
        <v>-9.0841999999999992</v>
      </c>
      <c r="LZ4" s="68">
        <v>1.0350999999999999</v>
      </c>
      <c r="MA4" s="5">
        <v>1.0199</v>
      </c>
      <c r="MB4" s="5">
        <f>AVERAGE(LZ4:MA4)</f>
        <v>1.0274999999999999</v>
      </c>
      <c r="MC4" s="5">
        <v>0.90529999999999999</v>
      </c>
      <c r="MD4" s="5">
        <v>0.93259999999999998</v>
      </c>
      <c r="ME4" s="80">
        <f>AVERAGE(MC4:MD4)</f>
        <v>0.91894999999999993</v>
      </c>
      <c r="MF4" s="77">
        <f t="shared" ref="MF4:MF22" si="58">MB4-ME4</f>
        <v>0.10854999999999992</v>
      </c>
      <c r="MG4" s="68">
        <v>0.27800000000000002</v>
      </c>
      <c r="MH4" s="5">
        <v>0.32419999999999999</v>
      </c>
      <c r="MI4" s="5">
        <f>AVERAGE(MG4:MH4)</f>
        <v>0.30110000000000003</v>
      </c>
      <c r="MJ4" s="5">
        <v>0.47739999999999999</v>
      </c>
      <c r="MK4" s="5">
        <v>0.4607</v>
      </c>
      <c r="ML4" s="80">
        <f>AVERAGE(MJ4:MK4)</f>
        <v>0.46904999999999997</v>
      </c>
      <c r="MM4" s="77">
        <f t="shared" ref="MM4:MM22" si="59">MI4-ML4</f>
        <v>-0.16794999999999993</v>
      </c>
      <c r="MO4" s="5">
        <v>-0.81876754659999995</v>
      </c>
      <c r="MP4" s="5">
        <v>1.8509984820000001</v>
      </c>
      <c r="MQ4" s="5">
        <v>3.059275027</v>
      </c>
      <c r="MR4" s="5">
        <v>2.1691885929999999</v>
      </c>
      <c r="MS4" s="292">
        <v>2.2282943770000001</v>
      </c>
      <c r="MT4" s="18">
        <v>-3.3545457519999999</v>
      </c>
      <c r="MU4" s="18">
        <v>3.0048308960000001</v>
      </c>
      <c r="MV4" s="18">
        <v>3.9612370139999999</v>
      </c>
      <c r="MW4" s="18">
        <v>3.4226871060000001</v>
      </c>
    </row>
    <row r="5" spans="1:361" ht="15.75" customHeight="1" x14ac:dyDescent="0.2">
      <c r="A5" s="3" t="s">
        <v>2</v>
      </c>
      <c r="B5" s="5">
        <v>0</v>
      </c>
      <c r="C5" s="5">
        <v>0</v>
      </c>
      <c r="D5" s="5">
        <v>35</v>
      </c>
      <c r="E5" s="5">
        <v>71</v>
      </c>
      <c r="F5" s="5">
        <v>52</v>
      </c>
      <c r="G5" s="18">
        <v>28</v>
      </c>
      <c r="H5" s="24">
        <v>146</v>
      </c>
      <c r="I5" s="5">
        <v>18</v>
      </c>
      <c r="J5" s="5">
        <v>114</v>
      </c>
      <c r="K5" s="5">
        <v>117</v>
      </c>
      <c r="L5" s="5">
        <v>123</v>
      </c>
      <c r="M5" s="5">
        <v>88</v>
      </c>
      <c r="N5" s="5">
        <v>136</v>
      </c>
      <c r="O5" s="5">
        <v>0</v>
      </c>
      <c r="P5" s="5">
        <v>-8</v>
      </c>
      <c r="Q5" s="5">
        <v>5</v>
      </c>
      <c r="R5" s="5">
        <v>-2</v>
      </c>
      <c r="S5" s="5">
        <v>12</v>
      </c>
      <c r="T5" s="18">
        <v>7</v>
      </c>
      <c r="U5" s="5">
        <v>2</v>
      </c>
      <c r="V5" s="5">
        <v>3</v>
      </c>
      <c r="W5" s="5">
        <v>-2</v>
      </c>
      <c r="X5" s="5">
        <v>1</v>
      </c>
      <c r="Y5" s="5">
        <v>8</v>
      </c>
      <c r="Z5" s="92">
        <v>-4.4648047368420998E-2</v>
      </c>
      <c r="AA5" s="88">
        <v>10.5</v>
      </c>
      <c r="AB5" s="68">
        <v>84</v>
      </c>
      <c r="AC5" s="5">
        <v>84</v>
      </c>
      <c r="AD5" s="5">
        <v>88</v>
      </c>
      <c r="AE5" s="80">
        <v>85</v>
      </c>
      <c r="AF5" s="179">
        <v>-6</v>
      </c>
      <c r="AG5" s="154">
        <v>-2</v>
      </c>
      <c r="AH5" s="154">
        <v>13</v>
      </c>
      <c r="AI5" s="154">
        <v>2</v>
      </c>
      <c r="AJ5" s="68">
        <v>78</v>
      </c>
      <c r="AK5" s="5">
        <v>82</v>
      </c>
      <c r="AL5" s="5">
        <v>101</v>
      </c>
      <c r="AM5" s="80">
        <v>87</v>
      </c>
      <c r="AN5" s="68">
        <v>84</v>
      </c>
      <c r="AO5" s="5">
        <v>84</v>
      </c>
      <c r="AP5" s="5">
        <v>88</v>
      </c>
      <c r="AQ5" s="80">
        <v>85</v>
      </c>
      <c r="AR5" s="68">
        <v>78</v>
      </c>
      <c r="AS5" s="5">
        <v>82</v>
      </c>
      <c r="AT5" s="5">
        <v>101</v>
      </c>
      <c r="AU5" s="80">
        <v>87</v>
      </c>
      <c r="AV5" s="179">
        <f t="shared" si="11"/>
        <v>-6</v>
      </c>
      <c r="AW5" s="154">
        <f t="shared" si="0"/>
        <v>-2</v>
      </c>
      <c r="AX5" s="154">
        <f t="shared" si="0"/>
        <v>13</v>
      </c>
      <c r="AY5" s="185">
        <f t="shared" si="0"/>
        <v>2</v>
      </c>
      <c r="AZ5" s="9">
        <v>1.0476190476190477</v>
      </c>
      <c r="BA5" s="77">
        <v>-0.24725274725274726</v>
      </c>
      <c r="BB5" s="18">
        <v>1</v>
      </c>
      <c r="BC5" s="77">
        <v>-5.1282051282051322E-2</v>
      </c>
      <c r="BD5" s="154">
        <v>0.28999999999999998</v>
      </c>
      <c r="BE5" s="144">
        <v>0.05</v>
      </c>
      <c r="BF5" s="5">
        <v>5</v>
      </c>
      <c r="BG5" s="5">
        <v>-8</v>
      </c>
      <c r="BK5" s="18" t="s">
        <v>2</v>
      </c>
      <c r="BL5" s="18">
        <v>1</v>
      </c>
      <c r="BM5" s="18">
        <v>-6</v>
      </c>
      <c r="BN5" s="18">
        <v>1</v>
      </c>
      <c r="BO5" s="18">
        <v>2</v>
      </c>
      <c r="BP5" s="18">
        <v>-3</v>
      </c>
      <c r="BQ5" s="138" t="s">
        <v>470</v>
      </c>
      <c r="BR5" s="138">
        <v>-6.1412823500982302E-27</v>
      </c>
      <c r="BS5" s="138" t="s">
        <v>471</v>
      </c>
      <c r="BT5" s="138">
        <v>-3.4822260312127097E-27</v>
      </c>
      <c r="BU5" s="138">
        <f t="shared" si="12"/>
        <v>-4.8117541906554696E-27</v>
      </c>
      <c r="BW5" s="18">
        <v>0.17</v>
      </c>
      <c r="BX5" s="18">
        <v>0</v>
      </c>
      <c r="BY5" s="18">
        <f t="shared" si="13"/>
        <v>0.17</v>
      </c>
      <c r="BZ5" s="3">
        <v>0.04</v>
      </c>
      <c r="CA5" s="18">
        <v>0.20000000000000004</v>
      </c>
      <c r="CB5" s="18">
        <v>0.14666666666666667</v>
      </c>
      <c r="CC5" s="18">
        <v>0.28666666666666668</v>
      </c>
      <c r="CD5" s="18">
        <v>3.3333333333333335E-3</v>
      </c>
      <c r="CE5" s="18">
        <v>0.19285714285714287</v>
      </c>
      <c r="CF5" s="18">
        <v>6.6666666666666666E-2</v>
      </c>
      <c r="CG5" s="18">
        <v>0.06</v>
      </c>
      <c r="CH5" s="18">
        <v>0.21</v>
      </c>
      <c r="CI5" s="18">
        <v>0.20666666666666667</v>
      </c>
      <c r="CJ5" s="18">
        <v>0.20333333333333334</v>
      </c>
      <c r="CK5" s="285" t="s">
        <v>526</v>
      </c>
      <c r="CL5" s="18">
        <v>0.4313899839</v>
      </c>
      <c r="CM5" s="18">
        <v>-1.120985176</v>
      </c>
      <c r="CN5" s="18">
        <v>-4.5924071019999999E-2</v>
      </c>
      <c r="CO5" s="18">
        <v>-0.2444994929</v>
      </c>
      <c r="CP5" s="18">
        <v>-0.1093722201</v>
      </c>
      <c r="CQ5" s="18">
        <v>-0.50504371520000002</v>
      </c>
      <c r="CR5" s="18">
        <v>-0.30585200699999998</v>
      </c>
      <c r="CS5" s="18">
        <v>2.7928874409999999E-2</v>
      </c>
      <c r="CT5" s="18">
        <v>-0.963833732</v>
      </c>
      <c r="CY5" s="18">
        <v>-0.31912339880000001</v>
      </c>
      <c r="CZ5" s="285" t="s">
        <v>526</v>
      </c>
      <c r="DA5" s="68">
        <v>12.331647090000001</v>
      </c>
      <c r="DB5" s="5">
        <v>16.485987959999999</v>
      </c>
      <c r="DC5" s="5">
        <v>15.418580220000001</v>
      </c>
      <c r="DD5" s="80">
        <f t="shared" si="1"/>
        <v>13.875113655</v>
      </c>
      <c r="DE5" s="68">
        <v>12.07559809</v>
      </c>
      <c r="DF5" s="5">
        <v>9.6643293490000008</v>
      </c>
      <c r="DG5" s="5">
        <v>9.5368939820000005</v>
      </c>
      <c r="DH5" s="80">
        <f t="shared" si="2"/>
        <v>10.806246036000001</v>
      </c>
      <c r="DI5" s="151">
        <f t="shared" si="3"/>
        <v>-0.25604900000000086</v>
      </c>
      <c r="DJ5" s="298">
        <f t="shared" si="3"/>
        <v>-6.8216586109999984</v>
      </c>
      <c r="DK5" s="294">
        <f t="shared" si="3"/>
        <v>-5.8816862380000003</v>
      </c>
      <c r="DL5" s="244">
        <f t="shared" si="3"/>
        <v>-3.0688676189999988</v>
      </c>
      <c r="DM5" s="295" t="s">
        <v>526</v>
      </c>
      <c r="DN5" s="68">
        <v>3.1394762360000001</v>
      </c>
      <c r="DO5" s="5">
        <v>3.988665433</v>
      </c>
      <c r="DP5" s="5">
        <v>2.278184392</v>
      </c>
      <c r="DQ5" s="3">
        <f t="shared" si="4"/>
        <v>2.7088303140000001</v>
      </c>
      <c r="DR5" s="68">
        <v>3.0736597909999999</v>
      </c>
      <c r="DS5" s="5">
        <v>2.8060170000000002</v>
      </c>
      <c r="DT5" s="5">
        <v>2.7645080370000001</v>
      </c>
      <c r="DU5" s="3">
        <f t="shared" si="5"/>
        <v>2.9190839139999998</v>
      </c>
      <c r="DV5" s="24">
        <f t="shared" si="6"/>
        <v>-6.5816445000000279E-2</v>
      </c>
      <c r="DW5" s="298">
        <f t="shared" si="6"/>
        <v>-1.1826484329999998</v>
      </c>
      <c r="DX5" s="24">
        <f t="shared" si="6"/>
        <v>0.48632364500000014</v>
      </c>
      <c r="DY5" s="188">
        <f t="shared" si="6"/>
        <v>0.21025359999999971</v>
      </c>
      <c r="DZ5" s="295" t="s">
        <v>526</v>
      </c>
      <c r="EA5" s="18">
        <v>6.8701599609999997</v>
      </c>
      <c r="EB5" s="18">
        <v>9.3276164819999998</v>
      </c>
      <c r="EC5" s="18">
        <v>8.9684953200000006</v>
      </c>
      <c r="ED5" s="3">
        <f t="shared" si="7"/>
        <v>7.9193276405000006</v>
      </c>
      <c r="EE5" s="18">
        <v>3.9544541400000002</v>
      </c>
      <c r="EF5" s="18">
        <v>3.4706129030000001</v>
      </c>
      <c r="EG5" s="18">
        <v>4.2902614579999998</v>
      </c>
      <c r="EH5" s="3">
        <f t="shared" si="8"/>
        <v>4.1223577989999995</v>
      </c>
      <c r="EI5" s="24">
        <f t="shared" si="9"/>
        <v>-2.9157058209999995</v>
      </c>
      <c r="EJ5" s="298">
        <f t="shared" si="9"/>
        <v>-5.8570035789999997</v>
      </c>
      <c r="EK5" s="24">
        <f t="shared" si="9"/>
        <v>-4.6782338620000008</v>
      </c>
      <c r="EL5" s="188">
        <f t="shared" si="9"/>
        <v>-3.7969698415000011</v>
      </c>
      <c r="EM5" s="295" t="s">
        <v>526</v>
      </c>
      <c r="EN5" s="151" t="s">
        <v>470</v>
      </c>
      <c r="EO5" s="244">
        <v>41.131008326019803</v>
      </c>
      <c r="EP5" s="151" t="s">
        <v>471</v>
      </c>
      <c r="EQ5" s="244">
        <v>57.688898765607199</v>
      </c>
      <c r="ER5" s="244">
        <f t="shared" si="14"/>
        <v>49.409953545813501</v>
      </c>
      <c r="ES5" s="18">
        <v>3</v>
      </c>
      <c r="ET5" s="18">
        <v>8</v>
      </c>
      <c r="EU5" s="18">
        <v>15</v>
      </c>
      <c r="EV5" s="18">
        <v>0</v>
      </c>
      <c r="EW5" s="18">
        <v>6</v>
      </c>
      <c r="EX5" s="18">
        <v>5</v>
      </c>
      <c r="EY5" s="18">
        <v>37</v>
      </c>
      <c r="EZ5" s="5">
        <v>-1.120985176</v>
      </c>
      <c r="FA5" s="18">
        <v>-3.9522998032431778</v>
      </c>
      <c r="FB5" s="310">
        <v>3</v>
      </c>
      <c r="FC5" s="5">
        <v>71</v>
      </c>
      <c r="FD5" s="18">
        <v>28</v>
      </c>
      <c r="FE5" s="340">
        <v>10.5</v>
      </c>
      <c r="FF5" s="18">
        <v>0.04</v>
      </c>
      <c r="FG5" s="18">
        <v>0.20000000000000004</v>
      </c>
      <c r="FH5" s="18">
        <v>0.14666666666666667</v>
      </c>
      <c r="FI5" s="18">
        <v>0.28666666666666668</v>
      </c>
      <c r="FJ5" s="18">
        <v>3.3333333333333335E-3</v>
      </c>
      <c r="FK5" s="18">
        <v>0.19285714285714287</v>
      </c>
      <c r="FL5" s="18">
        <v>6.6666666666666666E-2</v>
      </c>
      <c r="FM5" s="18">
        <v>0.06</v>
      </c>
      <c r="FN5" s="18">
        <v>0.21</v>
      </c>
      <c r="FO5" s="18">
        <v>0.20666666666666667</v>
      </c>
      <c r="FP5" s="18">
        <v>0.20333333333333334</v>
      </c>
      <c r="FQ5" s="322">
        <v>5</v>
      </c>
      <c r="FR5" s="5">
        <v>2</v>
      </c>
      <c r="FS5" s="5">
        <v>8</v>
      </c>
      <c r="FT5" s="259">
        <v>0.04</v>
      </c>
      <c r="FU5" s="72">
        <v>0.20000000000000004</v>
      </c>
      <c r="FV5" s="260">
        <v>0.14666666666666667</v>
      </c>
      <c r="FW5" s="261">
        <v>0.28666666666666668</v>
      </c>
      <c r="FX5" s="154">
        <v>3.3333333333333335E-3</v>
      </c>
      <c r="FY5" s="262">
        <v>0.19285714285714287</v>
      </c>
      <c r="FZ5" s="263">
        <v>6.6666666666666666E-2</v>
      </c>
      <c r="GA5" s="264">
        <v>0.06</v>
      </c>
      <c r="GB5" s="265">
        <v>0.21</v>
      </c>
      <c r="GC5" s="266">
        <v>0.20666666666666667</v>
      </c>
      <c r="GD5" s="267">
        <v>0.20333333333333334</v>
      </c>
      <c r="GE5" s="5">
        <v>-1.120985176</v>
      </c>
      <c r="GF5" s="18">
        <v>3</v>
      </c>
      <c r="GG5" s="18">
        <v>8</v>
      </c>
      <c r="GH5" s="18">
        <v>15</v>
      </c>
      <c r="GI5" s="18">
        <v>0</v>
      </c>
      <c r="GJ5" s="18">
        <v>6</v>
      </c>
      <c r="GK5" s="18">
        <v>5</v>
      </c>
      <c r="GL5" s="18">
        <v>37</v>
      </c>
      <c r="GN5" s="5">
        <v>114</v>
      </c>
      <c r="GO5" s="5">
        <v>117</v>
      </c>
      <c r="GP5" s="5">
        <v>123</v>
      </c>
      <c r="GQ5" s="5">
        <v>88</v>
      </c>
      <c r="GR5" s="5">
        <v>136</v>
      </c>
      <c r="GS5" s="144">
        <v>0.05</v>
      </c>
      <c r="GT5" s="18">
        <v>80.493300000000005</v>
      </c>
      <c r="GU5" s="18">
        <v>82.859300000000005</v>
      </c>
      <c r="GV5" s="3">
        <f t="shared" si="15"/>
        <v>-2.3659999999999997</v>
      </c>
      <c r="GW5" s="5">
        <f t="shared" si="16"/>
        <v>0.97144557098599671</v>
      </c>
      <c r="GX5" s="18">
        <f t="shared" si="17"/>
        <v>-1.2581527418945236E-2</v>
      </c>
      <c r="GY5" s="18">
        <v>78.77</v>
      </c>
      <c r="GZ5" s="18">
        <v>75.385499999999993</v>
      </c>
      <c r="HA5" s="3">
        <f t="shared" si="18"/>
        <v>3.3845000000000027</v>
      </c>
      <c r="HB5" s="18">
        <f t="shared" si="19"/>
        <v>1.0448959017317654</v>
      </c>
      <c r="HC5" s="18">
        <v>92.593000000000004</v>
      </c>
      <c r="HD5" s="18">
        <v>89.364999999999995</v>
      </c>
      <c r="HE5" s="3">
        <f t="shared" si="20"/>
        <v>3.2280000000000086</v>
      </c>
      <c r="HF5" s="18">
        <f t="shared" si="21"/>
        <v>1.0361215240866113</v>
      </c>
      <c r="HG5" s="18">
        <v>15.9682</v>
      </c>
      <c r="HH5" s="18">
        <v>46.6982</v>
      </c>
      <c r="HI5" s="3">
        <f t="shared" si="22"/>
        <v>-30.73</v>
      </c>
      <c r="HJ5" s="18">
        <f t="shared" si="23"/>
        <v>0.34194465739578828</v>
      </c>
      <c r="HK5" s="5">
        <v>103.782</v>
      </c>
      <c r="HL5" s="5">
        <v>101.248</v>
      </c>
      <c r="HM5" s="3">
        <f t="shared" si="24"/>
        <v>2.5339999999999918</v>
      </c>
      <c r="HN5" s="5">
        <f t="shared" ref="HN5:HN22" si="60">HK5/HL5</f>
        <v>1.0250276548672566</v>
      </c>
      <c r="HO5" s="18">
        <v>57.504199999999997</v>
      </c>
      <c r="HP5" s="18">
        <v>56.045999999999999</v>
      </c>
      <c r="HQ5" s="3">
        <f t="shared" si="25"/>
        <v>1.4581999999999979</v>
      </c>
      <c r="HR5" s="18">
        <f t="shared" si="26"/>
        <v>1.0260179138564749</v>
      </c>
      <c r="HS5" s="18">
        <v>53.476799999999997</v>
      </c>
      <c r="HT5" s="18">
        <v>58.277700000000003</v>
      </c>
      <c r="HU5" s="3">
        <f t="shared" si="27"/>
        <v>-4.8009000000000057</v>
      </c>
      <c r="HV5" s="18">
        <f t="shared" si="28"/>
        <v>0.91762029043699378</v>
      </c>
      <c r="HW5" s="18">
        <v>53.406199999999998</v>
      </c>
      <c r="HX5" s="18">
        <v>54.891199999999998</v>
      </c>
      <c r="HY5" s="3">
        <f t="shared" si="29"/>
        <v>-1.4849999999999994</v>
      </c>
      <c r="HZ5" s="18">
        <f t="shared" si="30"/>
        <v>0.97294648322499777</v>
      </c>
      <c r="IA5" s="18">
        <v>41.305300000000003</v>
      </c>
      <c r="IB5" s="18">
        <v>45.548299999999998</v>
      </c>
      <c r="IC5" s="3">
        <f t="shared" si="31"/>
        <v>-4.242999999999995</v>
      </c>
      <c r="ID5" s="18">
        <f t="shared" si="32"/>
        <v>0.9068461391533823</v>
      </c>
      <c r="IE5" s="18">
        <v>33.941000000000003</v>
      </c>
      <c r="IF5" s="18">
        <v>38.0212</v>
      </c>
      <c r="IG5" s="3">
        <f t="shared" si="33"/>
        <v>-4.0801999999999978</v>
      </c>
      <c r="IH5" s="18">
        <f t="shared" si="34"/>
        <v>0.89268618560171697</v>
      </c>
      <c r="II5" s="18">
        <v>55.444200000000002</v>
      </c>
      <c r="IJ5" s="18">
        <v>61.353999999999999</v>
      </c>
      <c r="IK5" s="3">
        <f t="shared" si="35"/>
        <v>-5.9097999999999971</v>
      </c>
      <c r="IL5" s="18">
        <f t="shared" si="36"/>
        <v>0.90367702187306453</v>
      </c>
      <c r="IM5" s="18">
        <v>69.803200000000004</v>
      </c>
      <c r="IN5" s="18">
        <v>79.324700000000007</v>
      </c>
      <c r="IO5" s="3">
        <f t="shared" si="37"/>
        <v>-9.5215000000000032</v>
      </c>
      <c r="IP5" s="18">
        <f t="shared" si="38"/>
        <v>0.87996803013437175</v>
      </c>
      <c r="IQ5" s="18">
        <v>55.383499999999998</v>
      </c>
      <c r="IR5" s="18">
        <v>51.468000000000004</v>
      </c>
      <c r="IS5" s="3">
        <f t="shared" si="39"/>
        <v>3.9154999999999944</v>
      </c>
      <c r="IT5" s="18">
        <f t="shared" si="40"/>
        <v>1.0760763969845339</v>
      </c>
      <c r="IU5" s="18">
        <v>44.348799999999997</v>
      </c>
      <c r="IV5" s="18">
        <v>48.6419</v>
      </c>
      <c r="IW5" s="3">
        <f t="shared" si="41"/>
        <v>-4.2931000000000026</v>
      </c>
      <c r="IX5" s="18">
        <f t="shared" si="42"/>
        <v>0.91174070091834403</v>
      </c>
      <c r="IY5" s="18">
        <v>50.819499999999998</v>
      </c>
      <c r="IZ5" s="18">
        <v>53.173200000000001</v>
      </c>
      <c r="JA5" s="3">
        <f t="shared" si="43"/>
        <v>-2.3537000000000035</v>
      </c>
      <c r="JB5" s="18">
        <f t="shared" si="44"/>
        <v>0.95573521999804412</v>
      </c>
      <c r="JC5" s="18">
        <f>LOG(HN5)</f>
        <v>1.0735582654434904E-2</v>
      </c>
      <c r="JD5" s="18">
        <v>49.409953545813501</v>
      </c>
      <c r="JE5" s="18">
        <f t="shared" si="45"/>
        <v>0.49409953545813501</v>
      </c>
      <c r="JG5" s="336" t="s">
        <v>595</v>
      </c>
      <c r="JH5" s="18">
        <v>0.30598678604027801</v>
      </c>
      <c r="JJ5" s="336" t="s">
        <v>595</v>
      </c>
      <c r="JK5" s="18">
        <v>0.17090127051229301</v>
      </c>
      <c r="JM5" s="336" t="s">
        <v>595</v>
      </c>
      <c r="JN5" s="18">
        <v>0.53251837055237905</v>
      </c>
      <c r="JO5" s="18">
        <f t="shared" si="46"/>
        <v>0.46748162944762095</v>
      </c>
      <c r="JP5" s="336" t="s">
        <v>595</v>
      </c>
      <c r="JQ5" s="18">
        <v>0.75813573213036201</v>
      </c>
      <c r="JT5" s="336" t="s">
        <v>595</v>
      </c>
      <c r="JU5" s="18">
        <v>0.41503475067220302</v>
      </c>
      <c r="JW5" s="336" t="s">
        <v>595</v>
      </c>
      <c r="JX5" s="18">
        <v>0.222683988322979</v>
      </c>
      <c r="JZ5" s="336" t="s">
        <v>595</v>
      </c>
      <c r="KA5" s="18">
        <v>0.48548326092278998</v>
      </c>
      <c r="KC5" s="336" t="s">
        <v>595</v>
      </c>
      <c r="KD5" s="18">
        <v>0.62109353778671705</v>
      </c>
      <c r="KE5" s="68" t="s">
        <v>526</v>
      </c>
      <c r="KF5" s="347">
        <v>1.2E-2</v>
      </c>
      <c r="KG5" s="347">
        <v>4.02E-2</v>
      </c>
      <c r="KH5" s="347">
        <f t="shared" si="47"/>
        <v>2.6099999999999998E-2</v>
      </c>
      <c r="KI5" s="348">
        <v>6.8599999999999994E-2</v>
      </c>
      <c r="KJ5" s="348">
        <v>5.3100000000000001E-2</v>
      </c>
      <c r="KK5" s="348">
        <f t="shared" si="48"/>
        <v>6.0850000000000001E-2</v>
      </c>
      <c r="KL5" s="347">
        <f t="shared" si="49"/>
        <v>3.4750000000000003E-2</v>
      </c>
      <c r="KM5" s="347">
        <f t="shared" si="50"/>
        <v>2.3314176245210732</v>
      </c>
      <c r="KN5" s="354">
        <f t="shared" si="10"/>
        <v>6.2094176245210733</v>
      </c>
      <c r="KO5" s="18">
        <f t="shared" si="51"/>
        <v>0.7930508700127793</v>
      </c>
      <c r="KP5" s="18">
        <v>0.7930508700127793</v>
      </c>
      <c r="KQ5" s="340">
        <v>10.5</v>
      </c>
      <c r="KR5" s="18">
        <v>0.04</v>
      </c>
      <c r="KS5" s="18">
        <v>0.20000000000000004</v>
      </c>
      <c r="KT5" s="18">
        <v>0.14666666666666667</v>
      </c>
      <c r="KU5" s="18">
        <v>0.28666666666666668</v>
      </c>
      <c r="KV5" s="18">
        <v>3.3333333333333335E-3</v>
      </c>
      <c r="KW5" s="18">
        <v>0.19285714285714287</v>
      </c>
      <c r="KX5" s="18">
        <v>6.6666666666666666E-2</v>
      </c>
      <c r="KY5" s="18">
        <v>0.06</v>
      </c>
      <c r="KZ5" s="18">
        <v>0.21</v>
      </c>
      <c r="LA5" s="18">
        <v>0.20666666666666667</v>
      </c>
      <c r="LB5" s="18">
        <v>0.20333333333333334</v>
      </c>
      <c r="LC5" s="358" t="s">
        <v>625</v>
      </c>
      <c r="LD5" s="358">
        <v>10.5</v>
      </c>
      <c r="LE5" s="358">
        <v>4.5</v>
      </c>
      <c r="LF5" s="358">
        <v>0.5</v>
      </c>
      <c r="LG5" s="358">
        <v>3</v>
      </c>
      <c r="LH5" s="358">
        <v>1.5</v>
      </c>
      <c r="LI5" s="358">
        <v>0</v>
      </c>
      <c r="LJ5" s="144">
        <v>0.05</v>
      </c>
      <c r="LK5" s="158" t="s">
        <v>526</v>
      </c>
      <c r="LL5" s="68">
        <v>0.49719999999999998</v>
      </c>
      <c r="LM5" s="5">
        <v>0.49919999999999998</v>
      </c>
      <c r="LN5" s="5">
        <f t="shared" si="52"/>
        <v>0.49819999999999998</v>
      </c>
      <c r="LO5" s="5">
        <v>0.55110000000000003</v>
      </c>
      <c r="LP5" s="5">
        <v>0.55679999999999996</v>
      </c>
      <c r="LQ5" s="80">
        <f t="shared" si="53"/>
        <v>0.55394999999999994</v>
      </c>
      <c r="LR5" s="77">
        <f t="shared" si="54"/>
        <v>-5.5749999999999966E-2</v>
      </c>
      <c r="LS5" s="68">
        <v>8.6199999999999992</v>
      </c>
      <c r="LT5" s="5">
        <v>8.1204999999999998</v>
      </c>
      <c r="LU5" s="5">
        <f t="shared" si="55"/>
        <v>8.3702499999999986</v>
      </c>
      <c r="LV5" s="5">
        <v>13.129200000000001</v>
      </c>
      <c r="LW5" s="5">
        <v>15.973699999999999</v>
      </c>
      <c r="LX5" s="80">
        <f t="shared" si="56"/>
        <v>14.551449999999999</v>
      </c>
      <c r="LY5" s="77">
        <f t="shared" si="57"/>
        <v>-6.1812000000000005</v>
      </c>
      <c r="LZ5" s="68">
        <v>1.0447</v>
      </c>
      <c r="MA5" s="5">
        <v>1.0327999999999999</v>
      </c>
      <c r="MB5" s="5">
        <f>AVERAGE(LZ5:MA5)</f>
        <v>1.0387499999999998</v>
      </c>
      <c r="MC5" s="5">
        <v>0.93689999999999996</v>
      </c>
      <c r="MD5" s="5">
        <v>0.95589999999999997</v>
      </c>
      <c r="ME5" s="80">
        <f>AVERAGE(MC5:MD5)</f>
        <v>0.94639999999999991</v>
      </c>
      <c r="MF5" s="77">
        <f t="shared" si="58"/>
        <v>9.2349999999999932E-2</v>
      </c>
      <c r="MG5" s="68">
        <v>0.31280000000000002</v>
      </c>
      <c r="MH5" s="5">
        <v>0.33739999999999998</v>
      </c>
      <c r="MI5" s="5">
        <f>AVERAGE(MG5:MH5)</f>
        <v>0.3251</v>
      </c>
      <c r="MJ5" s="5">
        <v>0.45750000000000002</v>
      </c>
      <c r="MK5" s="5">
        <v>0.44779999999999998</v>
      </c>
      <c r="ML5" s="80">
        <f>AVERAGE(MJ5:MK5)</f>
        <v>0.45265</v>
      </c>
      <c r="MM5" s="77">
        <f t="shared" si="59"/>
        <v>-0.12755</v>
      </c>
      <c r="MO5" s="5">
        <v>1.1231995029999999</v>
      </c>
      <c r="MP5" s="5">
        <v>-0.40562030789999998</v>
      </c>
      <c r="MQ5" s="5">
        <v>2.0164743449999998</v>
      </c>
      <c r="MR5" s="5">
        <v>1.0337722309999999</v>
      </c>
      <c r="MS5" s="292">
        <v>0.82678924620000005</v>
      </c>
      <c r="MT5" s="18">
        <v>-1.120985176</v>
      </c>
      <c r="MU5" s="18">
        <v>0.6211032984</v>
      </c>
      <c r="MV5" s="18">
        <v>1.0822198940000001</v>
      </c>
      <c r="MW5" s="18">
        <v>0.82256628529999998</v>
      </c>
    </row>
    <row r="6" spans="1:361" ht="15.75" customHeight="1" x14ac:dyDescent="0.2">
      <c r="A6" s="3" t="s">
        <v>3</v>
      </c>
      <c r="B6" s="79"/>
      <c r="C6" s="5">
        <v>7</v>
      </c>
      <c r="D6" s="5">
        <v>35</v>
      </c>
      <c r="E6" s="5">
        <v>79</v>
      </c>
      <c r="F6" s="5">
        <v>56</v>
      </c>
      <c r="G6" s="18">
        <v>39</v>
      </c>
      <c r="H6" s="24">
        <v>112</v>
      </c>
      <c r="I6" s="5">
        <v>23</v>
      </c>
      <c r="J6" s="5">
        <v>144</v>
      </c>
      <c r="K6" s="5">
        <v>81</v>
      </c>
      <c r="L6" s="5">
        <v>148</v>
      </c>
      <c r="M6" s="5">
        <v>84</v>
      </c>
      <c r="N6" s="5">
        <v>147</v>
      </c>
      <c r="O6" s="5">
        <v>1</v>
      </c>
      <c r="P6" s="5">
        <v>-13</v>
      </c>
      <c r="Q6" s="5">
        <v>-4</v>
      </c>
      <c r="R6" s="5">
        <v>-14</v>
      </c>
      <c r="S6" s="5">
        <v>12</v>
      </c>
      <c r="T6" s="18">
        <v>7</v>
      </c>
      <c r="U6" s="5">
        <v>14</v>
      </c>
      <c r="V6" s="5">
        <v>-5</v>
      </c>
      <c r="W6" s="5">
        <v>-1</v>
      </c>
      <c r="X6" s="5">
        <v>-2</v>
      </c>
      <c r="Y6" s="5">
        <v>13</v>
      </c>
      <c r="Z6" s="92">
        <v>-4.9376097368420996E-2</v>
      </c>
      <c r="AA6" s="88">
        <v>13</v>
      </c>
      <c r="AB6" s="68">
        <v>88</v>
      </c>
      <c r="AC6" s="5">
        <v>80</v>
      </c>
      <c r="AD6" s="5">
        <v>108</v>
      </c>
      <c r="AE6" s="80">
        <v>92</v>
      </c>
      <c r="AF6" s="179">
        <v>23</v>
      </c>
      <c r="AG6" s="154">
        <v>18</v>
      </c>
      <c r="AH6" s="154">
        <v>20</v>
      </c>
      <c r="AI6" s="154">
        <v>20</v>
      </c>
      <c r="AJ6" s="68">
        <v>111</v>
      </c>
      <c r="AK6" s="5">
        <v>98</v>
      </c>
      <c r="AL6" s="5">
        <v>128</v>
      </c>
      <c r="AM6" s="80">
        <v>112</v>
      </c>
      <c r="AN6" s="68">
        <v>88</v>
      </c>
      <c r="AO6" s="5">
        <v>80</v>
      </c>
      <c r="AP6" s="5">
        <v>108</v>
      </c>
      <c r="AQ6" s="80">
        <v>92</v>
      </c>
      <c r="AR6" s="68">
        <v>111</v>
      </c>
      <c r="AS6" s="5">
        <v>98</v>
      </c>
      <c r="AT6" s="5">
        <v>128</v>
      </c>
      <c r="AU6" s="80">
        <v>112</v>
      </c>
      <c r="AV6" s="179">
        <f t="shared" si="11"/>
        <v>23</v>
      </c>
      <c r="AW6" s="154">
        <f t="shared" si="0"/>
        <v>18</v>
      </c>
      <c r="AX6" s="154">
        <f t="shared" si="0"/>
        <v>20</v>
      </c>
      <c r="AY6" s="185">
        <f t="shared" si="0"/>
        <v>20</v>
      </c>
      <c r="AZ6" s="9">
        <v>1.2272727272727273</v>
      </c>
      <c r="BA6" s="77">
        <v>7.411957411957415E-2</v>
      </c>
      <c r="BB6" s="18">
        <v>0.90909090909090906</v>
      </c>
      <c r="BC6" s="77">
        <v>2.6208026208026203E-2</v>
      </c>
      <c r="BD6" s="154">
        <v>1</v>
      </c>
      <c r="BE6" s="144">
        <v>7.0000000298000006E-2</v>
      </c>
      <c r="BF6" s="5">
        <v>-4</v>
      </c>
      <c r="BG6" s="5">
        <v>-13</v>
      </c>
      <c r="BK6" s="18" t="s">
        <v>3</v>
      </c>
      <c r="BL6" s="18">
        <v>-2</v>
      </c>
      <c r="BM6" s="221">
        <v>-11</v>
      </c>
      <c r="BN6" s="21">
        <v>-10</v>
      </c>
      <c r="BO6" s="18">
        <v>-12</v>
      </c>
      <c r="BP6" s="18">
        <v>-33</v>
      </c>
      <c r="BQ6" s="138" t="s">
        <v>472</v>
      </c>
      <c r="BR6" s="138">
        <v>-5.7108360516078902E-27</v>
      </c>
      <c r="BS6" s="138" t="s">
        <v>473</v>
      </c>
      <c r="BT6" s="138">
        <v>-2.0839446909618498E-27</v>
      </c>
      <c r="BU6" s="138">
        <f t="shared" si="12"/>
        <v>-3.8973903712848699E-27</v>
      </c>
      <c r="BW6" s="18">
        <v>1</v>
      </c>
      <c r="BX6" s="18">
        <v>0</v>
      </c>
      <c r="BY6" s="18">
        <f t="shared" si="13"/>
        <v>1</v>
      </c>
      <c r="BZ6" s="3">
        <v>0.83600000441059996</v>
      </c>
      <c r="CA6" s="18">
        <v>0.33333333333333331</v>
      </c>
      <c r="CB6" s="18">
        <v>1</v>
      </c>
      <c r="CC6" s="18">
        <v>0.76333332061766657</v>
      </c>
      <c r="CD6" s="18">
        <v>0.99333333969100002</v>
      </c>
      <c r="CE6" s="18">
        <v>0.5714285714285714</v>
      </c>
      <c r="CF6" s="18">
        <v>0.48833332614341335</v>
      </c>
      <c r="CG6" s="18">
        <v>0.66999999992549331</v>
      </c>
      <c r="CH6" s="18">
        <v>1</v>
      </c>
      <c r="CI6" s="18">
        <v>0.85999999443700004</v>
      </c>
      <c r="CJ6" s="18">
        <v>0.5499999920526667</v>
      </c>
      <c r="CK6" s="285" t="s">
        <v>527</v>
      </c>
      <c r="CL6" s="18">
        <v>2.2356263059999999</v>
      </c>
      <c r="CM6" s="18">
        <v>-2.6255046279999998</v>
      </c>
      <c r="CN6" s="18">
        <v>-0.28727576020000001</v>
      </c>
      <c r="CO6" s="18">
        <v>-0.36684919760000001</v>
      </c>
      <c r="CP6" s="18">
        <v>-0.38237307869999998</v>
      </c>
      <c r="CQ6" s="18">
        <v>-0.89562378090000005</v>
      </c>
      <c r="CR6" s="18">
        <v>-0.47339816200000001</v>
      </c>
      <c r="CS6" s="18">
        <v>-0.26230425260000001</v>
      </c>
      <c r="CT6" s="18">
        <v>-0.58431658519999996</v>
      </c>
      <c r="CY6" s="18">
        <v>-0.2046282478</v>
      </c>
      <c r="CZ6" s="285" t="s">
        <v>527</v>
      </c>
      <c r="DA6" s="68">
        <v>17.558430739999999</v>
      </c>
      <c r="DB6" s="5">
        <v>19.08243186</v>
      </c>
      <c r="DC6" s="5">
        <v>18.5466604</v>
      </c>
      <c r="DD6" s="80">
        <f t="shared" si="1"/>
        <v>18.052545569999999</v>
      </c>
      <c r="DE6" s="68">
        <v>11.75108296</v>
      </c>
      <c r="DF6" s="5">
        <v>10.75994081</v>
      </c>
      <c r="DG6" s="5">
        <v>10.98358457</v>
      </c>
      <c r="DH6" s="80">
        <f t="shared" si="2"/>
        <v>11.367333765</v>
      </c>
      <c r="DI6" s="151">
        <f t="shared" si="3"/>
        <v>-5.8073477799999988</v>
      </c>
      <c r="DJ6" s="24">
        <f t="shared" si="3"/>
        <v>-8.32249105</v>
      </c>
      <c r="DK6" s="294">
        <f t="shared" si="3"/>
        <v>-7.5630758300000007</v>
      </c>
      <c r="DL6" s="244">
        <f t="shared" si="3"/>
        <v>-6.6852118049999998</v>
      </c>
      <c r="DM6" s="295" t="s">
        <v>527</v>
      </c>
      <c r="DN6" s="68">
        <v>5.3392641550000004</v>
      </c>
      <c r="DO6" s="5">
        <v>5.9541947149999999</v>
      </c>
      <c r="DP6" s="5">
        <v>6.3846938120000001</v>
      </c>
      <c r="DQ6" s="3">
        <f t="shared" si="4"/>
        <v>5.8619789835000002</v>
      </c>
      <c r="DR6" s="68">
        <v>3.8848826930000002</v>
      </c>
      <c r="DS6" s="5">
        <v>3.3836650179999999</v>
      </c>
      <c r="DT6" s="5">
        <v>3.4763206229999999</v>
      </c>
      <c r="DU6" s="3">
        <f t="shared" si="5"/>
        <v>3.6806016580000001</v>
      </c>
      <c r="DV6" s="24">
        <f t="shared" si="6"/>
        <v>-1.4543814620000002</v>
      </c>
      <c r="DW6" s="24">
        <f t="shared" si="6"/>
        <v>-2.570529697</v>
      </c>
      <c r="DX6" s="24">
        <f t="shared" si="6"/>
        <v>-2.9083731890000002</v>
      </c>
      <c r="DY6" s="188">
        <f t="shared" si="6"/>
        <v>-2.1813773255000002</v>
      </c>
      <c r="DZ6" s="295" t="s">
        <v>527</v>
      </c>
      <c r="EA6" s="18">
        <v>21.64094746</v>
      </c>
      <c r="EB6" s="18">
        <v>21.95874049</v>
      </c>
      <c r="EC6" s="18">
        <v>33.50654213</v>
      </c>
      <c r="ED6" s="3">
        <f t="shared" si="7"/>
        <v>27.573744795</v>
      </c>
      <c r="EE6" s="18">
        <v>10.90689347</v>
      </c>
      <c r="EF6" s="18">
        <v>10.28401657</v>
      </c>
      <c r="EG6" s="18">
        <v>8.4137012349999996</v>
      </c>
      <c r="EH6" s="3">
        <f t="shared" si="8"/>
        <v>9.6602973524999989</v>
      </c>
      <c r="EI6" s="24">
        <f t="shared" si="9"/>
        <v>-10.73405399</v>
      </c>
      <c r="EJ6" s="24">
        <f t="shared" si="9"/>
        <v>-11.67472392</v>
      </c>
      <c r="EK6" s="24">
        <f t="shared" si="9"/>
        <v>-25.092840895000002</v>
      </c>
      <c r="EL6" s="188">
        <f t="shared" si="9"/>
        <v>-17.913447442500001</v>
      </c>
      <c r="EM6" s="295" t="s">
        <v>527</v>
      </c>
      <c r="EN6" s="151" t="s">
        <v>472</v>
      </c>
      <c r="EO6" s="244">
        <v>20.044473781392199</v>
      </c>
      <c r="EP6" s="151" t="s">
        <v>473</v>
      </c>
      <c r="EQ6" s="244">
        <v>33.550853659011999</v>
      </c>
      <c r="ER6" s="244">
        <f t="shared" si="14"/>
        <v>26.797663720202099</v>
      </c>
      <c r="ES6" s="18">
        <v>7</v>
      </c>
      <c r="ET6" s="18">
        <v>15</v>
      </c>
      <c r="EU6" s="18">
        <v>29</v>
      </c>
      <c r="EV6" s="18">
        <v>-1</v>
      </c>
      <c r="EW6" s="18">
        <v>6</v>
      </c>
      <c r="EX6" s="18">
        <v>3</v>
      </c>
      <c r="EY6" s="18">
        <v>59</v>
      </c>
      <c r="EZ6" s="5">
        <v>-2.6255046279999998</v>
      </c>
      <c r="FA6" s="18">
        <v>-25.470634499316269</v>
      </c>
      <c r="FB6" s="310">
        <v>4</v>
      </c>
      <c r="FC6" s="5">
        <v>79</v>
      </c>
      <c r="FD6" s="18">
        <v>39</v>
      </c>
      <c r="FE6" s="340">
        <v>13</v>
      </c>
      <c r="FF6" s="18">
        <v>0.83400000445530398</v>
      </c>
      <c r="FG6" s="18">
        <v>0.33333333333333331</v>
      </c>
      <c r="FH6" s="18">
        <v>1</v>
      </c>
      <c r="FI6" s="18">
        <v>0.76333332061766657</v>
      </c>
      <c r="FJ6" s="18">
        <v>0.99333333969100002</v>
      </c>
      <c r="FK6" s="18">
        <v>0.5714285714285714</v>
      </c>
      <c r="FL6" s="18">
        <v>0.48833332614341335</v>
      </c>
      <c r="FM6" s="18">
        <v>0.66999999992549331</v>
      </c>
      <c r="FN6" s="18">
        <v>1</v>
      </c>
      <c r="FO6" s="18">
        <v>0.85999999443700004</v>
      </c>
      <c r="FP6" s="18">
        <v>0.5499999920526667</v>
      </c>
      <c r="FQ6" s="322">
        <v>-4</v>
      </c>
      <c r="FR6" s="5">
        <v>14</v>
      </c>
      <c r="FS6" s="5">
        <v>13</v>
      </c>
      <c r="FT6" s="259">
        <v>0.83600000441059996</v>
      </c>
      <c r="FU6" s="72">
        <v>0.33333333333333331</v>
      </c>
      <c r="FV6" s="260">
        <v>1</v>
      </c>
      <c r="FW6" s="261">
        <v>0.76333332061766657</v>
      </c>
      <c r="FX6" s="154">
        <v>0.99333333969100002</v>
      </c>
      <c r="FY6" s="262">
        <v>0.5714285714285714</v>
      </c>
      <c r="FZ6" s="263">
        <v>0.48833332614341335</v>
      </c>
      <c r="GA6" s="264">
        <v>0.66999999992549331</v>
      </c>
      <c r="GB6" s="265">
        <v>1</v>
      </c>
      <c r="GC6" s="266">
        <v>0.85999999443700004</v>
      </c>
      <c r="GD6" s="267">
        <v>0.5499999920526667</v>
      </c>
      <c r="GE6" s="5">
        <v>-2.6255046279999998</v>
      </c>
      <c r="GF6" s="18">
        <v>7</v>
      </c>
      <c r="GG6" s="18">
        <v>15</v>
      </c>
      <c r="GH6" s="18">
        <v>29</v>
      </c>
      <c r="GI6" s="18">
        <v>-1</v>
      </c>
      <c r="GJ6" s="18">
        <v>6</v>
      </c>
      <c r="GK6" s="18">
        <v>3</v>
      </c>
      <c r="GL6" s="18">
        <v>59</v>
      </c>
      <c r="GN6" s="5">
        <v>144</v>
      </c>
      <c r="GO6" s="5">
        <v>81</v>
      </c>
      <c r="GP6" s="5">
        <v>148</v>
      </c>
      <c r="GQ6" s="5">
        <v>84</v>
      </c>
      <c r="GR6" s="5">
        <v>147</v>
      </c>
      <c r="GS6" s="144">
        <v>7.0000000298000006E-2</v>
      </c>
      <c r="GT6" s="18">
        <v>81.743200000000002</v>
      </c>
      <c r="GU6" s="18">
        <v>75.839699999999993</v>
      </c>
      <c r="GV6" s="3">
        <f t="shared" si="15"/>
        <v>5.9035000000000082</v>
      </c>
      <c r="GW6" s="5">
        <f t="shared" si="16"/>
        <v>1.077841816357396</v>
      </c>
      <c r="GX6" s="18">
        <f t="shared" si="17"/>
        <v>3.2555028639281808E-2</v>
      </c>
      <c r="GY6" s="18">
        <v>65.473500000000001</v>
      </c>
      <c r="GZ6" s="18">
        <v>61.957000000000001</v>
      </c>
      <c r="HA6" s="3">
        <f t="shared" si="18"/>
        <v>3.5165000000000006</v>
      </c>
      <c r="HB6" s="18">
        <f t="shared" si="19"/>
        <v>1.0567571057346223</v>
      </c>
      <c r="HC6" s="18">
        <v>73.004499999999993</v>
      </c>
      <c r="HD6" s="18">
        <v>68.792699999999996</v>
      </c>
      <c r="HE6" s="3">
        <f t="shared" si="20"/>
        <v>4.2117999999999967</v>
      </c>
      <c r="HF6" s="18">
        <f t="shared" si="21"/>
        <v>1.061224519462094</v>
      </c>
      <c r="HG6" s="18">
        <v>37.793399999999998</v>
      </c>
      <c r="HH6" s="18">
        <v>50.8215</v>
      </c>
      <c r="HI6" s="3">
        <f t="shared" si="22"/>
        <v>-13.028100000000002</v>
      </c>
      <c r="HJ6" s="18">
        <f t="shared" si="23"/>
        <v>0.74364983323986888</v>
      </c>
      <c r="HK6" s="5">
        <v>98.864000000000004</v>
      </c>
      <c r="HL6" s="5">
        <v>82.117999999999995</v>
      </c>
      <c r="HM6" s="3">
        <f t="shared" si="24"/>
        <v>16.746000000000009</v>
      </c>
      <c r="HN6" s="5">
        <f t="shared" si="60"/>
        <v>1.2039260576243942</v>
      </c>
      <c r="HO6" s="18">
        <v>57.353999999999999</v>
      </c>
      <c r="HP6" s="18">
        <v>55.606999999999999</v>
      </c>
      <c r="HQ6" s="3">
        <f t="shared" si="25"/>
        <v>1.7469999999999999</v>
      </c>
      <c r="HR6" s="18">
        <f t="shared" si="26"/>
        <v>1.0314169079432445</v>
      </c>
      <c r="HS6" s="18">
        <v>66.083799999999997</v>
      </c>
      <c r="HT6" s="18">
        <v>63.857500000000002</v>
      </c>
      <c r="HU6" s="3">
        <f t="shared" si="27"/>
        <v>2.2262999999999948</v>
      </c>
      <c r="HV6" s="18">
        <f t="shared" si="28"/>
        <v>1.0348635634028891</v>
      </c>
      <c r="HW6" s="18">
        <v>67.819000000000003</v>
      </c>
      <c r="HX6" s="18">
        <v>64.629199999999997</v>
      </c>
      <c r="HY6" s="3">
        <f t="shared" si="29"/>
        <v>3.1898000000000053</v>
      </c>
      <c r="HZ6" s="18">
        <f t="shared" si="30"/>
        <v>1.0493553997264395</v>
      </c>
      <c r="IA6" s="18">
        <v>58.036700000000003</v>
      </c>
      <c r="IB6" s="18">
        <v>55.013800000000003</v>
      </c>
      <c r="IC6" s="3">
        <f t="shared" si="31"/>
        <v>3.0228999999999999</v>
      </c>
      <c r="ID6" s="18">
        <f t="shared" si="32"/>
        <v>1.0549480312212571</v>
      </c>
      <c r="IE6" s="18">
        <v>52.890300000000003</v>
      </c>
      <c r="IF6" s="18">
        <v>48.123399999999997</v>
      </c>
      <c r="IG6" s="3">
        <f t="shared" si="33"/>
        <v>4.7669000000000068</v>
      </c>
      <c r="IH6" s="18">
        <f t="shared" si="34"/>
        <v>1.0990557608149052</v>
      </c>
      <c r="II6" s="18">
        <v>68.6965</v>
      </c>
      <c r="IJ6" s="18">
        <v>66.501499999999993</v>
      </c>
      <c r="IK6" s="3">
        <f t="shared" si="35"/>
        <v>2.1950000000000074</v>
      </c>
      <c r="IL6" s="18">
        <f t="shared" si="36"/>
        <v>1.0330067742832869</v>
      </c>
      <c r="IM6" s="18">
        <v>82.378699999999995</v>
      </c>
      <c r="IN6" s="18">
        <v>81.69</v>
      </c>
      <c r="IO6" s="3">
        <f t="shared" si="37"/>
        <v>0.6886999999999972</v>
      </c>
      <c r="IP6" s="18">
        <f t="shared" si="38"/>
        <v>1.0084306524666422</v>
      </c>
      <c r="IQ6" s="18">
        <v>52.021500000000003</v>
      </c>
      <c r="IR6" s="18">
        <v>51.782200000000003</v>
      </c>
      <c r="IS6" s="3">
        <f t="shared" si="39"/>
        <v>0.23930000000000007</v>
      </c>
      <c r="IT6" s="18">
        <f t="shared" si="40"/>
        <v>1.0046212791268041</v>
      </c>
      <c r="IU6" s="18">
        <v>60.825200000000002</v>
      </c>
      <c r="IV6" s="18">
        <v>61.548499999999997</v>
      </c>
      <c r="IW6" s="3">
        <f t="shared" si="41"/>
        <v>-0.72329999999999472</v>
      </c>
      <c r="IX6" s="18">
        <f t="shared" si="42"/>
        <v>0.98824829199736797</v>
      </c>
      <c r="IY6" s="18">
        <v>66.689800000000005</v>
      </c>
      <c r="IZ6" s="18">
        <v>67.826800000000006</v>
      </c>
      <c r="JA6" s="3">
        <f t="shared" si="43"/>
        <v>-1.1370000000000005</v>
      </c>
      <c r="JB6" s="18">
        <f t="shared" si="44"/>
        <v>0.98323671469094809</v>
      </c>
      <c r="JC6" s="18">
        <f>LOG(HN6)</f>
        <v>8.0599814370451578E-2</v>
      </c>
      <c r="JD6" s="18">
        <v>26.797663720202099</v>
      </c>
      <c r="JE6" s="18">
        <f t="shared" si="45"/>
        <v>0.26797663720202097</v>
      </c>
      <c r="JG6" s="336" t="s">
        <v>596</v>
      </c>
      <c r="JH6" s="18">
        <v>0.35805442800595899</v>
      </c>
      <c r="JJ6" s="336" t="s">
        <v>596</v>
      </c>
      <c r="JK6" s="18">
        <v>0.248079162137396</v>
      </c>
      <c r="JM6" s="336" t="s">
        <v>596</v>
      </c>
      <c r="JN6" s="18">
        <v>0.17584367794812</v>
      </c>
      <c r="JO6" s="18">
        <f t="shared" si="46"/>
        <v>0.82415632205187994</v>
      </c>
      <c r="JP6" s="336" t="s">
        <v>596</v>
      </c>
      <c r="JQ6" s="18">
        <v>0.46126088843292601</v>
      </c>
      <c r="JT6" s="336" t="s">
        <v>596</v>
      </c>
      <c r="JU6" s="18">
        <v>0.47924233001810501</v>
      </c>
      <c r="JW6" s="336" t="s">
        <v>596</v>
      </c>
      <c r="JX6" s="18">
        <v>0.382428457931349</v>
      </c>
      <c r="JZ6" s="336" t="s">
        <v>596</v>
      </c>
      <c r="KA6" s="18">
        <v>0.24731079821412599</v>
      </c>
      <c r="KC6" s="336" t="s">
        <v>596</v>
      </c>
      <c r="KD6" s="18">
        <v>0.46898677613658901</v>
      </c>
      <c r="KE6" s="68" t="s">
        <v>527</v>
      </c>
      <c r="KF6" s="347">
        <v>9.7999999999999997E-3</v>
      </c>
      <c r="KG6" s="347">
        <v>1.43E-2</v>
      </c>
      <c r="KH6" s="347">
        <f t="shared" si="47"/>
        <v>1.205E-2</v>
      </c>
      <c r="KI6" s="348">
        <v>5.8700000000000002E-2</v>
      </c>
      <c r="KJ6" s="348">
        <v>5.2999999999999999E-2</v>
      </c>
      <c r="KK6" s="348">
        <f t="shared" si="48"/>
        <v>5.5849999999999997E-2</v>
      </c>
      <c r="KL6" s="347">
        <f t="shared" si="49"/>
        <v>4.3799999999999999E-2</v>
      </c>
      <c r="KM6" s="347">
        <f t="shared" si="50"/>
        <v>4.6348547717842319</v>
      </c>
      <c r="KN6" s="354">
        <f t="shared" si="10"/>
        <v>8.512854771784232</v>
      </c>
      <c r="KO6" s="18">
        <f t="shared" si="51"/>
        <v>0.93007522444714386</v>
      </c>
      <c r="KP6" s="18">
        <v>0.93007522444714386</v>
      </c>
      <c r="KQ6" s="340">
        <v>13</v>
      </c>
      <c r="KR6" s="18">
        <v>0.83400000445530398</v>
      </c>
      <c r="KS6" s="18">
        <v>0.33333333333333331</v>
      </c>
      <c r="KT6" s="18">
        <v>1</v>
      </c>
      <c r="KU6" s="18">
        <v>0.76333332061766657</v>
      </c>
      <c r="KV6" s="18">
        <v>0.99333333969100002</v>
      </c>
      <c r="KW6" s="18">
        <v>0.5714285714285714</v>
      </c>
      <c r="KX6" s="18">
        <v>0.48833332614341335</v>
      </c>
      <c r="KY6" s="18">
        <v>0.66999999992549331</v>
      </c>
      <c r="KZ6" s="18">
        <v>1</v>
      </c>
      <c r="LA6" s="18">
        <v>0.85999999443700004</v>
      </c>
      <c r="LB6" s="18">
        <v>0.5499999920526667</v>
      </c>
      <c r="LC6" s="358" t="s">
        <v>626</v>
      </c>
      <c r="LD6" s="358">
        <v>13</v>
      </c>
      <c r="LE6" s="358">
        <v>20</v>
      </c>
      <c r="LF6" s="358">
        <v>20</v>
      </c>
      <c r="LG6" s="358">
        <v>10.5</v>
      </c>
      <c r="LH6" s="358">
        <v>9.5</v>
      </c>
      <c r="LI6" s="358">
        <v>2</v>
      </c>
      <c r="LJ6" s="144">
        <v>7.0000000298000006E-2</v>
      </c>
      <c r="LK6" s="158" t="s">
        <v>527</v>
      </c>
      <c r="LL6" s="68">
        <v>0.51800000000000002</v>
      </c>
      <c r="LM6" s="5">
        <v>0.51219999999999999</v>
      </c>
      <c r="LN6" s="5">
        <f t="shared" si="52"/>
        <v>0.5151</v>
      </c>
      <c r="LO6" s="5">
        <v>0.57950000000000002</v>
      </c>
      <c r="LP6" s="5">
        <v>0.59150000000000003</v>
      </c>
      <c r="LQ6" s="80">
        <f t="shared" si="53"/>
        <v>0.58550000000000002</v>
      </c>
      <c r="LR6" s="77">
        <f t="shared" si="54"/>
        <v>-7.0400000000000018E-2</v>
      </c>
      <c r="LS6" s="68">
        <v>9.8969000000000005</v>
      </c>
      <c r="LT6" s="5">
        <v>9.1379999999999999</v>
      </c>
      <c r="LU6" s="5">
        <f t="shared" si="55"/>
        <v>9.5174500000000002</v>
      </c>
      <c r="LV6" s="5">
        <v>16.657599999999999</v>
      </c>
      <c r="LW6" s="5">
        <v>18.543900000000001</v>
      </c>
      <c r="LX6" s="80">
        <f t="shared" si="56"/>
        <v>17.600749999999998</v>
      </c>
      <c r="LY6" s="77">
        <f t="shared" si="57"/>
        <v>-8.0832999999999977</v>
      </c>
      <c r="LZ6" s="68">
        <v>1.0285</v>
      </c>
      <c r="MA6" s="5">
        <v>1.0326</v>
      </c>
      <c r="MB6" s="5">
        <f>AVERAGE(LZ6:MA6)</f>
        <v>1.0305499999999999</v>
      </c>
      <c r="MC6" s="5">
        <v>0.93240000000000001</v>
      </c>
      <c r="MD6" s="5">
        <v>0.91449999999999998</v>
      </c>
      <c r="ME6" s="80">
        <f>AVERAGE(MC6:MD6)</f>
        <v>0.92344999999999999</v>
      </c>
      <c r="MF6" s="77">
        <f t="shared" si="58"/>
        <v>0.10709999999999986</v>
      </c>
      <c r="MG6" s="68">
        <v>0.35670000000000002</v>
      </c>
      <c r="MH6" s="5">
        <v>0.35659999999999997</v>
      </c>
      <c r="MI6" s="5">
        <f>AVERAGE(MG6:MH6)</f>
        <v>0.35665000000000002</v>
      </c>
      <c r="MJ6" s="5">
        <v>0.51600000000000001</v>
      </c>
      <c r="MK6" s="5">
        <v>0.53910000000000002</v>
      </c>
      <c r="ML6" s="80">
        <f>AVERAGE(MJ6:MK6)</f>
        <v>0.52754999999999996</v>
      </c>
      <c r="MM6" s="77">
        <f t="shared" si="59"/>
        <v>-0.17089999999999994</v>
      </c>
      <c r="MO6" s="5">
        <v>1.09176501</v>
      </c>
      <c r="MP6" s="5">
        <v>1.5676965709999999</v>
      </c>
      <c r="MQ6" s="5">
        <v>2.881681189</v>
      </c>
      <c r="MR6" s="5">
        <v>1.164925768</v>
      </c>
      <c r="MS6" s="292">
        <v>1.533247435</v>
      </c>
      <c r="MT6" s="18">
        <v>-2.6255046279999998</v>
      </c>
      <c r="MU6" s="18">
        <v>1.2299131910000001</v>
      </c>
      <c r="MV6" s="18">
        <v>1.1511225709999999</v>
      </c>
      <c r="MW6" s="18">
        <v>1.1954893740000001</v>
      </c>
    </row>
    <row r="7" spans="1:361" ht="15" customHeight="1" x14ac:dyDescent="0.2">
      <c r="A7" s="3" t="s">
        <v>4</v>
      </c>
      <c r="B7" s="5">
        <v>0</v>
      </c>
      <c r="C7" s="5">
        <v>4</v>
      </c>
      <c r="D7" s="5">
        <v>27</v>
      </c>
      <c r="E7" s="5">
        <v>33</v>
      </c>
      <c r="F7" s="5">
        <v>47</v>
      </c>
      <c r="G7" s="18">
        <v>53</v>
      </c>
      <c r="H7" s="24">
        <v>108</v>
      </c>
      <c r="I7" s="5">
        <v>19</v>
      </c>
      <c r="J7" s="5">
        <v>136</v>
      </c>
      <c r="K7" s="5">
        <v>137</v>
      </c>
      <c r="L7" s="5">
        <v>110</v>
      </c>
      <c r="M7" s="5">
        <v>52</v>
      </c>
      <c r="N7" s="5">
        <v>131</v>
      </c>
      <c r="O7" s="5">
        <v>2.5</v>
      </c>
      <c r="P7" s="5">
        <v>-2</v>
      </c>
      <c r="Q7" s="5">
        <v>-1</v>
      </c>
      <c r="R7" s="5">
        <v>0</v>
      </c>
      <c r="S7" s="5">
        <v>18</v>
      </c>
      <c r="T7" s="18">
        <v>11</v>
      </c>
      <c r="U7" s="5">
        <v>0</v>
      </c>
      <c r="V7" s="5">
        <v>-13</v>
      </c>
      <c r="W7" s="5">
        <v>-4</v>
      </c>
      <c r="X7" s="5">
        <v>4</v>
      </c>
      <c r="Y7" s="5">
        <v>2</v>
      </c>
      <c r="Z7" s="92">
        <v>7.9939402631579004E-2</v>
      </c>
      <c r="AA7" s="88">
        <v>13.5</v>
      </c>
      <c r="AB7" s="68">
        <v>87</v>
      </c>
      <c r="AC7" s="5">
        <v>77</v>
      </c>
      <c r="AD7" s="5">
        <v>108</v>
      </c>
      <c r="AE7" s="80">
        <v>91</v>
      </c>
      <c r="AF7" s="179">
        <v>4</v>
      </c>
      <c r="AG7" s="154">
        <v>8</v>
      </c>
      <c r="AH7" s="154">
        <v>-5</v>
      </c>
      <c r="AI7" s="154">
        <v>2</v>
      </c>
      <c r="AJ7" s="68">
        <v>91</v>
      </c>
      <c r="AK7" s="5">
        <v>85</v>
      </c>
      <c r="AL7" s="5">
        <v>103</v>
      </c>
      <c r="AM7" s="80">
        <v>93</v>
      </c>
      <c r="AN7" s="68">
        <v>87</v>
      </c>
      <c r="AO7" s="5">
        <v>77</v>
      </c>
      <c r="AP7" s="5">
        <v>108</v>
      </c>
      <c r="AQ7" s="80">
        <v>91</v>
      </c>
      <c r="AR7" s="68">
        <v>91</v>
      </c>
      <c r="AS7" s="5">
        <v>85</v>
      </c>
      <c r="AT7" s="5">
        <v>103</v>
      </c>
      <c r="AU7" s="80">
        <v>93</v>
      </c>
      <c r="AV7" s="179">
        <f t="shared" si="11"/>
        <v>4</v>
      </c>
      <c r="AW7" s="154">
        <f t="shared" si="0"/>
        <v>8</v>
      </c>
      <c r="AX7" s="154">
        <f t="shared" si="0"/>
        <v>-5</v>
      </c>
      <c r="AY7" s="185">
        <f t="shared" si="0"/>
        <v>2</v>
      </c>
      <c r="AZ7" s="9">
        <v>1.2413793103448276</v>
      </c>
      <c r="BA7" s="77">
        <v>0.10951117847669578</v>
      </c>
      <c r="BB7" s="18">
        <v>0.88505747126436785</v>
      </c>
      <c r="BC7" s="77">
        <v>-4.9008462801566233E-2</v>
      </c>
      <c r="BD7" s="154">
        <v>0.87999999523200001</v>
      </c>
      <c r="BE7" s="144">
        <v>0.23000000417200001</v>
      </c>
      <c r="BF7" s="5">
        <v>-1</v>
      </c>
      <c r="BG7" s="5">
        <v>-2</v>
      </c>
      <c r="BK7" s="18" t="s">
        <v>4</v>
      </c>
      <c r="BL7" s="18">
        <v>1</v>
      </c>
      <c r="BM7" s="18">
        <v>1</v>
      </c>
      <c r="BN7" s="18">
        <v>0</v>
      </c>
      <c r="BO7" s="18">
        <v>-3</v>
      </c>
      <c r="BP7" s="18">
        <v>-2</v>
      </c>
      <c r="BQ7" s="138"/>
      <c r="BR7" s="138"/>
      <c r="BS7" s="138"/>
      <c r="BT7" s="138"/>
      <c r="BU7" s="138"/>
      <c r="BV7" s="222"/>
      <c r="BW7" s="18">
        <v>0.81000000238400005</v>
      </c>
      <c r="BX7" s="18">
        <v>0.310000002384</v>
      </c>
      <c r="BY7" s="18">
        <f t="shared" si="13"/>
        <v>0.5</v>
      </c>
      <c r="BZ7" s="3">
        <v>0.45199999362238003</v>
      </c>
      <c r="CA7" s="18">
        <v>0.37999999957780001</v>
      </c>
      <c r="CB7" s="18">
        <v>0.48999999463566662</v>
      </c>
      <c r="CC7" s="18">
        <v>0.530000006159</v>
      </c>
      <c r="CD7" s="18">
        <v>0.69999998807899999</v>
      </c>
      <c r="CE7" s="18">
        <v>0.62571428929071427</v>
      </c>
      <c r="CF7" s="18">
        <v>0.50166667004416665</v>
      </c>
      <c r="CG7" s="18">
        <v>0.93000000715266662</v>
      </c>
      <c r="CH7" s="18">
        <v>0.98333332935966666</v>
      </c>
      <c r="CI7" s="18">
        <v>1</v>
      </c>
      <c r="CJ7" s="18">
        <v>0.29666666686533333</v>
      </c>
      <c r="CY7" s="18">
        <v>-0.1820958147</v>
      </c>
      <c r="DA7" s="68"/>
      <c r="DB7" s="5"/>
      <c r="DC7" s="5"/>
      <c r="DD7" s="80"/>
      <c r="DE7" s="68"/>
      <c r="DF7" s="5"/>
      <c r="DG7" s="5"/>
      <c r="DH7" s="80"/>
      <c r="DI7" s="68"/>
      <c r="DJ7" s="5"/>
      <c r="DK7" s="5"/>
      <c r="DL7" s="80"/>
      <c r="DN7" s="68"/>
      <c r="DO7" s="5"/>
      <c r="DP7" s="5"/>
      <c r="DQ7" s="3"/>
      <c r="DR7" s="68"/>
      <c r="DS7" s="5"/>
      <c r="DT7" s="5"/>
      <c r="DU7" s="3"/>
      <c r="DY7" s="3"/>
      <c r="ED7" s="3"/>
      <c r="EH7" s="3"/>
      <c r="EL7" s="3"/>
      <c r="EN7" s="195"/>
      <c r="EO7" s="196"/>
      <c r="EP7" s="195"/>
      <c r="EQ7" s="196"/>
      <c r="ER7" s="196"/>
      <c r="ES7" s="18">
        <v>4</v>
      </c>
      <c r="ET7" s="18">
        <v>15</v>
      </c>
      <c r="EU7" s="18">
        <v>21</v>
      </c>
      <c r="EV7" s="18">
        <v>1</v>
      </c>
      <c r="EW7" s="18">
        <v>5</v>
      </c>
      <c r="EX7" s="18">
        <v>9</v>
      </c>
      <c r="EY7" s="18">
        <v>55</v>
      </c>
      <c r="EZ7" s="222"/>
      <c r="FA7" s="222"/>
      <c r="FB7" s="310">
        <v>5</v>
      </c>
      <c r="FC7" s="5">
        <v>33</v>
      </c>
      <c r="FD7" s="18">
        <v>53</v>
      </c>
      <c r="FE7" s="340">
        <v>13.5</v>
      </c>
      <c r="FF7" s="18">
        <v>0.44399999380119604</v>
      </c>
      <c r="FG7" s="18">
        <v>0.37666666631897333</v>
      </c>
      <c r="FH7" s="18">
        <v>0.47333332834154662</v>
      </c>
      <c r="FI7" s="18">
        <v>0.52666667290017333</v>
      </c>
      <c r="FJ7" s="18">
        <v>0.59666665767636662</v>
      </c>
      <c r="FK7" s="18">
        <v>0.58571429018471999</v>
      </c>
      <c r="FL7" s="18">
        <v>0.49166667026767996</v>
      </c>
      <c r="FM7" s="18">
        <v>0.81000000238433323</v>
      </c>
      <c r="FN7" s="18">
        <v>0.73333332935966666</v>
      </c>
      <c r="FO7" s="18">
        <v>0.86000000188766668</v>
      </c>
      <c r="FP7" s="18">
        <v>0.29000000034767998</v>
      </c>
      <c r="FQ7" s="322">
        <v>-1</v>
      </c>
      <c r="FR7" s="5">
        <v>0</v>
      </c>
      <c r="FS7" s="5">
        <v>2</v>
      </c>
      <c r="FT7" s="259">
        <v>0.45199999362238003</v>
      </c>
      <c r="FU7" s="72">
        <v>0.37999999957780001</v>
      </c>
      <c r="FV7" s="260">
        <v>0.48999999463566662</v>
      </c>
      <c r="FW7" s="261">
        <v>0.530000006159</v>
      </c>
      <c r="FX7" s="154">
        <v>0.69999998807899999</v>
      </c>
      <c r="FY7" s="262">
        <v>0.62571428929071427</v>
      </c>
      <c r="FZ7" s="263">
        <v>0.50166667004416665</v>
      </c>
      <c r="GA7" s="264">
        <v>0.93000000715266662</v>
      </c>
      <c r="GB7" s="265">
        <v>0.98333332935966666</v>
      </c>
      <c r="GC7" s="266">
        <v>1</v>
      </c>
      <c r="GD7" s="267">
        <v>0.29666666686533333</v>
      </c>
      <c r="GE7" s="222"/>
      <c r="GF7" s="18">
        <v>4</v>
      </c>
      <c r="GG7" s="18">
        <v>15</v>
      </c>
      <c r="GH7" s="18">
        <v>21</v>
      </c>
      <c r="GI7" s="18">
        <v>1</v>
      </c>
      <c r="GJ7" s="18">
        <v>5</v>
      </c>
      <c r="GK7" s="18">
        <v>9</v>
      </c>
      <c r="GL7" s="18">
        <v>55</v>
      </c>
      <c r="GN7" s="5">
        <v>136</v>
      </c>
      <c r="GO7" s="5">
        <v>137</v>
      </c>
      <c r="GP7" s="5">
        <v>110</v>
      </c>
      <c r="GQ7" s="5">
        <v>52</v>
      </c>
      <c r="GR7" s="5">
        <v>131</v>
      </c>
      <c r="GS7" s="144">
        <v>0.23000000417200001</v>
      </c>
      <c r="GT7" s="222"/>
      <c r="GU7" s="222"/>
      <c r="GV7" s="373"/>
      <c r="GW7" s="79"/>
      <c r="GY7" s="222"/>
      <c r="GZ7" s="222"/>
      <c r="HA7" s="373"/>
      <c r="HB7" s="222"/>
      <c r="HC7" s="222"/>
      <c r="HD7" s="222"/>
      <c r="HE7" s="373"/>
      <c r="HF7" s="222"/>
      <c r="HG7" s="222"/>
      <c r="HH7" s="222"/>
      <c r="HI7" s="373"/>
      <c r="HJ7" s="222"/>
      <c r="HK7" s="79"/>
      <c r="HL7" s="79"/>
      <c r="HM7" s="373"/>
      <c r="HN7" s="79"/>
      <c r="HQ7" s="3"/>
      <c r="HU7" s="3"/>
      <c r="HY7" s="3"/>
      <c r="IC7" s="3">
        <f t="shared" si="31"/>
        <v>0</v>
      </c>
      <c r="IG7" s="3"/>
      <c r="IK7" s="3"/>
      <c r="IO7" s="3"/>
      <c r="IS7" s="3"/>
      <c r="IW7" s="3"/>
      <c r="JA7" s="3"/>
      <c r="JF7" s="18">
        <v>5</v>
      </c>
      <c r="JG7" s="138"/>
      <c r="JH7" s="138"/>
      <c r="JI7" s="138"/>
      <c r="JJ7" s="138"/>
      <c r="JK7" s="138"/>
      <c r="JL7" s="138"/>
      <c r="JM7" s="138"/>
      <c r="JN7" s="138"/>
      <c r="JP7" s="138"/>
      <c r="JQ7" s="138"/>
      <c r="JR7" s="138"/>
      <c r="JS7" s="138"/>
      <c r="JT7" s="138"/>
      <c r="JU7" s="138"/>
      <c r="JV7" s="138"/>
      <c r="JW7" s="138"/>
      <c r="JX7" s="138"/>
      <c r="JY7" s="138"/>
      <c r="JZ7" s="138"/>
      <c r="KA7" s="138"/>
      <c r="KB7" s="138"/>
      <c r="KC7" s="138"/>
      <c r="KD7" s="138"/>
      <c r="KE7" s="107"/>
      <c r="KF7" s="349"/>
      <c r="KG7" s="349"/>
      <c r="KH7" s="349"/>
      <c r="KI7" s="349"/>
      <c r="KJ7" s="349"/>
      <c r="KK7" s="349"/>
      <c r="KL7" s="349"/>
      <c r="KM7" s="349"/>
      <c r="KN7" s="355"/>
      <c r="KO7" s="145"/>
      <c r="KP7" s="145"/>
      <c r="KQ7" s="340">
        <v>13.5</v>
      </c>
      <c r="KR7" s="18">
        <v>0.44399999380119604</v>
      </c>
      <c r="KS7" s="18">
        <v>0.37666666631897333</v>
      </c>
      <c r="KT7" s="18">
        <v>0.47333332834154662</v>
      </c>
      <c r="KU7" s="18">
        <v>0.52666667290017333</v>
      </c>
      <c r="KV7" s="18">
        <v>0.59666665767636662</v>
      </c>
      <c r="KW7" s="18">
        <v>0.58571429018471999</v>
      </c>
      <c r="KX7" s="18">
        <v>0.49166667026767996</v>
      </c>
      <c r="KY7" s="18">
        <v>0.81000000238433323</v>
      </c>
      <c r="KZ7" s="18">
        <v>0.73333332935966666</v>
      </c>
      <c r="LA7" s="18">
        <v>0.86000000188766668</v>
      </c>
      <c r="LB7" s="18">
        <v>0.29000000034767998</v>
      </c>
      <c r="LC7" s="358" t="s">
        <v>627</v>
      </c>
      <c r="LD7" s="358">
        <v>13.5</v>
      </c>
      <c r="LE7" s="358">
        <v>7.5</v>
      </c>
      <c r="LF7" s="358">
        <v>4</v>
      </c>
      <c r="LG7" s="358">
        <v>14.5</v>
      </c>
      <c r="LH7" s="358">
        <v>1</v>
      </c>
      <c r="LI7" s="358">
        <v>1.5</v>
      </c>
      <c r="LJ7" s="144">
        <v>0.23000000417200001</v>
      </c>
      <c r="LK7" s="145"/>
      <c r="LL7" s="107"/>
      <c r="LM7" s="108"/>
      <c r="LN7" s="5"/>
      <c r="LO7" s="108"/>
      <c r="LP7" s="108"/>
      <c r="LQ7" s="80"/>
      <c r="LR7" s="77"/>
      <c r="LS7" s="107"/>
      <c r="LT7" s="108"/>
      <c r="LU7" s="5"/>
      <c r="LV7" s="108"/>
      <c r="LW7" s="108"/>
      <c r="LX7" s="80"/>
      <c r="LY7" s="77"/>
      <c r="LZ7" s="107"/>
      <c r="MA7" s="108"/>
      <c r="MB7" s="5"/>
      <c r="MC7" s="108"/>
      <c r="MD7" s="108"/>
      <c r="ME7" s="80"/>
      <c r="MF7" s="77"/>
      <c r="MG7" s="107"/>
      <c r="MH7" s="108"/>
      <c r="MI7" s="5"/>
      <c r="MJ7" s="108"/>
      <c r="MK7" s="108"/>
      <c r="ML7" s="80"/>
      <c r="MM7" s="77"/>
    </row>
    <row r="8" spans="1:361" ht="15.75" customHeight="1" x14ac:dyDescent="0.2">
      <c r="A8" s="3" t="s">
        <v>5</v>
      </c>
      <c r="B8" s="79"/>
      <c r="C8" s="327"/>
      <c r="D8" s="327"/>
      <c r="E8" s="5">
        <v>81</v>
      </c>
      <c r="F8" s="5">
        <v>54</v>
      </c>
      <c r="G8" s="18">
        <v>37</v>
      </c>
      <c r="H8" s="24">
        <v>117</v>
      </c>
      <c r="I8" s="5">
        <v>15</v>
      </c>
      <c r="J8" s="5">
        <v>134</v>
      </c>
      <c r="K8" s="5">
        <v>106</v>
      </c>
      <c r="L8" s="5">
        <v>126</v>
      </c>
      <c r="M8" s="5">
        <v>91</v>
      </c>
      <c r="N8" s="5">
        <v>162</v>
      </c>
      <c r="O8" s="5">
        <v>0</v>
      </c>
      <c r="P8" s="5">
        <v>1</v>
      </c>
      <c r="Q8" s="5">
        <v>-1</v>
      </c>
      <c r="R8" s="5">
        <v>1</v>
      </c>
      <c r="S8" s="5">
        <v>12</v>
      </c>
      <c r="T8" s="18">
        <v>6</v>
      </c>
      <c r="U8" s="5">
        <v>-1</v>
      </c>
      <c r="V8" s="5">
        <v>7</v>
      </c>
      <c r="W8" s="5">
        <v>-5</v>
      </c>
      <c r="X8" s="5">
        <v>-6</v>
      </c>
      <c r="Y8" s="5">
        <v>-1</v>
      </c>
      <c r="Z8" s="92">
        <v>3.0615902631578998E-2</v>
      </c>
      <c r="AA8" s="88">
        <v>11</v>
      </c>
      <c r="AB8" s="68">
        <v>94</v>
      </c>
      <c r="AC8" s="5">
        <v>88</v>
      </c>
      <c r="AD8" s="5">
        <v>111</v>
      </c>
      <c r="AE8" s="80">
        <v>98</v>
      </c>
      <c r="AF8" s="179">
        <v>-12</v>
      </c>
      <c r="AG8" s="154">
        <v>-8</v>
      </c>
      <c r="AH8" s="154">
        <v>-16</v>
      </c>
      <c r="AI8" s="154">
        <v>-12</v>
      </c>
      <c r="AJ8" s="68">
        <v>82</v>
      </c>
      <c r="AK8" s="5">
        <v>80</v>
      </c>
      <c r="AL8" s="5">
        <v>95</v>
      </c>
      <c r="AM8" s="80">
        <v>86</v>
      </c>
      <c r="AN8" s="68">
        <v>94</v>
      </c>
      <c r="AO8" s="5">
        <v>88</v>
      </c>
      <c r="AP8" s="5">
        <v>111</v>
      </c>
      <c r="AQ8" s="80">
        <v>98</v>
      </c>
      <c r="AR8" s="68">
        <v>82</v>
      </c>
      <c r="AS8" s="5">
        <v>80</v>
      </c>
      <c r="AT8" s="5">
        <v>95</v>
      </c>
      <c r="AU8" s="80">
        <v>86</v>
      </c>
      <c r="AV8" s="179">
        <f t="shared" si="11"/>
        <v>-12</v>
      </c>
      <c r="AW8" s="154">
        <f t="shared" si="0"/>
        <v>-8</v>
      </c>
      <c r="AX8" s="154">
        <f t="shared" si="0"/>
        <v>-16</v>
      </c>
      <c r="AY8" s="185">
        <f t="shared" si="0"/>
        <v>-12</v>
      </c>
      <c r="AZ8" s="9">
        <v>1.1808510638297873</v>
      </c>
      <c r="BA8" s="77">
        <v>2.2314478463933751E-2</v>
      </c>
      <c r="BB8" s="18">
        <v>0.93617021276595747</v>
      </c>
      <c r="BC8" s="77">
        <v>-3.9439543331603488E-2</v>
      </c>
      <c r="BD8" s="154">
        <v>0.28000000000000003</v>
      </c>
      <c r="BE8" s="144">
        <v>0.08</v>
      </c>
      <c r="BF8" s="5">
        <v>-1</v>
      </c>
      <c r="BG8" s="5">
        <v>1</v>
      </c>
      <c r="BK8" s="18" t="s">
        <v>5</v>
      </c>
      <c r="BL8" s="18">
        <v>3</v>
      </c>
      <c r="BM8" s="18">
        <v>5</v>
      </c>
      <c r="BN8" s="18">
        <v>4</v>
      </c>
      <c r="BO8" s="18">
        <v>14</v>
      </c>
      <c r="BP8" s="18">
        <v>23</v>
      </c>
      <c r="BQ8" s="138" t="s">
        <v>474</v>
      </c>
      <c r="BR8" s="138">
        <v>-2.3043923203627099E-27</v>
      </c>
      <c r="BS8" s="138" t="s">
        <v>475</v>
      </c>
      <c r="BT8" s="138">
        <v>-2.4376562637894699E-27</v>
      </c>
      <c r="BU8" s="138">
        <f t="shared" si="12"/>
        <v>-2.3710242920760897E-27</v>
      </c>
      <c r="BW8" s="18">
        <v>0.04</v>
      </c>
      <c r="BX8" s="18">
        <v>0</v>
      </c>
      <c r="BY8" s="18">
        <f t="shared" si="13"/>
        <v>0.04</v>
      </c>
      <c r="BZ8" s="3">
        <v>2.1999999999999999E-2</v>
      </c>
      <c r="CA8" s="18">
        <v>0.03</v>
      </c>
      <c r="CB8" s="18">
        <v>3.3333333333333333E-2</v>
      </c>
      <c r="CC8" s="18">
        <v>0.02</v>
      </c>
      <c r="CD8" s="18">
        <v>0.02</v>
      </c>
      <c r="CE8" s="18">
        <v>0.02</v>
      </c>
      <c r="CF8" s="18">
        <v>2.3333333333333334E-2</v>
      </c>
      <c r="CG8" s="18">
        <v>4.9999999999999996E-2</v>
      </c>
      <c r="CH8" s="18">
        <v>0.02</v>
      </c>
      <c r="CI8" s="18">
        <v>0.02</v>
      </c>
      <c r="CJ8" s="18">
        <v>0.02</v>
      </c>
      <c r="CK8" s="296" t="s">
        <v>528</v>
      </c>
      <c r="CL8" s="18">
        <v>-0.93770227250000004</v>
      </c>
      <c r="CM8" s="18">
        <v>-2.3296673989999999</v>
      </c>
      <c r="CN8" s="18">
        <v>-0.43593042440000002</v>
      </c>
      <c r="CO8" s="18">
        <v>-0.34233468389999999</v>
      </c>
      <c r="CP8" s="18">
        <v>-0.38203062939999999</v>
      </c>
      <c r="CQ8" s="18">
        <v>-0.3960370788</v>
      </c>
      <c r="CR8" s="18">
        <v>-0.50748207099999998</v>
      </c>
      <c r="CS8" s="18">
        <v>-0.1701350174</v>
      </c>
      <c r="CT8" s="18">
        <v>-0.44343836580000001</v>
      </c>
      <c r="CY8" s="18">
        <v>0.16830998289999999</v>
      </c>
      <c r="CZ8" s="296" t="s">
        <v>528</v>
      </c>
      <c r="DA8" s="68">
        <v>16.957525820000001</v>
      </c>
      <c r="DB8" s="5">
        <v>23.4313389</v>
      </c>
      <c r="DC8" s="5">
        <v>20.321211760000001</v>
      </c>
      <c r="DD8" s="80">
        <f>AVERAGE(DA8,DC8)</f>
        <v>18.639368789999999</v>
      </c>
      <c r="DE8" s="68">
        <v>12.177618369999999</v>
      </c>
      <c r="DF8" s="5">
        <v>13.01592011</v>
      </c>
      <c r="DG8" s="5">
        <v>13.67677627</v>
      </c>
      <c r="DH8" s="80">
        <f>AVERAGE(DE8,DG8)</f>
        <v>12.927197319999999</v>
      </c>
      <c r="DI8" s="151">
        <f>DE8-DA8</f>
        <v>-4.7799074500000014</v>
      </c>
      <c r="DJ8" s="24">
        <f>DF8-DB8</f>
        <v>-10.41541879</v>
      </c>
      <c r="DK8" s="294">
        <f>DG8-DC8</f>
        <v>-6.6444354900000011</v>
      </c>
      <c r="DL8" s="244">
        <f>DH8-DD8</f>
        <v>-5.7121714699999995</v>
      </c>
      <c r="DM8" s="297" t="s">
        <v>528</v>
      </c>
      <c r="DN8" s="68">
        <v>3.914419192</v>
      </c>
      <c r="DO8" s="5">
        <v>5.1144261359999996</v>
      </c>
      <c r="DP8" s="5">
        <v>4.9803584670000003</v>
      </c>
      <c r="DQ8" s="3">
        <f>AVERAGE(DN8,DP8)</f>
        <v>4.4473888295000004</v>
      </c>
      <c r="DR8" s="68">
        <v>5.8662962949999997</v>
      </c>
      <c r="DS8" s="5">
        <v>8.7121338999999995</v>
      </c>
      <c r="DT8" s="5">
        <v>6.4452294449999998</v>
      </c>
      <c r="DU8" s="3">
        <f>AVERAGE(DR8,DT8)</f>
        <v>6.1557628700000002</v>
      </c>
      <c r="DV8" s="24">
        <f>DR8-DN8</f>
        <v>1.9518771029999997</v>
      </c>
      <c r="DW8" s="24">
        <f>DS8-DO8</f>
        <v>3.5977077639999999</v>
      </c>
      <c r="DX8" s="24">
        <f>DT8-DP8</f>
        <v>1.4648709779999995</v>
      </c>
      <c r="DY8" s="188">
        <f>DU8-DQ8</f>
        <v>1.7083740404999999</v>
      </c>
      <c r="DZ8" s="297" t="s">
        <v>528</v>
      </c>
      <c r="EA8" s="18">
        <v>16.240393829999999</v>
      </c>
      <c r="EB8" s="18">
        <v>21.022990279999998</v>
      </c>
      <c r="EC8" s="18">
        <v>14.655886199999999</v>
      </c>
      <c r="ED8" s="3">
        <f>AVERAGE(EA8,EC8)</f>
        <v>15.448140015</v>
      </c>
      <c r="EE8" s="18">
        <v>7.7141648170000003</v>
      </c>
      <c r="EF8" s="18">
        <v>12.19811629</v>
      </c>
      <c r="EG8" s="18">
        <v>8.7892697210000001</v>
      </c>
      <c r="EH8" s="3">
        <f>AVERAGE(EE8,EG8)</f>
        <v>8.2517172690000002</v>
      </c>
      <c r="EI8" s="24">
        <f>EE8-EA8</f>
        <v>-8.5262290129999982</v>
      </c>
      <c r="EJ8" s="24">
        <f>EF8-EB8</f>
        <v>-8.8248739899999986</v>
      </c>
      <c r="EK8" s="24">
        <f>EG8-EC8</f>
        <v>-5.8666164789999993</v>
      </c>
      <c r="EL8" s="188">
        <f>EH8-ED8</f>
        <v>-7.1964227459999996</v>
      </c>
      <c r="EM8" s="297" t="s">
        <v>528</v>
      </c>
      <c r="EN8" s="151" t="s">
        <v>474</v>
      </c>
      <c r="EO8" s="244">
        <v>79.626639028346801</v>
      </c>
      <c r="EP8" s="151" t="s">
        <v>475</v>
      </c>
      <c r="EQ8" s="244">
        <v>59.657069270252499</v>
      </c>
      <c r="ER8" s="244">
        <f t="shared" si="14"/>
        <v>69.641854149299647</v>
      </c>
      <c r="ES8" s="18">
        <v>-1</v>
      </c>
      <c r="ET8" s="18">
        <v>4</v>
      </c>
      <c r="EU8" s="18">
        <v>0</v>
      </c>
      <c r="EV8" s="18">
        <v>0</v>
      </c>
      <c r="EW8" s="18">
        <v>0</v>
      </c>
      <c r="EX8" s="18">
        <v>0</v>
      </c>
      <c r="EY8" s="18">
        <v>3</v>
      </c>
      <c r="EZ8" s="5">
        <v>-2.3296673989999999</v>
      </c>
      <c r="FA8" s="18">
        <v>-28.033460319303831</v>
      </c>
      <c r="FB8" s="310">
        <v>6</v>
      </c>
      <c r="FC8" s="5">
        <v>81</v>
      </c>
      <c r="FD8" s="18">
        <v>37</v>
      </c>
      <c r="FE8" s="340">
        <v>11</v>
      </c>
      <c r="FF8" s="18">
        <v>1.9999999999999997E-2</v>
      </c>
      <c r="FG8" s="18">
        <v>1.9999999999999997E-2</v>
      </c>
      <c r="FH8" s="18">
        <v>1.9999999999999997E-2</v>
      </c>
      <c r="FI8" s="18">
        <v>0.01</v>
      </c>
      <c r="FJ8" s="18">
        <v>0</v>
      </c>
      <c r="FK8" s="18">
        <v>1.1428571428571429E-2</v>
      </c>
      <c r="FL8" s="18">
        <v>0.02</v>
      </c>
      <c r="FM8" s="18">
        <v>4.3333333333333328E-2</v>
      </c>
      <c r="FN8" s="18">
        <v>0.02</v>
      </c>
      <c r="FO8" s="18">
        <v>1.3333333333333332E-2</v>
      </c>
      <c r="FP8" s="18">
        <v>0.02</v>
      </c>
      <c r="FQ8" s="322">
        <v>-1</v>
      </c>
      <c r="FR8" s="5">
        <v>-1</v>
      </c>
      <c r="FS8" s="5">
        <v>-1</v>
      </c>
      <c r="FT8" s="259">
        <v>2.1999999999999999E-2</v>
      </c>
      <c r="FU8" s="72">
        <v>0.03</v>
      </c>
      <c r="FV8" s="260">
        <v>3.3333333333333333E-2</v>
      </c>
      <c r="FW8" s="261">
        <v>0.02</v>
      </c>
      <c r="FX8" s="154">
        <v>0.02</v>
      </c>
      <c r="FY8" s="262">
        <v>0.02</v>
      </c>
      <c r="FZ8" s="263">
        <v>2.3333333333333334E-2</v>
      </c>
      <c r="GA8" s="264">
        <v>4.9999999999999996E-2</v>
      </c>
      <c r="GB8" s="265">
        <v>0.02</v>
      </c>
      <c r="GC8" s="266">
        <v>0.02</v>
      </c>
      <c r="GD8" s="267">
        <v>0.02</v>
      </c>
      <c r="GE8" s="5">
        <v>-2.3296673989999999</v>
      </c>
      <c r="GF8" s="18">
        <v>-1</v>
      </c>
      <c r="GG8" s="18">
        <v>4</v>
      </c>
      <c r="GH8" s="18">
        <v>0</v>
      </c>
      <c r="GI8" s="18">
        <v>0</v>
      </c>
      <c r="GJ8" s="18">
        <v>0</v>
      </c>
      <c r="GK8" s="18">
        <v>0</v>
      </c>
      <c r="GL8" s="18">
        <v>3</v>
      </c>
      <c r="GN8" s="5">
        <v>134</v>
      </c>
      <c r="GO8" s="5">
        <v>106</v>
      </c>
      <c r="GP8" s="5">
        <v>126</v>
      </c>
      <c r="GQ8" s="5">
        <v>91</v>
      </c>
      <c r="GR8" s="5">
        <v>162</v>
      </c>
      <c r="GS8" s="144">
        <v>0.08</v>
      </c>
      <c r="GT8" s="18">
        <v>85.628</v>
      </c>
      <c r="GU8" s="18">
        <v>76.712999999999994</v>
      </c>
      <c r="GV8" s="3">
        <f t="shared" si="15"/>
        <v>8.9150000000000063</v>
      </c>
      <c r="GW8" s="5">
        <f t="shared" si="16"/>
        <v>1.1162123759988529</v>
      </c>
      <c r="GX8" s="18">
        <f t="shared" si="17"/>
        <v>4.774683344512208E-2</v>
      </c>
      <c r="GY8" s="18">
        <v>70.667699999999996</v>
      </c>
      <c r="GZ8" s="18">
        <v>65.108500000000006</v>
      </c>
      <c r="HA8" s="3">
        <f t="shared" si="18"/>
        <v>5.5591999999999899</v>
      </c>
      <c r="HB8" s="18">
        <f t="shared" si="19"/>
        <v>1.0853836288656626</v>
      </c>
      <c r="HC8" s="18">
        <v>81.119</v>
      </c>
      <c r="HD8" s="18">
        <v>74.483199999999997</v>
      </c>
      <c r="HE8" s="3">
        <f t="shared" si="20"/>
        <v>6.6358000000000033</v>
      </c>
      <c r="HF8" s="18">
        <f t="shared" si="21"/>
        <v>1.089091231311222</v>
      </c>
      <c r="HG8" s="18">
        <v>53.088700000000003</v>
      </c>
      <c r="HH8" s="18">
        <v>50.779800000000002</v>
      </c>
      <c r="HI8" s="3">
        <f t="shared" si="22"/>
        <v>2.3089000000000013</v>
      </c>
      <c r="HJ8" s="18">
        <f t="shared" si="23"/>
        <v>1.0454688675418178</v>
      </c>
      <c r="HK8" s="5">
        <v>107.249</v>
      </c>
      <c r="HL8" s="5">
        <v>86.978499999999997</v>
      </c>
      <c r="HM8" s="3">
        <f t="shared" si="24"/>
        <v>20.270499999999998</v>
      </c>
      <c r="HN8" s="5">
        <f t="shared" si="60"/>
        <v>1.2330518461458866</v>
      </c>
      <c r="HO8" s="18">
        <v>60.04</v>
      </c>
      <c r="HP8" s="18">
        <v>58.5</v>
      </c>
      <c r="HQ8" s="3">
        <f t="shared" si="25"/>
        <v>1.5399999999999991</v>
      </c>
      <c r="HR8" s="18">
        <f t="shared" si="26"/>
        <v>1.0263247863247864</v>
      </c>
      <c r="HS8" s="18">
        <v>64.271000000000001</v>
      </c>
      <c r="HT8" s="18">
        <v>60.396000000000001</v>
      </c>
      <c r="HU8" s="3">
        <f t="shared" si="27"/>
        <v>3.875</v>
      </c>
      <c r="HV8" s="18">
        <f t="shared" si="28"/>
        <v>1.0641598781376249</v>
      </c>
      <c r="HW8" s="18">
        <v>61.438699999999997</v>
      </c>
      <c r="HX8" s="18">
        <v>57.956699999999998</v>
      </c>
      <c r="HY8" s="3">
        <f t="shared" si="29"/>
        <v>3.4819999999999993</v>
      </c>
      <c r="HZ8" s="18">
        <f t="shared" si="30"/>
        <v>1.060079335089817</v>
      </c>
      <c r="IA8" s="18">
        <v>49.498899999999999</v>
      </c>
      <c r="IB8" s="18">
        <v>48.215200000000003</v>
      </c>
      <c r="IC8" s="3">
        <f t="shared" si="31"/>
        <v>1.2836999999999961</v>
      </c>
      <c r="ID8" s="18">
        <f t="shared" si="32"/>
        <v>1.0266243840116809</v>
      </c>
      <c r="IE8" s="18">
        <v>48.0428</v>
      </c>
      <c r="IF8" s="18">
        <v>48.8352</v>
      </c>
      <c r="IG8" s="3">
        <f t="shared" si="33"/>
        <v>-0.79240000000000066</v>
      </c>
      <c r="IH8" s="18">
        <f t="shared" si="34"/>
        <v>0.98377399908262886</v>
      </c>
      <c r="II8" s="18">
        <v>64.999499999999998</v>
      </c>
      <c r="IJ8" s="18">
        <v>62.1633</v>
      </c>
      <c r="IK8" s="3">
        <f t="shared" si="35"/>
        <v>2.8361999999999981</v>
      </c>
      <c r="IL8" s="18">
        <f t="shared" si="36"/>
        <v>1.0456249909512525</v>
      </c>
      <c r="IM8" s="18">
        <v>79.596500000000006</v>
      </c>
      <c r="IN8" s="18">
        <v>76.849500000000006</v>
      </c>
      <c r="IO8" s="3">
        <f t="shared" si="37"/>
        <v>2.7469999999999999</v>
      </c>
      <c r="IP8" s="18">
        <f t="shared" si="38"/>
        <v>1.0357451902744976</v>
      </c>
      <c r="IQ8" s="18">
        <v>52.978499999999997</v>
      </c>
      <c r="IR8" s="18">
        <v>51.260800000000003</v>
      </c>
      <c r="IS8" s="3">
        <f t="shared" si="39"/>
        <v>1.7176999999999936</v>
      </c>
      <c r="IT8" s="18">
        <f t="shared" si="40"/>
        <v>1.0335090361445782</v>
      </c>
      <c r="IU8" s="18">
        <v>60.638800000000003</v>
      </c>
      <c r="IV8" s="18">
        <v>58.650799999999997</v>
      </c>
      <c r="IW8" s="3">
        <f t="shared" si="41"/>
        <v>1.9880000000000067</v>
      </c>
      <c r="IX8" s="18">
        <f t="shared" si="42"/>
        <v>1.0338955308367492</v>
      </c>
      <c r="IY8" s="18">
        <v>68.836500000000001</v>
      </c>
      <c r="IZ8" s="18">
        <v>66.759500000000003</v>
      </c>
      <c r="JA8" s="3">
        <f t="shared" si="43"/>
        <v>2.0769999999999982</v>
      </c>
      <c r="JB8" s="18">
        <f t="shared" si="44"/>
        <v>1.0311116769897917</v>
      </c>
      <c r="JC8" s="18">
        <f>LOG(HN8)</f>
        <v>9.0981337764980783E-2</v>
      </c>
      <c r="JD8" s="18">
        <v>69.641854149299647</v>
      </c>
      <c r="JE8" s="18">
        <f t="shared" si="45"/>
        <v>0.69641854149299642</v>
      </c>
      <c r="JG8" s="336" t="s">
        <v>597</v>
      </c>
      <c r="JH8" s="18">
        <v>0.422516335779893</v>
      </c>
      <c r="JJ8" s="336" t="s">
        <v>597</v>
      </c>
      <c r="JK8" s="18">
        <v>0.41048167516335798</v>
      </c>
      <c r="JM8" s="336" t="s">
        <v>597</v>
      </c>
      <c r="JN8" s="18">
        <v>0.58256470393437898</v>
      </c>
      <c r="JO8" s="18">
        <f t="shared" si="46"/>
        <v>0.41743529606562102</v>
      </c>
      <c r="JP8" s="336" t="s">
        <v>597</v>
      </c>
      <c r="JQ8" s="18">
        <v>0.66247459137945697</v>
      </c>
      <c r="JT8" s="336" t="s">
        <v>597</v>
      </c>
      <c r="JU8" s="18">
        <v>0.50404565549281399</v>
      </c>
      <c r="JW8" s="336" t="s">
        <v>597</v>
      </c>
      <c r="JX8" s="18">
        <v>0.38718098289001301</v>
      </c>
      <c r="JZ8" s="336" t="s">
        <v>597</v>
      </c>
      <c r="KA8" s="18">
        <v>0.70200018564972599</v>
      </c>
      <c r="KC8" s="336" t="s">
        <v>597</v>
      </c>
      <c r="KD8" s="18">
        <v>0.693796700720128</v>
      </c>
      <c r="KE8" s="68" t="s">
        <v>528</v>
      </c>
      <c r="KF8" s="347">
        <v>4.2599999999999999E-2</v>
      </c>
      <c r="KG8" s="347">
        <v>3.8699999999999998E-2</v>
      </c>
      <c r="KH8" s="347">
        <f t="shared" si="47"/>
        <v>4.0649999999999999E-2</v>
      </c>
      <c r="KI8" s="348">
        <v>8.14E-2</v>
      </c>
      <c r="KJ8" s="348">
        <v>6.2E-2</v>
      </c>
      <c r="KK8" s="348">
        <f t="shared" si="48"/>
        <v>7.17E-2</v>
      </c>
      <c r="KL8" s="347">
        <f t="shared" si="49"/>
        <v>3.1050000000000001E-2</v>
      </c>
      <c r="KM8" s="347">
        <f t="shared" si="50"/>
        <v>1.7638376383763839</v>
      </c>
      <c r="KN8" s="354">
        <f t="shared" si="10"/>
        <v>5.6418376383763835</v>
      </c>
      <c r="KO8" s="18">
        <f t="shared" si="51"/>
        <v>0.75142058380945509</v>
      </c>
      <c r="KP8" s="18">
        <v>0.75142058380945509</v>
      </c>
      <c r="KQ8" s="340">
        <v>11</v>
      </c>
      <c r="KR8" s="18">
        <v>1.9999999999999997E-2</v>
      </c>
      <c r="KS8" s="18">
        <v>1.9999999999999997E-2</v>
      </c>
      <c r="KT8" s="18">
        <v>1.9999999999999997E-2</v>
      </c>
      <c r="KU8" s="18">
        <v>0.01</v>
      </c>
      <c r="KV8" s="18">
        <v>0</v>
      </c>
      <c r="KW8" s="18">
        <v>1.1428571428571429E-2</v>
      </c>
      <c r="KX8" s="18">
        <v>0.02</v>
      </c>
      <c r="KY8" s="18">
        <v>4.3333333333333328E-2</v>
      </c>
      <c r="KZ8" s="18">
        <v>0.02</v>
      </c>
      <c r="LA8" s="18">
        <v>1.3333333333333332E-2</v>
      </c>
      <c r="LB8" s="18">
        <v>0.02</v>
      </c>
      <c r="LC8" s="358" t="s">
        <v>628</v>
      </c>
      <c r="LD8" s="358">
        <v>8.5</v>
      </c>
      <c r="LE8" s="358">
        <v>0</v>
      </c>
      <c r="LF8" s="358">
        <v>1</v>
      </c>
      <c r="LG8" s="358">
        <v>12</v>
      </c>
      <c r="LH8" s="358">
        <v>-0.5</v>
      </c>
      <c r="LI8" s="358">
        <v>0</v>
      </c>
      <c r="LJ8" s="144">
        <v>0.08</v>
      </c>
      <c r="LK8" s="158" t="s">
        <v>528</v>
      </c>
      <c r="LL8" s="68">
        <v>0.46929999999999999</v>
      </c>
      <c r="LM8" s="5">
        <v>0.47560000000000002</v>
      </c>
      <c r="LN8" s="5">
        <f t="shared" si="52"/>
        <v>0.47245000000000004</v>
      </c>
      <c r="LO8" s="5">
        <v>0.52749999999999997</v>
      </c>
      <c r="LP8" s="5">
        <v>0.52910000000000001</v>
      </c>
      <c r="LQ8" s="80">
        <f t="shared" si="53"/>
        <v>0.52829999999999999</v>
      </c>
      <c r="LR8" s="77">
        <f t="shared" si="54"/>
        <v>-5.5849999999999955E-2</v>
      </c>
      <c r="LS8" s="68">
        <v>9.8206000000000007</v>
      </c>
      <c r="LT8" s="5">
        <v>9.9916999999999998</v>
      </c>
      <c r="LU8" s="5">
        <f t="shared" si="55"/>
        <v>9.9061500000000002</v>
      </c>
      <c r="LV8" s="5">
        <v>17.1663</v>
      </c>
      <c r="LW8" s="5">
        <v>17.659700000000001</v>
      </c>
      <c r="LX8" s="80">
        <f t="shared" si="56"/>
        <v>17.413</v>
      </c>
      <c r="LY8" s="77">
        <f t="shared" si="57"/>
        <v>-7.50685</v>
      </c>
      <c r="LZ8" s="68">
        <v>1.0628</v>
      </c>
      <c r="MA8" s="5">
        <v>1.0465</v>
      </c>
      <c r="MB8" s="5">
        <f>AVERAGE(LZ8:MA8)</f>
        <v>1.0546500000000001</v>
      </c>
      <c r="MC8" s="5">
        <v>0.97719999999999996</v>
      </c>
      <c r="MD8" s="5">
        <v>0.99619999999999997</v>
      </c>
      <c r="ME8" s="80">
        <f>AVERAGE(MC8:MD8)</f>
        <v>0.98669999999999991</v>
      </c>
      <c r="MF8" s="77">
        <f t="shared" si="58"/>
        <v>6.7950000000000177E-2</v>
      </c>
      <c r="MG8" s="68">
        <v>0.2276</v>
      </c>
      <c r="MH8" s="5">
        <v>0.2495</v>
      </c>
      <c r="MI8" s="5">
        <f>AVERAGE(MG8:MH8)</f>
        <v>0.23854999999999998</v>
      </c>
      <c r="MJ8" s="5">
        <v>0.35930000000000001</v>
      </c>
      <c r="MK8" s="5">
        <v>0.35210000000000002</v>
      </c>
      <c r="ML8" s="80">
        <f>AVERAGE(MJ8:MK8)</f>
        <v>0.35570000000000002</v>
      </c>
      <c r="MM8" s="77">
        <f t="shared" si="59"/>
        <v>-0.11715000000000003</v>
      </c>
      <c r="MO8" s="5">
        <v>-2.3798406550000002</v>
      </c>
      <c r="MP8" s="5">
        <v>0.35322746189999998</v>
      </c>
      <c r="MQ8" s="5">
        <v>1.031002492</v>
      </c>
      <c r="MR8" s="5">
        <v>2.3863939410000001</v>
      </c>
      <c r="MS8" s="292">
        <v>1.6664677139999999</v>
      </c>
      <c r="MT8" s="18">
        <v>-2.3296673989999999</v>
      </c>
      <c r="MU8" s="18">
        <v>3.9697657780000002</v>
      </c>
      <c r="MV8" s="18">
        <v>1.7819216870000001</v>
      </c>
      <c r="MW8" s="18">
        <v>3.013891256</v>
      </c>
    </row>
    <row r="9" spans="1:361" ht="15.75" customHeight="1" thickBot="1" x14ac:dyDescent="0.25">
      <c r="A9" s="3" t="s">
        <v>6</v>
      </c>
      <c r="B9" s="5">
        <v>0</v>
      </c>
      <c r="C9" s="5">
        <v>10</v>
      </c>
      <c r="D9" s="5">
        <v>33</v>
      </c>
      <c r="E9" s="5">
        <v>77</v>
      </c>
      <c r="F9" s="5">
        <v>53</v>
      </c>
      <c r="G9" s="18">
        <v>38</v>
      </c>
      <c r="H9" s="18">
        <v>79</v>
      </c>
      <c r="I9" s="5">
        <v>16</v>
      </c>
      <c r="J9" s="5">
        <v>112</v>
      </c>
      <c r="K9" s="5">
        <v>79</v>
      </c>
      <c r="L9" s="5">
        <v>119</v>
      </c>
      <c r="M9" s="5">
        <v>70</v>
      </c>
      <c r="N9" s="5">
        <v>135</v>
      </c>
      <c r="O9" s="5">
        <v>8.5</v>
      </c>
      <c r="P9" s="5">
        <v>-9</v>
      </c>
      <c r="Q9" s="5">
        <v>3</v>
      </c>
      <c r="R9" s="5">
        <v>6</v>
      </c>
      <c r="S9" s="5">
        <v>10</v>
      </c>
      <c r="T9" s="18">
        <v>7</v>
      </c>
      <c r="U9" s="5">
        <v>-6</v>
      </c>
      <c r="V9" s="5">
        <v>30</v>
      </c>
      <c r="W9" s="5">
        <v>10</v>
      </c>
      <c r="X9" s="5">
        <v>-9</v>
      </c>
      <c r="Y9" s="5">
        <v>9</v>
      </c>
      <c r="Z9" s="93">
        <v>0.122783402631579</v>
      </c>
      <c r="AA9" s="88">
        <v>11.5</v>
      </c>
      <c r="AB9" s="68">
        <v>86</v>
      </c>
      <c r="AC9" s="5">
        <v>87</v>
      </c>
      <c r="AD9" s="5">
        <v>93</v>
      </c>
      <c r="AE9" s="80">
        <v>89</v>
      </c>
      <c r="AF9" s="179">
        <v>-9</v>
      </c>
      <c r="AG9" s="154">
        <v>-5</v>
      </c>
      <c r="AH9" s="154">
        <v>-2</v>
      </c>
      <c r="AI9" s="154">
        <v>-6</v>
      </c>
      <c r="AJ9" s="68">
        <v>77</v>
      </c>
      <c r="AK9" s="5">
        <v>82</v>
      </c>
      <c r="AL9" s="5">
        <v>91</v>
      </c>
      <c r="AM9" s="80">
        <v>83</v>
      </c>
      <c r="AN9" s="68">
        <v>86</v>
      </c>
      <c r="AO9" s="5">
        <v>87</v>
      </c>
      <c r="AP9" s="5">
        <v>93</v>
      </c>
      <c r="AQ9" s="80">
        <v>89</v>
      </c>
      <c r="AR9" s="68">
        <v>77</v>
      </c>
      <c r="AS9" s="5">
        <v>82</v>
      </c>
      <c r="AT9" s="5">
        <v>91</v>
      </c>
      <c r="AU9" s="80">
        <v>83</v>
      </c>
      <c r="AV9" s="179">
        <f t="shared" si="11"/>
        <v>-9</v>
      </c>
      <c r="AW9" s="154">
        <f t="shared" si="0"/>
        <v>-5</v>
      </c>
      <c r="AX9" s="154">
        <f t="shared" si="0"/>
        <v>-2</v>
      </c>
      <c r="AY9" s="185">
        <f t="shared" si="0"/>
        <v>-6</v>
      </c>
      <c r="AZ9" s="9">
        <v>1.0813953488372092</v>
      </c>
      <c r="BA9" s="77">
        <v>-0.10042283298097265</v>
      </c>
      <c r="BB9" s="18">
        <v>1.0116279069767442</v>
      </c>
      <c r="BC9" s="77">
        <v>-5.3307157958320639E-2</v>
      </c>
      <c r="BD9" s="154">
        <v>0.75</v>
      </c>
      <c r="BE9" s="144">
        <v>0.8</v>
      </c>
      <c r="BF9" s="5">
        <v>3</v>
      </c>
      <c r="BG9" s="5">
        <v>-9</v>
      </c>
      <c r="BK9" s="18" t="s">
        <v>6</v>
      </c>
      <c r="BL9" s="18">
        <v>1</v>
      </c>
      <c r="BM9" s="18">
        <v>0</v>
      </c>
      <c r="BN9" s="18">
        <v>1</v>
      </c>
      <c r="BO9" s="18">
        <v>4</v>
      </c>
      <c r="BP9" s="18">
        <v>5</v>
      </c>
      <c r="BQ9" s="138" t="s">
        <v>476</v>
      </c>
      <c r="BR9" s="138">
        <v>-2.23665441930417E-27</v>
      </c>
      <c r="BS9" s="138" t="s">
        <v>477</v>
      </c>
      <c r="BT9" s="138">
        <v>-1.03756657236054E-27</v>
      </c>
      <c r="BU9" s="138">
        <f t="shared" si="12"/>
        <v>-1.6371104958323551E-27</v>
      </c>
      <c r="BW9" s="18">
        <v>0.9</v>
      </c>
      <c r="BX9" s="18">
        <v>0.41</v>
      </c>
      <c r="BY9" s="18">
        <f t="shared" si="13"/>
        <v>0.49000000000000005</v>
      </c>
      <c r="BZ9" s="3">
        <v>0.79600000000000004</v>
      </c>
      <c r="CA9" s="18">
        <v>0.33666666666666667</v>
      </c>
      <c r="CB9" s="18">
        <v>0.83333333333333337</v>
      </c>
      <c r="CC9" s="18">
        <v>0.36000000000000004</v>
      </c>
      <c r="CD9" s="18">
        <v>0.48</v>
      </c>
      <c r="CE9" s="18">
        <v>6.5714285714285711E-2</v>
      </c>
      <c r="CF9" s="18">
        <v>0.02</v>
      </c>
      <c r="CG9" s="18">
        <v>0.98999999999999988</v>
      </c>
      <c r="CH9" s="18">
        <v>0.94</v>
      </c>
      <c r="CI9" s="18">
        <v>0.18666666666666668</v>
      </c>
      <c r="CJ9" s="18">
        <v>0.53333333333333333</v>
      </c>
      <c r="CY9" s="18">
        <v>-0.21150513730000001</v>
      </c>
      <c r="DA9" s="68"/>
      <c r="DB9" s="5"/>
      <c r="DC9" s="5"/>
      <c r="DD9" s="80"/>
      <c r="DE9" s="68"/>
      <c r="DF9" s="5"/>
      <c r="DG9" s="5"/>
      <c r="DH9" s="80"/>
      <c r="DI9" s="68"/>
      <c r="DJ9" s="5"/>
      <c r="DK9" s="5"/>
      <c r="DL9" s="80"/>
      <c r="DN9" s="68"/>
      <c r="DO9" s="5"/>
      <c r="DP9" s="5"/>
      <c r="DQ9" s="3"/>
      <c r="DR9" s="68"/>
      <c r="DS9" s="5"/>
      <c r="DT9" s="5"/>
      <c r="DU9" s="3"/>
      <c r="DY9" s="3"/>
      <c r="ED9" s="3"/>
      <c r="EH9" s="3"/>
      <c r="EL9" s="3"/>
      <c r="EN9" s="195" t="s">
        <v>476</v>
      </c>
      <c r="EO9" s="196">
        <v>24.485005336328701</v>
      </c>
      <c r="EP9" s="195" t="s">
        <v>477</v>
      </c>
      <c r="EQ9" s="196">
        <v>28.048564351254001</v>
      </c>
      <c r="ER9" s="196">
        <f t="shared" si="14"/>
        <v>26.266784843791349</v>
      </c>
      <c r="ES9" s="18">
        <v>6</v>
      </c>
      <c r="ET9" s="18">
        <v>2</v>
      </c>
      <c r="EU9" s="18">
        <v>6</v>
      </c>
      <c r="EV9" s="18">
        <v>-2</v>
      </c>
      <c r="EW9" s="18">
        <v>1</v>
      </c>
      <c r="EX9" s="18">
        <v>0</v>
      </c>
      <c r="EY9" s="18">
        <v>13</v>
      </c>
      <c r="EZ9" s="222"/>
      <c r="FA9" s="222"/>
      <c r="FB9" s="310">
        <v>7</v>
      </c>
      <c r="FC9" s="5">
        <v>77</v>
      </c>
      <c r="FD9" s="18">
        <v>38</v>
      </c>
      <c r="FE9" s="340">
        <v>11.5</v>
      </c>
      <c r="FF9" s="18">
        <v>0.79600000000000004</v>
      </c>
      <c r="FG9" s="18">
        <v>0.33666666666666667</v>
      </c>
      <c r="FH9" s="18">
        <v>0.83333333333333337</v>
      </c>
      <c r="FI9" s="18">
        <v>0.36000000000000004</v>
      </c>
      <c r="FJ9" s="18">
        <v>0.48</v>
      </c>
      <c r="FK9" s="18">
        <v>6.5714285714285711E-2</v>
      </c>
      <c r="FL9" s="18">
        <v>0.02</v>
      </c>
      <c r="FM9" s="18">
        <v>0.98999999999999988</v>
      </c>
      <c r="FN9" s="18">
        <v>0.94</v>
      </c>
      <c r="FO9" s="18">
        <v>0.18666666666666668</v>
      </c>
      <c r="FP9" s="18">
        <v>0.53333333333333333</v>
      </c>
      <c r="FQ9" s="322">
        <v>3</v>
      </c>
      <c r="FR9" s="5">
        <v>-6</v>
      </c>
      <c r="FS9" s="5">
        <v>9</v>
      </c>
      <c r="FT9" s="259">
        <v>0.79600000000000004</v>
      </c>
      <c r="FU9" s="72">
        <v>0.33666666666666667</v>
      </c>
      <c r="FV9" s="260">
        <v>0.83333333333333337</v>
      </c>
      <c r="FW9" s="261">
        <v>0.36000000000000004</v>
      </c>
      <c r="FX9" s="154">
        <v>0.48</v>
      </c>
      <c r="FY9" s="262">
        <v>6.5714285714285711E-2</v>
      </c>
      <c r="FZ9" s="263">
        <v>0.02</v>
      </c>
      <c r="GA9" s="264">
        <v>0.98999999999999988</v>
      </c>
      <c r="GB9" s="265">
        <v>0.94</v>
      </c>
      <c r="GC9" s="266">
        <v>0.18666666666666668</v>
      </c>
      <c r="GD9" s="267">
        <v>0.53333333333333333</v>
      </c>
      <c r="GE9" s="222"/>
      <c r="GF9" s="18">
        <v>6</v>
      </c>
      <c r="GG9" s="18">
        <v>2</v>
      </c>
      <c r="GH9" s="18">
        <v>6</v>
      </c>
      <c r="GI9" s="18">
        <v>-2</v>
      </c>
      <c r="GJ9" s="18">
        <v>1</v>
      </c>
      <c r="GK9" s="18">
        <v>0</v>
      </c>
      <c r="GL9" s="18">
        <v>13</v>
      </c>
      <c r="GN9" s="5">
        <v>112</v>
      </c>
      <c r="GO9" s="5">
        <v>79</v>
      </c>
      <c r="GP9" s="5">
        <v>119</v>
      </c>
      <c r="GQ9" s="5">
        <v>70</v>
      </c>
      <c r="GR9" s="5">
        <v>135</v>
      </c>
      <c r="GS9" s="144">
        <v>0.8</v>
      </c>
      <c r="GT9" s="222"/>
      <c r="GU9" s="222"/>
      <c r="GV9" s="373"/>
      <c r="GW9" s="79"/>
      <c r="GY9" s="222"/>
      <c r="GZ9" s="222"/>
      <c r="HA9" s="373"/>
      <c r="HB9" s="222"/>
      <c r="HC9" s="222"/>
      <c r="HD9" s="222"/>
      <c r="HE9" s="373"/>
      <c r="HF9" s="222"/>
      <c r="HG9" s="222"/>
      <c r="HH9" s="222"/>
      <c r="HI9" s="373"/>
      <c r="HJ9" s="222"/>
      <c r="HK9" s="79"/>
      <c r="HL9" s="79"/>
      <c r="HM9" s="373"/>
      <c r="HN9" s="79"/>
      <c r="HQ9" s="3"/>
      <c r="HU9" s="3"/>
      <c r="HY9" s="3"/>
      <c r="IC9" s="3">
        <f t="shared" si="31"/>
        <v>0</v>
      </c>
      <c r="IG9" s="3"/>
      <c r="IK9" s="3"/>
      <c r="IO9" s="3"/>
      <c r="IS9" s="3"/>
      <c r="IW9" s="3"/>
      <c r="JA9" s="3"/>
      <c r="JD9" s="18">
        <v>26.266784843791349</v>
      </c>
      <c r="JE9" s="18">
        <f t="shared" si="45"/>
        <v>0.26266784843791346</v>
      </c>
      <c r="JF9" s="18">
        <v>7</v>
      </c>
      <c r="JG9" s="338" t="s">
        <v>598</v>
      </c>
      <c r="JH9" s="138">
        <v>0.80543339894481802</v>
      </c>
      <c r="JI9" s="138"/>
      <c r="JJ9" s="338" t="s">
        <v>598</v>
      </c>
      <c r="JK9" s="138">
        <v>0.54469395132778797</v>
      </c>
      <c r="JL9" s="138"/>
      <c r="JM9" s="338" t="s">
        <v>598</v>
      </c>
      <c r="JN9" s="138">
        <v>0.23074434095395399</v>
      </c>
      <c r="JO9" s="18">
        <f t="shared" si="46"/>
        <v>0.76925565904604598</v>
      </c>
      <c r="JP9" s="338" t="s">
        <v>598</v>
      </c>
      <c r="JQ9" s="138">
        <v>0.43312696368429598</v>
      </c>
      <c r="JR9" s="138"/>
      <c r="JS9" s="138"/>
      <c r="JT9" s="338" t="s">
        <v>598</v>
      </c>
      <c r="JU9" s="138">
        <v>0.64500412182759004</v>
      </c>
      <c r="JV9" s="138"/>
      <c r="JW9" s="338" t="s">
        <v>598</v>
      </c>
      <c r="JX9" s="138">
        <v>0.50617146685065695</v>
      </c>
      <c r="JY9" s="138"/>
      <c r="JZ9" s="338" t="s">
        <v>598</v>
      </c>
      <c r="KA9" s="138">
        <v>0.25729225902945702</v>
      </c>
      <c r="KB9" s="138"/>
      <c r="KC9" s="338" t="s">
        <v>598</v>
      </c>
      <c r="KD9" s="138">
        <v>0.47799712935375999</v>
      </c>
      <c r="KE9" s="107"/>
      <c r="KF9" s="349"/>
      <c r="KG9" s="349"/>
      <c r="KH9" s="349"/>
      <c r="KI9" s="349"/>
      <c r="KJ9" s="349"/>
      <c r="KK9" s="349"/>
      <c r="KL9" s="349"/>
      <c r="KM9" s="349"/>
      <c r="KN9" s="355"/>
      <c r="KO9" s="145"/>
      <c r="KP9" s="145"/>
      <c r="KQ9" s="340">
        <v>11.5</v>
      </c>
      <c r="KR9" s="18">
        <v>0.79600000000000004</v>
      </c>
      <c r="KS9" s="18">
        <v>0.33666666666666667</v>
      </c>
      <c r="KT9" s="18">
        <v>0.83333333333333337</v>
      </c>
      <c r="KU9" s="18">
        <v>0.36000000000000004</v>
      </c>
      <c r="KV9" s="18">
        <v>0.48</v>
      </c>
      <c r="KW9" s="18">
        <v>6.5714285714285711E-2</v>
      </c>
      <c r="KX9" s="18">
        <v>0.02</v>
      </c>
      <c r="KY9" s="18">
        <v>0.98999999999999988</v>
      </c>
      <c r="KZ9" s="18">
        <v>0.94</v>
      </c>
      <c r="LA9" s="18">
        <v>0.18666666666666668</v>
      </c>
      <c r="LB9" s="18">
        <v>0.53333333333333333</v>
      </c>
      <c r="LC9" s="358" t="s">
        <v>629</v>
      </c>
      <c r="LD9" s="358">
        <v>11.5</v>
      </c>
      <c r="LE9" s="358">
        <v>7</v>
      </c>
      <c r="LF9" s="358">
        <v>4.5</v>
      </c>
      <c r="LG9" s="358">
        <v>18.5</v>
      </c>
      <c r="LH9" s="358">
        <v>17.5</v>
      </c>
      <c r="LI9" s="358">
        <v>10</v>
      </c>
      <c r="LJ9" s="144">
        <v>0.8</v>
      </c>
      <c r="LK9" s="145"/>
      <c r="LL9" s="107"/>
      <c r="LM9" s="108"/>
      <c r="LN9" s="5"/>
      <c r="LO9" s="108"/>
      <c r="LP9" s="108"/>
      <c r="LQ9" s="80"/>
      <c r="LR9" s="77"/>
      <c r="LS9" s="107"/>
      <c r="LT9" s="108"/>
      <c r="LU9" s="5"/>
      <c r="LV9" s="108"/>
      <c r="LW9" s="108"/>
      <c r="LX9" s="80"/>
      <c r="LY9" s="77"/>
      <c r="LZ9" s="107"/>
      <c r="MA9" s="108"/>
      <c r="MB9" s="5"/>
      <c r="MC9" s="108"/>
      <c r="MD9" s="108"/>
      <c r="ME9" s="80"/>
      <c r="MF9" s="77"/>
      <c r="MG9" s="107"/>
      <c r="MH9" s="108"/>
      <c r="MI9" s="5"/>
      <c r="MJ9" s="108"/>
      <c r="MK9" s="108"/>
      <c r="ML9" s="80"/>
      <c r="MM9" s="77"/>
    </row>
    <row r="10" spans="1:361" s="6" customFormat="1" ht="15.75" customHeight="1" thickBot="1" x14ac:dyDescent="0.25">
      <c r="A10" s="4" t="s">
        <v>7</v>
      </c>
      <c r="B10" s="6">
        <v>1</v>
      </c>
      <c r="C10" s="6">
        <v>3</v>
      </c>
      <c r="D10" s="6">
        <v>33</v>
      </c>
      <c r="E10" s="6">
        <v>57</v>
      </c>
      <c r="F10" s="6">
        <v>52</v>
      </c>
      <c r="G10" s="24">
        <v>36</v>
      </c>
      <c r="H10" s="222">
        <v>75</v>
      </c>
      <c r="I10" s="6">
        <v>15</v>
      </c>
      <c r="J10" s="6">
        <v>128</v>
      </c>
      <c r="K10" s="6">
        <v>125</v>
      </c>
      <c r="L10" s="6">
        <v>108</v>
      </c>
      <c r="M10" s="6">
        <v>66</v>
      </c>
      <c r="N10" s="6">
        <v>132</v>
      </c>
      <c r="O10" s="6">
        <v>14</v>
      </c>
      <c r="P10" s="6">
        <v>-7</v>
      </c>
      <c r="Q10" s="314" t="s">
        <v>267</v>
      </c>
      <c r="R10" s="6">
        <v>-1</v>
      </c>
      <c r="S10" s="6">
        <v>17</v>
      </c>
      <c r="T10" s="6">
        <v>4</v>
      </c>
      <c r="U10" s="6">
        <v>1</v>
      </c>
      <c r="V10" s="6">
        <v>-6</v>
      </c>
      <c r="W10" s="6">
        <v>3</v>
      </c>
      <c r="X10" s="6">
        <v>20</v>
      </c>
      <c r="Y10" s="6">
        <v>7</v>
      </c>
      <c r="Z10" s="315"/>
      <c r="AA10" s="316"/>
      <c r="AB10" s="317"/>
      <c r="AC10" s="318"/>
      <c r="AD10" s="318"/>
      <c r="AE10" s="319"/>
      <c r="AF10" s="190"/>
      <c r="AG10" s="136"/>
      <c r="AH10" s="136"/>
      <c r="AI10" s="136"/>
      <c r="AJ10" s="317"/>
      <c r="AK10" s="318"/>
      <c r="AL10" s="318"/>
      <c r="AM10" s="319"/>
      <c r="AN10" s="317"/>
      <c r="AO10" s="318"/>
      <c r="AP10" s="318"/>
      <c r="AQ10" s="319"/>
      <c r="AR10" s="317"/>
      <c r="AS10" s="318"/>
      <c r="AT10" s="318"/>
      <c r="AU10" s="319"/>
      <c r="AV10" s="190"/>
      <c r="AW10" s="136"/>
      <c r="AX10" s="136"/>
      <c r="AY10" s="189"/>
      <c r="AZ10" s="8"/>
      <c r="BA10" s="136"/>
      <c r="BC10" s="136"/>
      <c r="BD10" s="136">
        <v>1</v>
      </c>
      <c r="BE10" s="150">
        <v>1</v>
      </c>
      <c r="BF10" s="314" t="s">
        <v>267</v>
      </c>
      <c r="BG10" s="6">
        <v>-7</v>
      </c>
      <c r="BK10" s="6" t="s">
        <v>7</v>
      </c>
      <c r="BL10" s="6">
        <v>0</v>
      </c>
      <c r="BM10" s="6">
        <v>1</v>
      </c>
      <c r="BN10" s="6">
        <v>0</v>
      </c>
      <c r="BO10" s="6">
        <v>1</v>
      </c>
      <c r="BP10" s="6">
        <v>2</v>
      </c>
      <c r="BQ10" s="147"/>
      <c r="BR10" s="147"/>
      <c r="BS10" s="147"/>
      <c r="BT10" s="147"/>
      <c r="BU10" s="147"/>
      <c r="BV10" s="320"/>
      <c r="BW10" s="6">
        <v>1</v>
      </c>
      <c r="BX10" s="6">
        <v>0.28999999165500001</v>
      </c>
      <c r="BY10" s="6">
        <f t="shared" si="13"/>
        <v>0.71000000834499999</v>
      </c>
      <c r="BZ10" s="4">
        <v>0.78200000000000003</v>
      </c>
      <c r="CA10" s="6">
        <v>0.39999999999999997</v>
      </c>
      <c r="CB10" s="6">
        <v>0.62666666666666659</v>
      </c>
      <c r="CC10" s="6">
        <v>0.5</v>
      </c>
      <c r="CD10" s="6">
        <v>0.68333333333333324</v>
      </c>
      <c r="CE10" s="6">
        <v>0.37285714285714283</v>
      </c>
      <c r="CF10" s="6">
        <v>0.73499999999999999</v>
      </c>
      <c r="CG10" s="6">
        <v>0.91999999999999993</v>
      </c>
      <c r="CH10" s="6">
        <v>0.93</v>
      </c>
      <c r="CI10" s="6">
        <v>0.8933333333333332</v>
      </c>
      <c r="CJ10" s="6">
        <v>0.39999999999999997</v>
      </c>
      <c r="CY10" s="18">
        <v>-0.1061128311</v>
      </c>
      <c r="DA10" s="67"/>
      <c r="DD10" s="7"/>
      <c r="DE10" s="67"/>
      <c r="DH10" s="7"/>
      <c r="DI10" s="67"/>
      <c r="DL10" s="7"/>
      <c r="DN10" s="67"/>
      <c r="DQ10" s="4"/>
      <c r="DR10" s="67"/>
      <c r="DU10" s="4"/>
      <c r="DY10" s="4"/>
      <c r="ED10" s="4"/>
      <c r="EH10" s="4"/>
      <c r="EL10" s="4"/>
      <c r="EN10" s="191"/>
      <c r="EO10" s="192"/>
      <c r="EP10" s="191"/>
      <c r="EQ10" s="192"/>
      <c r="ER10" s="192"/>
      <c r="ES10" s="6">
        <v>15</v>
      </c>
      <c r="ET10" s="6">
        <v>11</v>
      </c>
      <c r="EU10" s="6">
        <v>27</v>
      </c>
      <c r="EV10" s="6">
        <v>-3</v>
      </c>
      <c r="EW10" s="6">
        <v>5</v>
      </c>
      <c r="EX10" s="6">
        <v>16</v>
      </c>
      <c r="EY10" s="6">
        <v>71</v>
      </c>
      <c r="EZ10" s="320"/>
      <c r="FA10" s="320"/>
      <c r="FB10" s="321">
        <v>8</v>
      </c>
      <c r="FC10" s="237">
        <v>57</v>
      </c>
      <c r="FD10" s="237">
        <v>36</v>
      </c>
      <c r="FE10" s="341"/>
      <c r="FF10" s="6">
        <v>0.66800000199999998</v>
      </c>
      <c r="FG10" s="6">
        <v>0.3399999993333333</v>
      </c>
      <c r="FH10" s="6">
        <v>0.60000000033333323</v>
      </c>
      <c r="FI10" s="6">
        <v>0.48000000066666665</v>
      </c>
      <c r="FJ10" s="6">
        <v>0.50666666133333327</v>
      </c>
      <c r="FK10" s="6">
        <v>0.24857142542857141</v>
      </c>
      <c r="FL10" s="6">
        <v>0.65833333133333327</v>
      </c>
      <c r="FM10" s="6">
        <v>0.81666666833333323</v>
      </c>
      <c r="FN10" s="6">
        <v>0.42666665999999998</v>
      </c>
      <c r="FO10" s="6">
        <v>0.58999999633333322</v>
      </c>
      <c r="FP10" s="6">
        <v>0.38666666666666666</v>
      </c>
      <c r="FQ10" s="323" t="s">
        <v>267</v>
      </c>
      <c r="FR10" s="6">
        <v>1</v>
      </c>
      <c r="FS10" s="6">
        <v>7</v>
      </c>
      <c r="FT10" s="282">
        <v>0.78200000000000003</v>
      </c>
      <c r="FU10" s="71">
        <v>0.39999999999999997</v>
      </c>
      <c r="FV10" s="142">
        <v>0.62666666666666659</v>
      </c>
      <c r="FW10" s="147">
        <v>0.5</v>
      </c>
      <c r="FX10" s="136">
        <v>0.68333333333333324</v>
      </c>
      <c r="FY10" s="135">
        <v>0.37285714285714283</v>
      </c>
      <c r="FZ10" s="148">
        <v>0.73499999999999999</v>
      </c>
      <c r="GA10" s="149">
        <v>0.91999999999999993</v>
      </c>
      <c r="GB10" s="150">
        <v>0.93</v>
      </c>
      <c r="GC10" s="141">
        <v>0.8933333333333332</v>
      </c>
      <c r="GD10" s="283">
        <v>0.39999999999999997</v>
      </c>
      <c r="GE10" s="320"/>
      <c r="GF10" s="6">
        <v>15</v>
      </c>
      <c r="GG10" s="6">
        <v>11</v>
      </c>
      <c r="GH10" s="6">
        <v>27</v>
      </c>
      <c r="GI10" s="6">
        <v>-3</v>
      </c>
      <c r="GJ10" s="6">
        <v>5</v>
      </c>
      <c r="GK10" s="6">
        <v>16</v>
      </c>
      <c r="GL10" s="6">
        <v>71</v>
      </c>
      <c r="GN10" s="6">
        <v>128</v>
      </c>
      <c r="GO10" s="6">
        <v>125</v>
      </c>
      <c r="GP10" s="6">
        <v>108</v>
      </c>
      <c r="GQ10" s="6">
        <v>66</v>
      </c>
      <c r="GR10" s="6">
        <v>132</v>
      </c>
      <c r="GS10" s="150">
        <v>1</v>
      </c>
      <c r="GT10" s="320"/>
      <c r="GU10" s="320"/>
      <c r="GV10" s="373"/>
      <c r="GW10" s="79"/>
      <c r="GX10" s="18"/>
      <c r="GY10" s="320"/>
      <c r="GZ10" s="320"/>
      <c r="HA10" s="373"/>
      <c r="HB10" s="222"/>
      <c r="HC10" s="320"/>
      <c r="HD10" s="320"/>
      <c r="HE10" s="373"/>
      <c r="HF10" s="222"/>
      <c r="HG10" s="320"/>
      <c r="HH10" s="320"/>
      <c r="HI10" s="373"/>
      <c r="HJ10" s="222"/>
      <c r="HK10" s="79"/>
      <c r="HL10" s="79"/>
      <c r="HM10" s="374"/>
      <c r="HN10" s="79"/>
      <c r="HQ10" s="3"/>
      <c r="HR10" s="18"/>
      <c r="HU10" s="3"/>
      <c r="HV10" s="18"/>
      <c r="HY10" s="3"/>
      <c r="HZ10" s="18"/>
      <c r="IC10" s="3">
        <f t="shared" si="31"/>
        <v>0</v>
      </c>
      <c r="ID10" s="18"/>
      <c r="IG10" s="3"/>
      <c r="IH10" s="18"/>
      <c r="IK10" s="3"/>
      <c r="IL10" s="18"/>
      <c r="IO10" s="3"/>
      <c r="IP10" s="18"/>
      <c r="IS10" s="3"/>
      <c r="IT10" s="18"/>
      <c r="IW10" s="3"/>
      <c r="IX10" s="18"/>
      <c r="JA10" s="3"/>
      <c r="JB10" s="18"/>
      <c r="JC10" s="18"/>
      <c r="JE10" s="18"/>
      <c r="JF10" s="337">
        <v>8</v>
      </c>
      <c r="JG10" s="147"/>
      <c r="JH10" s="147"/>
      <c r="JI10" s="147"/>
      <c r="JJ10" s="147"/>
      <c r="JK10" s="147"/>
      <c r="JL10" s="147"/>
      <c r="JM10" s="147"/>
      <c r="JN10" s="147"/>
      <c r="JO10" s="18"/>
      <c r="JP10" s="147"/>
      <c r="JQ10" s="147"/>
      <c r="JR10" s="147"/>
      <c r="JS10" s="147"/>
      <c r="JT10" s="147"/>
      <c r="JU10" s="147"/>
      <c r="JV10" s="147"/>
      <c r="JW10" s="147"/>
      <c r="JX10" s="147"/>
      <c r="JY10" s="147"/>
      <c r="JZ10" s="147"/>
      <c r="KA10" s="147"/>
      <c r="KB10" s="147"/>
      <c r="KC10" s="147"/>
      <c r="KD10" s="147"/>
      <c r="KE10" s="350"/>
      <c r="KF10" s="342"/>
      <c r="KG10" s="342"/>
      <c r="KH10" s="349"/>
      <c r="KI10" s="342"/>
      <c r="KJ10" s="342"/>
      <c r="KK10" s="349"/>
      <c r="KL10" s="349"/>
      <c r="KM10" s="349"/>
      <c r="KN10" s="355"/>
      <c r="KO10" s="145"/>
      <c r="KP10" s="145"/>
      <c r="KQ10" s="341"/>
      <c r="KR10" s="6">
        <v>0.66800000199999998</v>
      </c>
      <c r="KS10" s="6">
        <v>0.3399999993333333</v>
      </c>
      <c r="KT10" s="6">
        <v>0.60000000033333323</v>
      </c>
      <c r="KU10" s="6">
        <v>0.48000000066666665</v>
      </c>
      <c r="KV10" s="6">
        <v>0.50666666133333327</v>
      </c>
      <c r="KW10" s="6">
        <v>0.24857142542857141</v>
      </c>
      <c r="KX10" s="6">
        <v>0.65833333133333327</v>
      </c>
      <c r="KY10" s="6">
        <v>0.81666666833333323</v>
      </c>
      <c r="KZ10" s="6">
        <v>0.42666665999999998</v>
      </c>
      <c r="LA10" s="6">
        <v>0.58999999633333322</v>
      </c>
      <c r="LB10" s="6">
        <v>0.38666666666666666</v>
      </c>
      <c r="LC10" s="358" t="s">
        <v>630</v>
      </c>
      <c r="LD10" s="358" t="s">
        <v>217</v>
      </c>
      <c r="LE10" s="358"/>
      <c r="LF10" s="358"/>
      <c r="LG10" s="358"/>
      <c r="LH10" s="358"/>
      <c r="LI10" s="358"/>
      <c r="LJ10" s="150">
        <v>1</v>
      </c>
      <c r="LK10" s="364"/>
      <c r="LL10" s="350"/>
      <c r="LM10" s="364"/>
      <c r="LN10" s="5"/>
      <c r="LO10" s="364"/>
      <c r="LP10" s="364"/>
      <c r="LQ10" s="80"/>
      <c r="LR10" s="77"/>
      <c r="LS10" s="350"/>
      <c r="LT10" s="364"/>
      <c r="LU10" s="5"/>
      <c r="LV10" s="364"/>
      <c r="LW10" s="364"/>
      <c r="LX10" s="80"/>
      <c r="LY10" s="77"/>
      <c r="LZ10" s="350"/>
      <c r="MA10" s="364"/>
      <c r="MB10" s="5"/>
      <c r="MC10" s="364"/>
      <c r="MD10" s="364"/>
      <c r="ME10" s="80"/>
      <c r="MF10" s="77"/>
      <c r="MG10" s="350"/>
      <c r="MH10" s="364"/>
      <c r="MI10" s="5"/>
      <c r="MJ10" s="364"/>
      <c r="MK10" s="364"/>
      <c r="ML10" s="80"/>
      <c r="MM10" s="77"/>
    </row>
    <row r="11" spans="1:361" ht="15.75" customHeight="1" thickBot="1" x14ac:dyDescent="0.25">
      <c r="A11" s="3" t="s">
        <v>8</v>
      </c>
      <c r="B11" s="5">
        <v>0</v>
      </c>
      <c r="C11" s="5">
        <v>1</v>
      </c>
      <c r="D11" s="5">
        <v>26</v>
      </c>
      <c r="E11" s="5">
        <v>59</v>
      </c>
      <c r="F11" s="5">
        <v>54</v>
      </c>
      <c r="G11" s="18">
        <v>25</v>
      </c>
      <c r="H11" s="24">
        <v>117</v>
      </c>
      <c r="I11" s="5">
        <v>18</v>
      </c>
      <c r="J11" s="5">
        <v>160</v>
      </c>
      <c r="K11" s="5">
        <v>72</v>
      </c>
      <c r="L11" s="5">
        <v>92</v>
      </c>
      <c r="M11" s="5">
        <v>61</v>
      </c>
      <c r="N11" s="5">
        <v>166</v>
      </c>
      <c r="O11" s="5">
        <v>7</v>
      </c>
      <c r="P11" s="5">
        <v>-1</v>
      </c>
      <c r="Q11" s="5">
        <v>0</v>
      </c>
      <c r="R11" s="5">
        <v>1</v>
      </c>
      <c r="S11" s="5">
        <v>8</v>
      </c>
      <c r="T11" s="18">
        <v>7</v>
      </c>
      <c r="U11" s="5">
        <v>-1</v>
      </c>
      <c r="V11" s="5">
        <v>3</v>
      </c>
      <c r="W11" s="5">
        <v>11</v>
      </c>
      <c r="X11" s="5">
        <v>-8</v>
      </c>
      <c r="Y11" s="5">
        <v>1</v>
      </c>
      <c r="Z11" s="92">
        <v>-3.7704547368421E-2</v>
      </c>
      <c r="AA11" s="88">
        <v>14.5</v>
      </c>
      <c r="AB11" s="68">
        <v>84</v>
      </c>
      <c r="AC11" s="5">
        <v>77</v>
      </c>
      <c r="AD11" s="5">
        <v>108</v>
      </c>
      <c r="AE11" s="80">
        <v>90</v>
      </c>
      <c r="AF11" s="179">
        <v>4</v>
      </c>
      <c r="AG11" s="154">
        <v>7</v>
      </c>
      <c r="AH11" s="154">
        <v>-8</v>
      </c>
      <c r="AI11" s="154">
        <v>1</v>
      </c>
      <c r="AJ11" s="68">
        <v>88</v>
      </c>
      <c r="AK11" s="5">
        <v>84</v>
      </c>
      <c r="AL11" s="5">
        <v>100</v>
      </c>
      <c r="AM11" s="80">
        <v>91</v>
      </c>
      <c r="AN11" s="68">
        <v>84</v>
      </c>
      <c r="AO11" s="5">
        <v>77</v>
      </c>
      <c r="AP11" s="5">
        <v>108</v>
      </c>
      <c r="AQ11" s="80">
        <v>90</v>
      </c>
      <c r="AR11" s="68">
        <v>88</v>
      </c>
      <c r="AS11" s="5">
        <v>84</v>
      </c>
      <c r="AT11" s="5">
        <v>100</v>
      </c>
      <c r="AU11" s="80">
        <v>91</v>
      </c>
      <c r="AV11" s="179">
        <f t="shared" si="11"/>
        <v>4</v>
      </c>
      <c r="AW11" s="154">
        <f t="shared" si="0"/>
        <v>7</v>
      </c>
      <c r="AX11" s="154">
        <f t="shared" si="0"/>
        <v>-8</v>
      </c>
      <c r="AY11" s="185">
        <f t="shared" si="0"/>
        <v>1</v>
      </c>
      <c r="AZ11" s="9">
        <v>1.2857142857142858</v>
      </c>
      <c r="BA11" s="77">
        <v>0.14935064935064934</v>
      </c>
      <c r="BB11" s="18">
        <v>0.91666666666666663</v>
      </c>
      <c r="BC11" s="77">
        <v>-3.7878787878787956E-2</v>
      </c>
      <c r="BD11" s="154">
        <v>1</v>
      </c>
      <c r="BE11" s="144">
        <v>0.25</v>
      </c>
      <c r="BF11" s="5">
        <v>0</v>
      </c>
      <c r="BG11" s="5">
        <v>-1</v>
      </c>
      <c r="BK11" s="18" t="s">
        <v>8</v>
      </c>
      <c r="BL11" s="18">
        <v>0</v>
      </c>
      <c r="BM11" s="18">
        <v>0</v>
      </c>
      <c r="BN11" s="18">
        <v>1</v>
      </c>
      <c r="BO11" s="18">
        <v>1</v>
      </c>
      <c r="BP11" s="18">
        <v>2</v>
      </c>
      <c r="BQ11" s="138" t="s">
        <v>478</v>
      </c>
      <c r="BR11" s="138">
        <v>-1.8204670589212401E-28</v>
      </c>
      <c r="BS11" s="138" t="s">
        <v>479</v>
      </c>
      <c r="BT11" s="138">
        <v>-3.0624075809420199E-28</v>
      </c>
      <c r="BU11" s="138">
        <f t="shared" si="12"/>
        <v>-2.44143731993163E-28</v>
      </c>
      <c r="BW11" s="18">
        <v>1</v>
      </c>
      <c r="BX11" s="18">
        <v>0.30000001192100001</v>
      </c>
      <c r="BY11" s="18">
        <f t="shared" si="13"/>
        <v>0.69999998807899999</v>
      </c>
      <c r="BZ11" s="3">
        <v>0.18800000020000002</v>
      </c>
      <c r="CA11" s="18">
        <v>6.6666666666666671E-3</v>
      </c>
      <c r="CB11" s="18">
        <v>0.29000000133333331</v>
      </c>
      <c r="CC11" s="18">
        <v>0.52999999133333331</v>
      </c>
      <c r="CD11" s="18">
        <v>0.66666666666666663</v>
      </c>
      <c r="CE11" s="18">
        <v>2.4285714571428575E-2</v>
      </c>
      <c r="CF11" s="18">
        <v>0</v>
      </c>
      <c r="CG11" s="18">
        <v>0.45333333799999997</v>
      </c>
      <c r="CH11" s="18">
        <v>1</v>
      </c>
      <c r="CI11" s="18">
        <v>0.72999999933333337</v>
      </c>
      <c r="CJ11" s="18">
        <v>0.54000000166666673</v>
      </c>
      <c r="CK11" s="285" t="s">
        <v>529</v>
      </c>
      <c r="CL11" s="18">
        <v>1.468671265</v>
      </c>
      <c r="CM11" s="18">
        <v>-3.0254243939999999</v>
      </c>
      <c r="CN11" s="18">
        <v>-0.20431877879999999</v>
      </c>
      <c r="CO11" s="18">
        <v>-0.16001067660000001</v>
      </c>
      <c r="CP11" s="18">
        <v>5.5733252490000003E-2</v>
      </c>
      <c r="CQ11" s="18">
        <v>-0.16547764279999999</v>
      </c>
      <c r="CR11" s="18">
        <v>-0.13979975659999999</v>
      </c>
      <c r="CS11" s="18">
        <v>-0.18530570190000001</v>
      </c>
      <c r="CT11" s="18">
        <v>-0.27851456330000002</v>
      </c>
      <c r="CY11" s="18">
        <v>-0.38697662319999998</v>
      </c>
      <c r="CZ11" s="285" t="s">
        <v>529</v>
      </c>
      <c r="DA11" s="68">
        <v>11.497704349999999</v>
      </c>
      <c r="DB11" s="5">
        <v>13.30867402</v>
      </c>
      <c r="DC11" s="5">
        <v>14.96476354</v>
      </c>
      <c r="DD11" s="80">
        <f>AVERAGE(DA11,DC11)</f>
        <v>13.231233945</v>
      </c>
      <c r="DE11" s="68">
        <v>10.47452399</v>
      </c>
      <c r="DF11" s="5">
        <v>11.16413972</v>
      </c>
      <c r="DG11" s="5">
        <v>12.45880094</v>
      </c>
      <c r="DH11" s="80">
        <f>AVERAGE(DE11,DG11)</f>
        <v>11.466662464999999</v>
      </c>
      <c r="DI11" s="151">
        <f t="shared" ref="DI11:DL15" si="61">DE11-DA11</f>
        <v>-1.0231803599999996</v>
      </c>
      <c r="DJ11" s="24">
        <f t="shared" si="61"/>
        <v>-2.1445343000000001</v>
      </c>
      <c r="DK11" s="294">
        <f t="shared" si="61"/>
        <v>-2.5059626000000002</v>
      </c>
      <c r="DL11" s="244">
        <f t="shared" si="61"/>
        <v>-1.7645714800000007</v>
      </c>
      <c r="DM11" s="295" t="s">
        <v>529</v>
      </c>
      <c r="DN11" s="68">
        <v>2.3381888019999999</v>
      </c>
      <c r="DO11" s="5">
        <v>2.8519991689999999</v>
      </c>
      <c r="DP11" s="5">
        <v>2.8182886960000002</v>
      </c>
      <c r="DQ11" s="3">
        <f>AVERAGE(DN11,DP11)</f>
        <v>2.5782387490000001</v>
      </c>
      <c r="DR11" s="68">
        <v>3.4219476109999998</v>
      </c>
      <c r="DS11" s="5">
        <v>2.8031716649999998</v>
      </c>
      <c r="DT11" s="5">
        <v>4.4861837580000001</v>
      </c>
      <c r="DU11" s="3">
        <f>AVERAGE(DR11,DT11)</f>
        <v>3.9540656844999997</v>
      </c>
      <c r="DV11" s="24">
        <f t="shared" ref="DV11:DY15" si="62">DR11-DN11</f>
        <v>1.0837588089999999</v>
      </c>
      <c r="DW11" s="24">
        <f t="shared" si="62"/>
        <v>-4.8827504000000133E-2</v>
      </c>
      <c r="DX11" s="24">
        <f t="shared" si="62"/>
        <v>1.6678950619999999</v>
      </c>
      <c r="DY11" s="188">
        <f t="shared" si="62"/>
        <v>1.3758269354999997</v>
      </c>
      <c r="DZ11" s="295" t="s">
        <v>529</v>
      </c>
      <c r="EA11" s="18">
        <v>5.3950692499999997</v>
      </c>
      <c r="EB11" s="18">
        <v>8.1937316649999996</v>
      </c>
      <c r="EC11" s="18">
        <v>7.6361723870000002</v>
      </c>
      <c r="ED11" s="3">
        <f>AVERAGE(EA11,EC11)</f>
        <v>6.5156208185000004</v>
      </c>
      <c r="EE11" s="18">
        <v>4.6469136730000002</v>
      </c>
      <c r="EF11" s="18">
        <v>4.3288625280000002</v>
      </c>
      <c r="EG11" s="18">
        <v>4.5756612199999998</v>
      </c>
      <c r="EH11" s="3">
        <f>AVERAGE(EE11,EG11)</f>
        <v>4.6112874465000004</v>
      </c>
      <c r="EI11" s="24">
        <f t="shared" ref="EI11:EL15" si="63">EE11-EA11</f>
        <v>-0.74815557699999946</v>
      </c>
      <c r="EJ11" s="24">
        <f t="shared" si="63"/>
        <v>-3.8648691369999995</v>
      </c>
      <c r="EK11" s="24">
        <f t="shared" si="63"/>
        <v>-3.0605111670000005</v>
      </c>
      <c r="EL11" s="188">
        <f t="shared" si="63"/>
        <v>-1.904333372</v>
      </c>
      <c r="EM11" s="295" t="s">
        <v>529</v>
      </c>
      <c r="EN11" s="151" t="s">
        <v>478</v>
      </c>
      <c r="EO11" s="244">
        <v>89.845520028504495</v>
      </c>
      <c r="EP11" s="151" t="s">
        <v>479</v>
      </c>
      <c r="EQ11" s="244">
        <v>69.162383818088998</v>
      </c>
      <c r="ER11" s="244">
        <f t="shared" si="14"/>
        <v>79.503951923296739</v>
      </c>
      <c r="ES11" s="18">
        <v>2</v>
      </c>
      <c r="ET11" s="18">
        <v>7</v>
      </c>
      <c r="EU11" s="18">
        <v>9</v>
      </c>
      <c r="EV11" s="18">
        <v>1</v>
      </c>
      <c r="EW11" s="18">
        <v>2</v>
      </c>
      <c r="EX11" s="18">
        <v>0</v>
      </c>
      <c r="EY11" s="18">
        <v>21</v>
      </c>
      <c r="EZ11" s="5">
        <v>-3.0254243939999999</v>
      </c>
      <c r="FA11" s="18">
        <v>-17.072279242539452</v>
      </c>
      <c r="FB11" s="310">
        <v>9</v>
      </c>
      <c r="FC11" s="5">
        <v>59</v>
      </c>
      <c r="FD11" s="18">
        <v>25</v>
      </c>
      <c r="FE11" s="340">
        <v>14.5</v>
      </c>
      <c r="FF11" s="18">
        <v>0.18800000020000002</v>
      </c>
      <c r="FG11" s="18">
        <v>6.6666666666666671E-3</v>
      </c>
      <c r="FH11" s="18">
        <v>0.29000000133333331</v>
      </c>
      <c r="FI11" s="18">
        <v>0.52999999133333331</v>
      </c>
      <c r="FJ11" s="18">
        <v>0.66666666666666663</v>
      </c>
      <c r="FK11" s="18">
        <v>2.4285714571428575E-2</v>
      </c>
      <c r="FL11" s="18">
        <v>0</v>
      </c>
      <c r="FM11" s="18">
        <v>0.45333333799999997</v>
      </c>
      <c r="FN11" s="18">
        <v>1</v>
      </c>
      <c r="FO11" s="18">
        <v>0.72999999933333337</v>
      </c>
      <c r="FP11" s="18">
        <v>0.54000000166666673</v>
      </c>
      <c r="FQ11" s="322">
        <v>0</v>
      </c>
      <c r="FR11" s="5">
        <v>-1</v>
      </c>
      <c r="FS11" s="5">
        <v>1</v>
      </c>
      <c r="FT11" s="259">
        <v>0.18800000020000002</v>
      </c>
      <c r="FU11" s="72">
        <v>6.6666666666666671E-3</v>
      </c>
      <c r="FV11" s="260">
        <v>0.29000000133333331</v>
      </c>
      <c r="FW11" s="261">
        <v>0.52999999133333331</v>
      </c>
      <c r="FX11" s="154">
        <v>0.66666666666666663</v>
      </c>
      <c r="FY11" s="262">
        <v>2.4285714571428575E-2</v>
      </c>
      <c r="FZ11" s="263">
        <v>0</v>
      </c>
      <c r="GA11" s="264">
        <v>0.45333333799999997</v>
      </c>
      <c r="GB11" s="265">
        <v>1</v>
      </c>
      <c r="GC11" s="266">
        <v>0.72999999933333337</v>
      </c>
      <c r="GD11" s="267">
        <v>0.54000000166666673</v>
      </c>
      <c r="GE11" s="5">
        <v>-3.0254243939999999</v>
      </c>
      <c r="GF11" s="18">
        <v>2</v>
      </c>
      <c r="GG11" s="18">
        <v>7</v>
      </c>
      <c r="GH11" s="18">
        <v>9</v>
      </c>
      <c r="GI11" s="18">
        <v>1</v>
      </c>
      <c r="GJ11" s="18">
        <v>2</v>
      </c>
      <c r="GK11" s="18">
        <v>0</v>
      </c>
      <c r="GL11" s="18">
        <v>21</v>
      </c>
      <c r="GN11" s="5">
        <v>160</v>
      </c>
      <c r="GO11" s="5">
        <v>72</v>
      </c>
      <c r="GP11" s="5">
        <v>92</v>
      </c>
      <c r="GQ11" s="5">
        <v>61</v>
      </c>
      <c r="GR11" s="5">
        <v>166</v>
      </c>
      <c r="GS11" s="144">
        <v>0.25</v>
      </c>
      <c r="GT11" s="18">
        <v>93.466999999999999</v>
      </c>
      <c r="GU11" s="18">
        <v>80.575500000000005</v>
      </c>
      <c r="GV11" s="3">
        <f t="shared" si="15"/>
        <v>12.891499999999994</v>
      </c>
      <c r="GW11" s="5">
        <f t="shared" si="16"/>
        <v>1.1599928017821795</v>
      </c>
      <c r="GX11" s="18">
        <f t="shared" si="17"/>
        <v>6.4455294264868068E-2</v>
      </c>
      <c r="GY11" s="18">
        <v>78.631500000000003</v>
      </c>
      <c r="GZ11" s="18">
        <v>70.873199999999997</v>
      </c>
      <c r="HA11" s="3">
        <f t="shared" si="18"/>
        <v>7.7583000000000055</v>
      </c>
      <c r="HB11" s="18">
        <f t="shared" si="19"/>
        <v>1.1094673303872269</v>
      </c>
      <c r="HC11" s="18">
        <v>92.334199999999996</v>
      </c>
      <c r="HD11" s="18">
        <v>85.747200000000007</v>
      </c>
      <c r="HE11" s="3">
        <f t="shared" si="20"/>
        <v>6.5869999999999891</v>
      </c>
      <c r="HF11" s="18">
        <f t="shared" si="21"/>
        <v>1.0768188349007313</v>
      </c>
      <c r="HG11" s="18">
        <v>41.701700000000002</v>
      </c>
      <c r="HH11" s="18">
        <v>56.959499999999998</v>
      </c>
      <c r="HI11" s="3">
        <f t="shared" si="22"/>
        <v>-15.257799999999996</v>
      </c>
      <c r="HJ11" s="18">
        <f t="shared" si="23"/>
        <v>0.73212896882872924</v>
      </c>
      <c r="HK11" s="5">
        <v>113.14400000000001</v>
      </c>
      <c r="HL11" s="5">
        <v>92.5745</v>
      </c>
      <c r="HM11" s="3">
        <f t="shared" si="24"/>
        <v>20.569500000000005</v>
      </c>
      <c r="HN11" s="5">
        <f t="shared" si="60"/>
        <v>1.2221940167108654</v>
      </c>
      <c r="HO11" s="18">
        <v>61.835500000000003</v>
      </c>
      <c r="HP11" s="18">
        <v>52.742800000000003</v>
      </c>
      <c r="HQ11" s="3">
        <f t="shared" si="25"/>
        <v>9.0927000000000007</v>
      </c>
      <c r="HR11" s="18">
        <f t="shared" si="26"/>
        <v>1.1723969906792966</v>
      </c>
      <c r="HS11" s="18">
        <v>63.552300000000002</v>
      </c>
      <c r="HT11" s="18">
        <v>56.298499999999997</v>
      </c>
      <c r="HU11" s="3">
        <f t="shared" si="27"/>
        <v>7.2538000000000054</v>
      </c>
      <c r="HV11" s="18">
        <f t="shared" si="28"/>
        <v>1.1288453511194794</v>
      </c>
      <c r="HW11" s="18">
        <v>60.647500000000001</v>
      </c>
      <c r="HX11" s="18">
        <v>55.482300000000002</v>
      </c>
      <c r="HY11" s="3">
        <f t="shared" si="29"/>
        <v>5.1651999999999987</v>
      </c>
      <c r="HZ11" s="18">
        <f t="shared" si="30"/>
        <v>1.0930963568561505</v>
      </c>
      <c r="IA11" s="18">
        <v>52.150199999999998</v>
      </c>
      <c r="IB11" s="18">
        <v>45.530099999999997</v>
      </c>
      <c r="IC11" s="3">
        <f t="shared" si="31"/>
        <v>6.6201000000000008</v>
      </c>
      <c r="ID11" s="18">
        <f t="shared" si="32"/>
        <v>1.1454005152635289</v>
      </c>
      <c r="IE11" s="18">
        <v>43.303800000000003</v>
      </c>
      <c r="IF11" s="18">
        <v>50.890300000000003</v>
      </c>
      <c r="IG11" s="3">
        <f t="shared" si="33"/>
        <v>-7.5865000000000009</v>
      </c>
      <c r="IH11" s="18">
        <f t="shared" si="34"/>
        <v>0.85092443943148299</v>
      </c>
      <c r="II11" s="18">
        <v>65.724999999999994</v>
      </c>
      <c r="IJ11" s="18">
        <v>59.487699999999997</v>
      </c>
      <c r="IK11" s="3">
        <f t="shared" si="35"/>
        <v>6.2372999999999976</v>
      </c>
      <c r="IL11" s="18">
        <f t="shared" si="36"/>
        <v>1.1048502463534478</v>
      </c>
      <c r="IM11" s="18">
        <v>84.295299999999997</v>
      </c>
      <c r="IN11" s="18">
        <v>79.565799999999996</v>
      </c>
      <c r="IO11" s="3">
        <f t="shared" si="37"/>
        <v>4.7295000000000016</v>
      </c>
      <c r="IP11" s="18">
        <f t="shared" si="38"/>
        <v>1.0594413680249555</v>
      </c>
      <c r="IQ11" s="18">
        <v>56.403500000000001</v>
      </c>
      <c r="IR11" s="18">
        <v>50.467500000000001</v>
      </c>
      <c r="IS11" s="3">
        <f t="shared" si="39"/>
        <v>5.9359999999999999</v>
      </c>
      <c r="IT11" s="18">
        <f t="shared" si="40"/>
        <v>1.1176202506563631</v>
      </c>
      <c r="IU11" s="18">
        <v>62.968800000000002</v>
      </c>
      <c r="IV11" s="18">
        <v>54.052</v>
      </c>
      <c r="IW11" s="3">
        <f t="shared" si="41"/>
        <v>8.9168000000000021</v>
      </c>
      <c r="IX11" s="18">
        <f t="shared" si="42"/>
        <v>1.1649670687486124</v>
      </c>
      <c r="IY11" s="18">
        <v>70.757499999999993</v>
      </c>
      <c r="IZ11" s="18">
        <v>61.775500000000001</v>
      </c>
      <c r="JA11" s="3">
        <f t="shared" si="43"/>
        <v>8.9819999999999922</v>
      </c>
      <c r="JB11" s="18">
        <f t="shared" si="44"/>
        <v>1.1453974472080355</v>
      </c>
      <c r="JC11" s="18">
        <f>LOG(HN11)</f>
        <v>8.7140153286757074E-2</v>
      </c>
      <c r="JD11" s="18">
        <v>79.503951923296739</v>
      </c>
      <c r="JE11" s="18">
        <f t="shared" si="45"/>
        <v>0.79503951923296734</v>
      </c>
      <c r="JG11" s="336" t="s">
        <v>599</v>
      </c>
      <c r="JH11" s="18">
        <v>0.52955631006998105</v>
      </c>
      <c r="JJ11" s="336" t="s">
        <v>599</v>
      </c>
      <c r="JK11" s="18">
        <v>0.444742717221358</v>
      </c>
      <c r="JM11" s="336" t="s">
        <v>599</v>
      </c>
      <c r="JN11" s="18">
        <v>0.57132012192061998</v>
      </c>
      <c r="JO11" s="18">
        <f t="shared" si="46"/>
        <v>0.42867987807938002</v>
      </c>
      <c r="JP11" s="336" t="s">
        <v>599</v>
      </c>
      <c r="JQ11" s="18">
        <v>0.66814086301810804</v>
      </c>
      <c r="JT11" s="336" t="s">
        <v>599</v>
      </c>
      <c r="JU11" s="18">
        <v>0.57568601175968503</v>
      </c>
      <c r="JW11" s="336" t="s">
        <v>599</v>
      </c>
      <c r="JX11" s="18">
        <v>0.61226929492436</v>
      </c>
      <c r="JZ11" s="336" t="s">
        <v>599</v>
      </c>
      <c r="KA11" s="18">
        <v>0.78780867342828897</v>
      </c>
      <c r="KC11" s="336" t="s">
        <v>599</v>
      </c>
      <c r="KD11" s="18">
        <v>0.80135305576066596</v>
      </c>
      <c r="KE11" s="68" t="s">
        <v>529</v>
      </c>
      <c r="KF11" s="347">
        <v>3.5999999999999999E-3</v>
      </c>
      <c r="KG11" s="347">
        <v>-1.09E-2</v>
      </c>
      <c r="KH11" s="347">
        <f t="shared" si="47"/>
        <v>-3.65E-3</v>
      </c>
      <c r="KI11" s="348">
        <v>1.15E-2</v>
      </c>
      <c r="KJ11" s="348">
        <v>1.6799999999999999E-2</v>
      </c>
      <c r="KK11" s="348">
        <f t="shared" si="48"/>
        <v>1.4149999999999999E-2</v>
      </c>
      <c r="KL11" s="347">
        <f t="shared" si="49"/>
        <v>1.78E-2</v>
      </c>
      <c r="KM11" s="347">
        <f t="shared" si="50"/>
        <v>-3.8767123287671232</v>
      </c>
      <c r="KN11" s="354">
        <f>KM11+3.878</f>
        <v>1.2876712328768747E-3</v>
      </c>
      <c r="KO11" s="18">
        <f t="shared" si="51"/>
        <v>-2.8901950065207025</v>
      </c>
      <c r="KP11" s="145"/>
      <c r="KQ11" s="340">
        <v>14.5</v>
      </c>
      <c r="KR11" s="18">
        <v>0.18800000020000002</v>
      </c>
      <c r="KS11" s="18">
        <v>6.6666666666666671E-3</v>
      </c>
      <c r="KT11" s="18">
        <v>0.29000000133333331</v>
      </c>
      <c r="KU11" s="18">
        <v>0.52999999133333331</v>
      </c>
      <c r="KV11" s="18">
        <v>0.66666666666666663</v>
      </c>
      <c r="KW11" s="18">
        <v>2.4285714571428575E-2</v>
      </c>
      <c r="KX11" s="18">
        <v>0</v>
      </c>
      <c r="KY11" s="18">
        <v>0.45333333799999997</v>
      </c>
      <c r="KZ11" s="18">
        <v>1</v>
      </c>
      <c r="LA11" s="18">
        <v>0.72999999933333337</v>
      </c>
      <c r="LB11" s="18">
        <v>0.54000000166666673</v>
      </c>
      <c r="LC11" s="358" t="s">
        <v>631</v>
      </c>
      <c r="LD11" s="358">
        <v>14.5</v>
      </c>
      <c r="LE11" s="358">
        <v>17</v>
      </c>
      <c r="LF11" s="358">
        <v>17</v>
      </c>
      <c r="LG11" s="358">
        <v>5.5</v>
      </c>
      <c r="LH11" s="358">
        <v>10</v>
      </c>
      <c r="LI11" s="358">
        <v>6</v>
      </c>
      <c r="LJ11" s="144">
        <v>0.25</v>
      </c>
      <c r="LK11" s="158" t="s">
        <v>529</v>
      </c>
      <c r="LL11" s="68">
        <v>0.4834</v>
      </c>
      <c r="LM11" s="5">
        <v>0.4914</v>
      </c>
      <c r="LN11" s="5">
        <f t="shared" si="52"/>
        <v>0.4874</v>
      </c>
      <c r="LO11" s="5">
        <v>0.51880000000000004</v>
      </c>
      <c r="LP11" s="5">
        <v>0.53449999999999998</v>
      </c>
      <c r="LQ11" s="80">
        <f t="shared" si="53"/>
        <v>0.52665000000000006</v>
      </c>
      <c r="LR11" s="77">
        <f t="shared" si="54"/>
        <v>-3.9250000000000063E-2</v>
      </c>
      <c r="LS11" s="68">
        <v>9.5755999999999997</v>
      </c>
      <c r="LT11" s="5">
        <v>11.264099999999999</v>
      </c>
      <c r="LU11" s="5">
        <f t="shared" si="55"/>
        <v>10.41985</v>
      </c>
      <c r="LV11" s="5">
        <v>12.825900000000001</v>
      </c>
      <c r="LW11" s="5">
        <v>14.8575</v>
      </c>
      <c r="LX11" s="80">
        <f t="shared" si="56"/>
        <v>13.841699999999999</v>
      </c>
      <c r="LY11" s="77">
        <f t="shared" si="57"/>
        <v>-3.4218499999999992</v>
      </c>
      <c r="LZ11" s="68">
        <v>1.0619000000000001</v>
      </c>
      <c r="MA11" s="5">
        <v>1.0507</v>
      </c>
      <c r="MB11" s="5">
        <f>AVERAGE(LZ11:MA11)</f>
        <v>1.0563</v>
      </c>
      <c r="MC11" s="5">
        <v>0.98640000000000005</v>
      </c>
      <c r="MD11" s="5">
        <v>0.97729999999999995</v>
      </c>
      <c r="ME11" s="80">
        <f>AVERAGE(MC11:MD11)</f>
        <v>0.98185</v>
      </c>
      <c r="MF11" s="77">
        <f t="shared" si="58"/>
        <v>7.4450000000000016E-2</v>
      </c>
      <c r="MG11" s="68">
        <v>0.27960000000000002</v>
      </c>
      <c r="MH11" s="5">
        <v>0.30570000000000003</v>
      </c>
      <c r="MI11" s="5">
        <f>AVERAGE(MG11:MH11)</f>
        <v>0.29265000000000002</v>
      </c>
      <c r="MJ11" s="5">
        <v>0.38840000000000002</v>
      </c>
      <c r="MK11" s="5">
        <v>0.438</v>
      </c>
      <c r="ML11" s="80">
        <f>AVERAGE(MJ11:MK11)</f>
        <v>0.41320000000000001</v>
      </c>
      <c r="MM11" s="77">
        <f t="shared" si="59"/>
        <v>-0.12054999999999999</v>
      </c>
      <c r="MO11" s="5">
        <v>-1.717963288</v>
      </c>
      <c r="MP11" s="5">
        <v>3.823484439</v>
      </c>
      <c r="MQ11" s="5">
        <v>3.1657128330000002</v>
      </c>
      <c r="MR11" s="5">
        <v>1.8575094400000001</v>
      </c>
      <c r="MS11" s="292">
        <v>2.5532704329999998</v>
      </c>
      <c r="MT11" s="18">
        <v>-3.0254243939999999</v>
      </c>
      <c r="MU11" s="18">
        <v>2.397657095</v>
      </c>
      <c r="MV11" s="18">
        <v>4.2232056470000003</v>
      </c>
      <c r="MW11" s="18">
        <v>3.1952437950000001</v>
      </c>
    </row>
    <row r="12" spans="1:361" ht="16.5" customHeight="1" thickBot="1" x14ac:dyDescent="0.25">
      <c r="A12" s="3" t="s">
        <v>9</v>
      </c>
      <c r="B12" s="5">
        <v>0</v>
      </c>
      <c r="C12" s="5">
        <v>5</v>
      </c>
      <c r="D12" s="5">
        <v>29</v>
      </c>
      <c r="E12" s="5">
        <v>19</v>
      </c>
      <c r="F12" s="5">
        <v>44</v>
      </c>
      <c r="G12" s="18">
        <v>40</v>
      </c>
      <c r="H12" s="24">
        <v>118</v>
      </c>
      <c r="I12" s="5">
        <v>15</v>
      </c>
      <c r="J12" s="5">
        <v>106</v>
      </c>
      <c r="K12" s="5">
        <v>118</v>
      </c>
      <c r="L12" s="5">
        <v>101</v>
      </c>
      <c r="M12" s="5">
        <v>78</v>
      </c>
      <c r="N12" s="5">
        <v>109</v>
      </c>
      <c r="O12" s="5">
        <v>2.5</v>
      </c>
      <c r="P12" s="5">
        <v>-10</v>
      </c>
      <c r="Q12" s="5">
        <v>2</v>
      </c>
      <c r="R12" s="5">
        <v>2</v>
      </c>
      <c r="S12" s="5">
        <v>14</v>
      </c>
      <c r="T12" s="18">
        <v>2</v>
      </c>
      <c r="U12" s="5">
        <v>-2</v>
      </c>
      <c r="V12" s="5">
        <v>9</v>
      </c>
      <c r="W12" s="5">
        <v>10</v>
      </c>
      <c r="X12" s="5">
        <v>5</v>
      </c>
      <c r="Y12" s="5">
        <v>10</v>
      </c>
      <c r="Z12" s="92">
        <v>4.3502402631579E-2</v>
      </c>
      <c r="AA12" s="88">
        <v>11</v>
      </c>
      <c r="AB12" s="68">
        <v>95</v>
      </c>
      <c r="AC12" s="5">
        <v>90</v>
      </c>
      <c r="AD12" s="5">
        <v>103</v>
      </c>
      <c r="AE12" s="80">
        <v>96</v>
      </c>
      <c r="AF12" s="179">
        <v>0</v>
      </c>
      <c r="AG12" s="154">
        <v>-2</v>
      </c>
      <c r="AH12" s="154">
        <v>9</v>
      </c>
      <c r="AI12" s="154">
        <v>2</v>
      </c>
      <c r="AJ12" s="68">
        <v>95</v>
      </c>
      <c r="AK12" s="5">
        <v>88</v>
      </c>
      <c r="AL12" s="5">
        <v>112</v>
      </c>
      <c r="AM12" s="80">
        <v>98</v>
      </c>
      <c r="AN12" s="68">
        <v>95</v>
      </c>
      <c r="AO12" s="5">
        <v>90</v>
      </c>
      <c r="AP12" s="5">
        <v>103</v>
      </c>
      <c r="AQ12" s="80">
        <v>96</v>
      </c>
      <c r="AR12" s="68">
        <v>95</v>
      </c>
      <c r="AS12" s="5">
        <v>88</v>
      </c>
      <c r="AT12" s="5">
        <v>112</v>
      </c>
      <c r="AU12" s="80">
        <v>98</v>
      </c>
      <c r="AV12" s="179">
        <f t="shared" si="11"/>
        <v>0</v>
      </c>
      <c r="AW12" s="154">
        <f t="shared" si="0"/>
        <v>-2</v>
      </c>
      <c r="AX12" s="154">
        <f t="shared" si="0"/>
        <v>9</v>
      </c>
      <c r="AY12" s="185">
        <f t="shared" si="0"/>
        <v>2</v>
      </c>
      <c r="AZ12" s="9">
        <v>1.0842105263157895</v>
      </c>
      <c r="BA12" s="77">
        <v>-9.4736842105263008E-2</v>
      </c>
      <c r="BB12" s="18">
        <v>0.94736842105263153</v>
      </c>
      <c r="BC12" s="77">
        <v>2.1052631578947323E-2</v>
      </c>
      <c r="BD12" s="154">
        <v>0.97</v>
      </c>
      <c r="BE12" s="144">
        <v>0</v>
      </c>
      <c r="BF12" s="5">
        <v>2</v>
      </c>
      <c r="BG12" s="5">
        <v>-10</v>
      </c>
      <c r="BK12" s="18" t="s">
        <v>9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38" t="s">
        <v>480</v>
      </c>
      <c r="BR12" s="138">
        <v>4.9383535401985099E-27</v>
      </c>
      <c r="BS12" s="138" t="s">
        <v>481</v>
      </c>
      <c r="BT12" s="138">
        <v>4.7310489295057099E-27</v>
      </c>
      <c r="BU12" s="138">
        <f t="shared" si="12"/>
        <v>4.8347012348521102E-27</v>
      </c>
      <c r="BW12" s="18">
        <v>1</v>
      </c>
      <c r="BX12" s="18">
        <v>0</v>
      </c>
      <c r="BY12" s="18">
        <f t="shared" si="13"/>
        <v>1</v>
      </c>
      <c r="BZ12" s="3">
        <v>0.16200000000000001</v>
      </c>
      <c r="CA12" s="18">
        <v>0.10666666666666667</v>
      </c>
      <c r="CB12" s="18">
        <v>0.11333333333333333</v>
      </c>
      <c r="CC12" s="18">
        <v>7.0000000000000007E-2</v>
      </c>
      <c r="CD12" s="18">
        <v>0.67333333333333334</v>
      </c>
      <c r="CE12" s="18">
        <v>0.63428571428571423</v>
      </c>
      <c r="CF12" s="18">
        <v>0.25333333333333335</v>
      </c>
      <c r="CG12" s="18">
        <v>0.42333333333333334</v>
      </c>
      <c r="CH12" s="18">
        <v>0.96333333333333326</v>
      </c>
      <c r="CI12" s="18">
        <v>0.03</v>
      </c>
      <c r="CJ12" s="18">
        <v>0.15666666666666665</v>
      </c>
      <c r="CK12" s="296" t="s">
        <v>530</v>
      </c>
      <c r="CL12" s="18">
        <v>1.0856230659999999</v>
      </c>
      <c r="CM12" s="18">
        <v>-1.202560635</v>
      </c>
      <c r="CN12" s="18">
        <v>-0.73623574599999997</v>
      </c>
      <c r="CO12" s="18">
        <v>-0.46553508230000001</v>
      </c>
      <c r="CP12" s="18">
        <v>-0.54200883030000002</v>
      </c>
      <c r="CQ12" s="18">
        <v>-0.29437390720000001</v>
      </c>
      <c r="CR12" s="18">
        <v>-0.40736839229999999</v>
      </c>
      <c r="CS12" s="18">
        <v>-6.0932764340000001E-2</v>
      </c>
      <c r="CT12" s="18">
        <v>-0.47228327040000001</v>
      </c>
      <c r="CY12" s="18">
        <v>0.273186333</v>
      </c>
      <c r="CZ12" s="296" t="s">
        <v>530</v>
      </c>
      <c r="DA12" s="68">
        <v>13.627632589999999</v>
      </c>
      <c r="DB12" s="5">
        <v>11.987173200000001</v>
      </c>
      <c r="DC12" s="5">
        <v>18.56488328</v>
      </c>
      <c r="DD12" s="80">
        <f>AVERAGE(DA12,DC12)</f>
        <v>16.096257935000001</v>
      </c>
      <c r="DE12" s="68">
        <v>8.5172163310000002</v>
      </c>
      <c r="DF12" s="5">
        <v>8.3996779470000007</v>
      </c>
      <c r="DG12" s="5">
        <v>9.2746390099999996</v>
      </c>
      <c r="DH12" s="80">
        <f>AVERAGE(DE12,DG12)</f>
        <v>8.8959276705000008</v>
      </c>
      <c r="DI12" s="151">
        <f t="shared" si="61"/>
        <v>-5.1104162589999991</v>
      </c>
      <c r="DJ12" s="24">
        <f t="shared" si="61"/>
        <v>-3.5874952530000002</v>
      </c>
      <c r="DK12" s="294">
        <f t="shared" si="61"/>
        <v>-9.2902442700000005</v>
      </c>
      <c r="DL12" s="244">
        <f t="shared" si="61"/>
        <v>-7.2003302644999998</v>
      </c>
      <c r="DM12" s="297" t="s">
        <v>530</v>
      </c>
      <c r="DN12" s="68">
        <v>3.7475685470000002</v>
      </c>
      <c r="DO12" s="5">
        <v>3.83344628</v>
      </c>
      <c r="DP12" s="5">
        <v>5.5062615959999999</v>
      </c>
      <c r="DQ12" s="3">
        <f>AVERAGE(DN12,DP12)</f>
        <v>4.6269150715</v>
      </c>
      <c r="DR12" s="68">
        <v>4.5413385499999999</v>
      </c>
      <c r="DS12" s="5">
        <v>3.2617624919999999</v>
      </c>
      <c r="DT12" s="5">
        <v>4.6758254570000002</v>
      </c>
      <c r="DU12" s="3">
        <f>AVERAGE(DR12,DT12)</f>
        <v>4.6085820035000005</v>
      </c>
      <c r="DV12" s="24">
        <f t="shared" si="62"/>
        <v>0.79377000299999967</v>
      </c>
      <c r="DW12" s="24">
        <f t="shared" si="62"/>
        <v>-0.57168378800000008</v>
      </c>
      <c r="DX12" s="24">
        <f t="shared" si="62"/>
        <v>-0.83043613899999968</v>
      </c>
      <c r="DY12" s="188">
        <f t="shared" si="62"/>
        <v>-1.8333067999999564E-2</v>
      </c>
      <c r="DZ12" s="297" t="s">
        <v>530</v>
      </c>
      <c r="EA12" s="18">
        <v>15.535241170000001</v>
      </c>
      <c r="EB12" s="18">
        <v>16.482100549999998</v>
      </c>
      <c r="EC12" s="18">
        <v>23.365291450000001</v>
      </c>
      <c r="ED12" s="3">
        <f>AVERAGE(EA12,EC12)</f>
        <v>19.45026631</v>
      </c>
      <c r="EE12" s="18">
        <v>11.51627193</v>
      </c>
      <c r="EF12" s="18">
        <v>11.135217730000001</v>
      </c>
      <c r="EG12" s="18">
        <v>10.210541600000001</v>
      </c>
      <c r="EH12" s="3">
        <f>AVERAGE(EE12,EG12)</f>
        <v>10.863406765000001</v>
      </c>
      <c r="EI12" s="24">
        <f t="shared" si="63"/>
        <v>-4.0189692400000006</v>
      </c>
      <c r="EJ12" s="24">
        <f t="shared" si="63"/>
        <v>-5.3468828199999976</v>
      </c>
      <c r="EK12" s="24">
        <f t="shared" si="63"/>
        <v>-13.15474985</v>
      </c>
      <c r="EL12" s="188">
        <f t="shared" si="63"/>
        <v>-8.5868595449999994</v>
      </c>
      <c r="EM12" s="297" t="s">
        <v>530</v>
      </c>
      <c r="EN12" s="151" t="s">
        <v>480</v>
      </c>
      <c r="EO12" s="244">
        <v>128.777100966365</v>
      </c>
      <c r="EP12" s="151" t="s">
        <v>481</v>
      </c>
      <c r="EQ12" s="244">
        <v>124.65199171866399</v>
      </c>
      <c r="ER12" s="244">
        <f t="shared" si="14"/>
        <v>126.7145463425145</v>
      </c>
      <c r="ES12" s="18">
        <v>2</v>
      </c>
      <c r="ET12" s="18">
        <v>7</v>
      </c>
      <c r="EU12" s="18">
        <v>22</v>
      </c>
      <c r="EV12" s="18">
        <v>-4</v>
      </c>
      <c r="EW12" s="18">
        <v>8</v>
      </c>
      <c r="EX12" s="18">
        <v>2</v>
      </c>
      <c r="EY12" s="18">
        <v>37</v>
      </c>
      <c r="EZ12" s="5">
        <v>-1.202560635</v>
      </c>
      <c r="FA12" s="18">
        <v>-49.416843312340902</v>
      </c>
      <c r="FB12" s="310">
        <v>10</v>
      </c>
      <c r="FC12" s="5">
        <v>19</v>
      </c>
      <c r="FD12" s="18">
        <v>40</v>
      </c>
      <c r="FE12" s="340">
        <v>11</v>
      </c>
      <c r="FF12" s="18">
        <v>0.16200000000000001</v>
      </c>
      <c r="FG12" s="18">
        <v>0.10666666666666667</v>
      </c>
      <c r="FH12" s="18">
        <v>0.11333333333333333</v>
      </c>
      <c r="FI12" s="18">
        <v>7.0000000000000007E-2</v>
      </c>
      <c r="FJ12" s="18">
        <v>0.67333333333333334</v>
      </c>
      <c r="FK12" s="18">
        <v>0.63428571428571423</v>
      </c>
      <c r="FL12" s="18">
        <v>0.25333333333333335</v>
      </c>
      <c r="FM12" s="18">
        <v>0.42333333333333334</v>
      </c>
      <c r="FN12" s="18">
        <v>0.96333333333333326</v>
      </c>
      <c r="FO12" s="18">
        <v>0.03</v>
      </c>
      <c r="FP12" s="18">
        <v>0.15666666666666665</v>
      </c>
      <c r="FQ12" s="322">
        <v>2</v>
      </c>
      <c r="FR12" s="5">
        <v>-2</v>
      </c>
      <c r="FS12" s="5">
        <v>10</v>
      </c>
      <c r="FT12" s="259">
        <v>0.16200000000000001</v>
      </c>
      <c r="FU12" s="72">
        <v>0.10666666666666667</v>
      </c>
      <c r="FV12" s="260">
        <v>0.11333333333333333</v>
      </c>
      <c r="FW12" s="261">
        <v>7.0000000000000007E-2</v>
      </c>
      <c r="FX12" s="154">
        <v>0.67333333333333334</v>
      </c>
      <c r="FY12" s="262">
        <v>0.63428571428571423</v>
      </c>
      <c r="FZ12" s="263">
        <v>0.25333333333333335</v>
      </c>
      <c r="GA12" s="264">
        <v>0.42333333333333334</v>
      </c>
      <c r="GB12" s="265">
        <v>0.96333333333333326</v>
      </c>
      <c r="GC12" s="266">
        <v>0.03</v>
      </c>
      <c r="GD12" s="267">
        <v>0.15666666666666665</v>
      </c>
      <c r="GE12" s="5">
        <v>-1.202560635</v>
      </c>
      <c r="GF12" s="18">
        <v>2</v>
      </c>
      <c r="GG12" s="18">
        <v>7</v>
      </c>
      <c r="GH12" s="18">
        <v>22</v>
      </c>
      <c r="GI12" s="18">
        <v>-4</v>
      </c>
      <c r="GJ12" s="18">
        <v>8</v>
      </c>
      <c r="GK12" s="18">
        <v>2</v>
      </c>
      <c r="GL12" s="18">
        <v>37</v>
      </c>
      <c r="GN12" s="5">
        <v>106</v>
      </c>
      <c r="GO12" s="5">
        <v>118</v>
      </c>
      <c r="GP12" s="5">
        <v>101</v>
      </c>
      <c r="GQ12" s="5">
        <v>78</v>
      </c>
      <c r="GR12" s="5">
        <v>109</v>
      </c>
      <c r="GS12" s="144">
        <v>0</v>
      </c>
      <c r="GT12" s="18">
        <v>62.848500000000001</v>
      </c>
      <c r="GU12" s="18">
        <v>49.441699999999997</v>
      </c>
      <c r="GV12" s="3">
        <f t="shared" si="15"/>
        <v>13.406800000000004</v>
      </c>
      <c r="GW12" s="5">
        <f t="shared" si="16"/>
        <v>1.2711638151600775</v>
      </c>
      <c r="GX12" s="18">
        <f t="shared" si="17"/>
        <v>0.10420152178587605</v>
      </c>
      <c r="GY12" s="18">
        <v>58.258499999999998</v>
      </c>
      <c r="GZ12" s="18">
        <v>50.772100000000002</v>
      </c>
      <c r="HA12" s="3">
        <f t="shared" si="18"/>
        <v>7.4863999999999962</v>
      </c>
      <c r="HB12" s="18">
        <f t="shared" si="19"/>
        <v>1.1474510607203561</v>
      </c>
      <c r="HC12" s="18">
        <v>62.5655</v>
      </c>
      <c r="HD12" s="18">
        <v>52.158200000000001</v>
      </c>
      <c r="HE12" s="3">
        <f t="shared" si="20"/>
        <v>10.407299999999999</v>
      </c>
      <c r="HF12" s="18">
        <f t="shared" si="21"/>
        <v>1.1995333427917374</v>
      </c>
      <c r="HG12" s="18">
        <v>30.526700000000002</v>
      </c>
      <c r="HH12" s="18">
        <v>35.608600000000003</v>
      </c>
      <c r="HI12" s="3">
        <f t="shared" si="22"/>
        <v>-5.081900000000001</v>
      </c>
      <c r="HJ12" s="18">
        <f t="shared" si="23"/>
        <v>0.85728447622203618</v>
      </c>
      <c r="HK12" s="5">
        <v>65.219800000000006</v>
      </c>
      <c r="HL12" s="5">
        <v>41.837899999999998</v>
      </c>
      <c r="HM12" s="3">
        <f t="shared" si="24"/>
        <v>23.381900000000009</v>
      </c>
      <c r="HN12" s="5">
        <f t="shared" si="60"/>
        <v>1.5588688724816497</v>
      </c>
      <c r="HO12" s="18">
        <v>50.633000000000003</v>
      </c>
      <c r="HP12" s="18">
        <v>43.856400000000001</v>
      </c>
      <c r="HQ12" s="3">
        <f t="shared" si="25"/>
        <v>6.776600000000002</v>
      </c>
      <c r="HR12" s="18">
        <f t="shared" si="26"/>
        <v>1.154517926688009</v>
      </c>
      <c r="HS12" s="18">
        <v>50.200600000000001</v>
      </c>
      <c r="HT12" s="18">
        <v>52.476700000000001</v>
      </c>
      <c r="HU12" s="3">
        <f t="shared" si="27"/>
        <v>-2.2760999999999996</v>
      </c>
      <c r="HV12" s="18">
        <f t="shared" si="28"/>
        <v>0.95662646469766588</v>
      </c>
      <c r="HW12" s="18">
        <v>52.735999999999997</v>
      </c>
      <c r="HX12" s="18">
        <v>54.232300000000002</v>
      </c>
      <c r="HY12" s="3">
        <f t="shared" si="29"/>
        <v>-1.4963000000000051</v>
      </c>
      <c r="HZ12" s="18">
        <f t="shared" si="30"/>
        <v>0.97240943127988289</v>
      </c>
      <c r="IA12" s="18">
        <v>44.004399999999997</v>
      </c>
      <c r="IB12" s="18">
        <v>45.985300000000002</v>
      </c>
      <c r="IC12" s="3">
        <f t="shared" si="31"/>
        <v>-1.9809000000000054</v>
      </c>
      <c r="ID12" s="18">
        <f t="shared" si="32"/>
        <v>0.95692319067180154</v>
      </c>
      <c r="IE12" s="18">
        <v>42.220500000000001</v>
      </c>
      <c r="IF12" s="18">
        <v>43.197200000000002</v>
      </c>
      <c r="IG12" s="3">
        <f t="shared" si="33"/>
        <v>-0.97670000000000101</v>
      </c>
      <c r="IH12" s="18">
        <f t="shared" si="34"/>
        <v>0.97738973822377373</v>
      </c>
      <c r="II12" s="18">
        <v>52.311799999999998</v>
      </c>
      <c r="IJ12" s="18">
        <v>51.56</v>
      </c>
      <c r="IK12" s="3">
        <f t="shared" si="35"/>
        <v>0.7517999999999958</v>
      </c>
      <c r="IL12" s="18">
        <f t="shared" si="36"/>
        <v>1.0145810705973621</v>
      </c>
      <c r="IM12" s="18">
        <v>66.355199999999996</v>
      </c>
      <c r="IN12" s="18">
        <v>65.227999999999994</v>
      </c>
      <c r="IO12" s="3">
        <f t="shared" si="37"/>
        <v>1.127200000000002</v>
      </c>
      <c r="IP12" s="18">
        <f t="shared" si="38"/>
        <v>1.0172809223033055</v>
      </c>
      <c r="IQ12" s="18">
        <v>44.939300000000003</v>
      </c>
      <c r="IR12" s="18">
        <v>42.237000000000002</v>
      </c>
      <c r="IS12" s="3">
        <f t="shared" si="39"/>
        <v>2.702300000000001</v>
      </c>
      <c r="IT12" s="18">
        <f t="shared" si="40"/>
        <v>1.0639794492980088</v>
      </c>
      <c r="IU12" s="18">
        <v>48.941699999999997</v>
      </c>
      <c r="IV12" s="18">
        <v>47.719700000000003</v>
      </c>
      <c r="IW12" s="3">
        <f t="shared" si="41"/>
        <v>1.2219999999999942</v>
      </c>
      <c r="IX12" s="18">
        <f t="shared" si="42"/>
        <v>1.0256078726396016</v>
      </c>
      <c r="IY12" s="18">
        <v>56.542200000000001</v>
      </c>
      <c r="IZ12" s="18">
        <v>55.5045</v>
      </c>
      <c r="JA12" s="3">
        <f t="shared" si="43"/>
        <v>1.037700000000001</v>
      </c>
      <c r="JB12" s="18">
        <f t="shared" si="44"/>
        <v>1.0186957814231279</v>
      </c>
      <c r="JC12" s="18">
        <f>LOG(HN12)</f>
        <v>0.19280958513577795</v>
      </c>
      <c r="JF12" s="18">
        <v>10</v>
      </c>
      <c r="KE12" s="67" t="s">
        <v>530</v>
      </c>
      <c r="KF12" s="343">
        <v>4.4499999999999998E-2</v>
      </c>
      <c r="KG12" s="343">
        <v>5.2699999999999997E-2</v>
      </c>
      <c r="KH12" s="347">
        <f t="shared" si="47"/>
        <v>4.8599999999999997E-2</v>
      </c>
      <c r="KI12" s="344">
        <v>6.6600000000000006E-2</v>
      </c>
      <c r="KJ12" s="344">
        <v>4.8000000000000001E-2</v>
      </c>
      <c r="KK12" s="348">
        <f t="shared" si="48"/>
        <v>5.7300000000000004E-2</v>
      </c>
      <c r="KL12" s="347">
        <f t="shared" si="49"/>
        <v>8.7000000000000063E-3</v>
      </c>
      <c r="KM12" s="347">
        <f t="shared" si="50"/>
        <v>1.1790123456790125</v>
      </c>
      <c r="KN12" s="354">
        <f t="shared" ref="KN12:KN22" si="64">KM12+3.878</f>
        <v>5.0570123456790128</v>
      </c>
      <c r="KO12" s="18">
        <f t="shared" si="51"/>
        <v>0.70389401387650852</v>
      </c>
      <c r="KP12" s="18">
        <v>0.70389401387650852</v>
      </c>
      <c r="KQ12" s="340">
        <v>11</v>
      </c>
      <c r="KR12" s="18">
        <v>0.16200000000000001</v>
      </c>
      <c r="KS12" s="18">
        <v>0.10666666666666667</v>
      </c>
      <c r="KT12" s="18">
        <v>0.11333333333333333</v>
      </c>
      <c r="KU12" s="18">
        <v>7.0000000000000007E-2</v>
      </c>
      <c r="KV12" s="18">
        <v>0.67333333333333334</v>
      </c>
      <c r="KW12" s="18">
        <v>0.63428571428571423</v>
      </c>
      <c r="KX12" s="18">
        <v>0.25333333333333335</v>
      </c>
      <c r="KY12" s="18">
        <v>0.42333333333333334</v>
      </c>
      <c r="KZ12" s="18">
        <v>0.96333333333333326</v>
      </c>
      <c r="LA12" s="18">
        <v>0.03</v>
      </c>
      <c r="LB12" s="18">
        <v>0.15666666666666665</v>
      </c>
      <c r="LC12" s="358" t="s">
        <v>632</v>
      </c>
      <c r="LD12" s="358">
        <v>11</v>
      </c>
      <c r="LE12" s="358">
        <v>0.5</v>
      </c>
      <c r="LF12" s="358">
        <v>0.5</v>
      </c>
      <c r="LG12" s="358">
        <v>12</v>
      </c>
      <c r="LH12" s="358">
        <v>0</v>
      </c>
      <c r="LI12" s="358">
        <v>1</v>
      </c>
      <c r="LJ12" s="144">
        <v>0</v>
      </c>
      <c r="LK12" s="158" t="s">
        <v>530</v>
      </c>
      <c r="LL12" s="68">
        <v>0.44719999999999999</v>
      </c>
      <c r="LM12" s="5">
        <v>0.45229999999999998</v>
      </c>
      <c r="LN12" s="5">
        <f t="shared" si="52"/>
        <v>0.44974999999999998</v>
      </c>
      <c r="LO12" s="5">
        <v>0.54579999999999995</v>
      </c>
      <c r="LP12" s="5">
        <v>0.55259999999999998</v>
      </c>
      <c r="LQ12" s="80">
        <f t="shared" si="53"/>
        <v>0.54919999999999991</v>
      </c>
      <c r="LR12" s="77">
        <f t="shared" si="54"/>
        <v>-9.9449999999999927E-2</v>
      </c>
      <c r="LS12" s="68">
        <v>7.5542999999999996</v>
      </c>
      <c r="LT12" s="5">
        <v>7.7354000000000003</v>
      </c>
      <c r="LU12" s="5">
        <f t="shared" si="55"/>
        <v>7.6448499999999999</v>
      </c>
      <c r="LV12" s="5">
        <v>15.8299</v>
      </c>
      <c r="LW12" s="5">
        <v>18.400400000000001</v>
      </c>
      <c r="LX12" s="80">
        <f t="shared" si="56"/>
        <v>17.11515</v>
      </c>
      <c r="LY12" s="77">
        <f t="shared" si="57"/>
        <v>-9.4702999999999999</v>
      </c>
      <c r="LZ12" s="68">
        <v>1.0713999999999999</v>
      </c>
      <c r="MA12" s="5">
        <v>1.0674999999999999</v>
      </c>
      <c r="MB12" s="5">
        <f>AVERAGE(LZ12:MA12)</f>
        <v>1.0694499999999998</v>
      </c>
      <c r="MC12" s="5">
        <v>0.94159999999999999</v>
      </c>
      <c r="MD12" s="5">
        <v>0.93300000000000005</v>
      </c>
      <c r="ME12" s="80">
        <f>AVERAGE(MC12:MD12)</f>
        <v>0.93730000000000002</v>
      </c>
      <c r="MF12" s="77">
        <f t="shared" si="58"/>
        <v>0.13214999999999977</v>
      </c>
      <c r="MG12" s="68">
        <v>0.1981</v>
      </c>
      <c r="MH12" s="5">
        <v>0.2102</v>
      </c>
      <c r="MI12" s="5">
        <f>AVERAGE(MG12:MH12)</f>
        <v>0.20415</v>
      </c>
      <c r="MJ12" s="5">
        <v>0.44500000000000001</v>
      </c>
      <c r="MK12" s="5">
        <v>0.44319999999999998</v>
      </c>
      <c r="ML12" s="80">
        <f>AVERAGE(MJ12:MK12)</f>
        <v>0.44409999999999999</v>
      </c>
      <c r="MM12" s="77">
        <f t="shared" si="59"/>
        <v>-0.23995</v>
      </c>
      <c r="MO12" s="5">
        <v>-4.2447475609999996</v>
      </c>
      <c r="MP12" s="5">
        <v>2.6252675110000001</v>
      </c>
      <c r="MQ12" s="5">
        <v>1.9097551779999999</v>
      </c>
      <c r="MR12" s="5">
        <v>1.8739730699999999</v>
      </c>
      <c r="MS12" s="292">
        <v>2.0675218860000002</v>
      </c>
      <c r="MT12" s="18">
        <v>-1.202560635</v>
      </c>
      <c r="MU12" s="18">
        <v>4.7713950589999996</v>
      </c>
      <c r="MV12" s="18">
        <v>4.3606291920000002</v>
      </c>
      <c r="MW12" s="18">
        <v>4.5919304299999997</v>
      </c>
    </row>
    <row r="13" spans="1:361" ht="16.5" customHeight="1" thickBot="1" x14ac:dyDescent="0.25">
      <c r="A13" s="3" t="s">
        <v>10</v>
      </c>
      <c r="B13" s="5">
        <v>0</v>
      </c>
      <c r="C13" s="5">
        <v>8</v>
      </c>
      <c r="D13" s="5">
        <v>28</v>
      </c>
      <c r="E13" s="5">
        <v>75</v>
      </c>
      <c r="F13" s="5">
        <v>49</v>
      </c>
      <c r="G13" s="18">
        <v>52</v>
      </c>
      <c r="H13" s="24">
        <v>145</v>
      </c>
      <c r="I13" s="5">
        <v>18</v>
      </c>
      <c r="J13" s="5">
        <v>124</v>
      </c>
      <c r="K13" s="5">
        <v>123</v>
      </c>
      <c r="L13" s="5">
        <v>108</v>
      </c>
      <c r="M13" s="5">
        <v>82</v>
      </c>
      <c r="N13" s="5">
        <v>135</v>
      </c>
      <c r="O13" s="5">
        <v>0.5</v>
      </c>
      <c r="P13" s="5">
        <v>-1</v>
      </c>
      <c r="Q13" s="5">
        <v>2</v>
      </c>
      <c r="R13" s="5">
        <v>1</v>
      </c>
      <c r="S13" s="5">
        <v>9</v>
      </c>
      <c r="T13" s="18">
        <v>9</v>
      </c>
      <c r="U13" s="5">
        <v>-1</v>
      </c>
      <c r="V13" s="5">
        <v>4</v>
      </c>
      <c r="W13" s="5">
        <v>0</v>
      </c>
      <c r="X13" s="5">
        <v>-1</v>
      </c>
      <c r="Y13" s="5">
        <v>1</v>
      </c>
      <c r="Z13" s="92">
        <v>-2.6179147368421002E-2</v>
      </c>
      <c r="AA13" s="88">
        <v>8.5</v>
      </c>
      <c r="AB13" s="68">
        <v>100</v>
      </c>
      <c r="AC13" s="5">
        <v>87</v>
      </c>
      <c r="AD13" s="5">
        <v>115</v>
      </c>
      <c r="AE13" s="80">
        <v>101</v>
      </c>
      <c r="AF13" s="179">
        <v>11</v>
      </c>
      <c r="AG13" s="154">
        <v>15</v>
      </c>
      <c r="AH13" s="154">
        <v>11</v>
      </c>
      <c r="AI13" s="154">
        <v>12</v>
      </c>
      <c r="AJ13" s="68">
        <v>111</v>
      </c>
      <c r="AK13" s="5">
        <v>102</v>
      </c>
      <c r="AL13" s="5">
        <v>126</v>
      </c>
      <c r="AM13" s="80">
        <v>113</v>
      </c>
      <c r="AN13" s="68">
        <v>100</v>
      </c>
      <c r="AO13" s="5">
        <v>87</v>
      </c>
      <c r="AP13" s="5">
        <v>115</v>
      </c>
      <c r="AQ13" s="80">
        <v>101</v>
      </c>
      <c r="AR13" s="68">
        <v>111</v>
      </c>
      <c r="AS13" s="5">
        <v>102</v>
      </c>
      <c r="AT13" s="5">
        <v>126</v>
      </c>
      <c r="AU13" s="80">
        <v>113</v>
      </c>
      <c r="AV13" s="179">
        <f t="shared" si="11"/>
        <v>11</v>
      </c>
      <c r="AW13" s="154">
        <f t="shared" si="0"/>
        <v>15</v>
      </c>
      <c r="AX13" s="154">
        <f t="shared" si="0"/>
        <v>11</v>
      </c>
      <c r="AY13" s="185">
        <f t="shared" si="0"/>
        <v>12</v>
      </c>
      <c r="AZ13" s="9">
        <v>1.1499999999999999</v>
      </c>
      <c r="BA13" s="77">
        <v>1.4864864864864824E-2</v>
      </c>
      <c r="BB13" s="18">
        <v>0.87</v>
      </c>
      <c r="BC13" s="77">
        <v>-4.8918918918918974E-2</v>
      </c>
      <c r="BD13" s="154">
        <v>0.28999999165500001</v>
      </c>
      <c r="BE13" s="144">
        <v>0.10000000149</v>
      </c>
      <c r="BF13" s="5">
        <v>2</v>
      </c>
      <c r="BG13" s="5">
        <v>-1</v>
      </c>
      <c r="BK13" s="18" t="s">
        <v>10</v>
      </c>
      <c r="BL13" s="18">
        <v>-5</v>
      </c>
      <c r="BM13" s="221">
        <v>-10</v>
      </c>
      <c r="BN13" s="21">
        <v>-8</v>
      </c>
      <c r="BO13" s="18">
        <v>-8</v>
      </c>
      <c r="BP13" s="18">
        <v>-26</v>
      </c>
      <c r="BQ13" s="138"/>
      <c r="BR13" s="138"/>
      <c r="BS13" s="138"/>
      <c r="BT13" s="138"/>
      <c r="BU13" s="138"/>
      <c r="BV13" s="222"/>
      <c r="BW13" s="18">
        <v>0.47999998927100002</v>
      </c>
      <c r="BX13" s="18">
        <v>0.109999999404</v>
      </c>
      <c r="BY13" s="18">
        <f t="shared" si="13"/>
        <v>0.369999989867</v>
      </c>
      <c r="BZ13" s="3">
        <v>8.7999998400000001E-2</v>
      </c>
      <c r="CA13" s="18">
        <v>0.16999999933333335</v>
      </c>
      <c r="CB13" s="18">
        <v>0.19333333266666666</v>
      </c>
      <c r="CC13" s="18">
        <v>5.0000000999999995E-2</v>
      </c>
      <c r="CD13" s="18">
        <v>0</v>
      </c>
      <c r="CE13" s="18">
        <v>0.11000000057142857</v>
      </c>
      <c r="CF13" s="18">
        <v>2.4999999666666672E-2</v>
      </c>
      <c r="CG13" s="18">
        <v>0.1766666733333333</v>
      </c>
      <c r="CH13" s="18">
        <v>0.56000000233333325</v>
      </c>
      <c r="CI13" s="18">
        <v>5.9999999333333331E-2</v>
      </c>
      <c r="CJ13" s="18">
        <v>4.3333333666666668E-2</v>
      </c>
      <c r="CK13" s="285" t="s">
        <v>531</v>
      </c>
      <c r="CL13" s="18">
        <v>1.03214019</v>
      </c>
      <c r="CM13" s="18">
        <v>-0.80597653049999995</v>
      </c>
      <c r="CN13" s="18">
        <v>-0.17369222500000001</v>
      </c>
      <c r="CO13" s="18">
        <v>-2.4710641420000001E-3</v>
      </c>
      <c r="CP13" s="18">
        <v>-0.42972363419999998</v>
      </c>
      <c r="CQ13" s="18">
        <v>-0.68886163560000002</v>
      </c>
      <c r="CR13" s="18">
        <v>-0.21420504679999999</v>
      </c>
      <c r="CS13" s="18">
        <v>-0.57120965339999996</v>
      </c>
      <c r="CT13" s="18">
        <v>-0.51399470059999997</v>
      </c>
      <c r="CY13" s="18">
        <v>0.3107015501</v>
      </c>
      <c r="CZ13" s="285" t="s">
        <v>531</v>
      </c>
      <c r="DA13" s="68">
        <v>15.19973283</v>
      </c>
      <c r="DB13" s="5">
        <v>15.39336215</v>
      </c>
      <c r="DC13" s="5">
        <v>14.24500184</v>
      </c>
      <c r="DD13" s="80">
        <f>AVERAGE(DA13,DC13)</f>
        <v>14.722367335000001</v>
      </c>
      <c r="DE13" s="68">
        <v>9.5187383039999993</v>
      </c>
      <c r="DF13" s="5">
        <v>8.6606581499999997</v>
      </c>
      <c r="DG13" s="5">
        <v>8.7751716399999999</v>
      </c>
      <c r="DH13" s="80">
        <f>AVERAGE(DE13,DG13)</f>
        <v>9.1469549719999996</v>
      </c>
      <c r="DI13" s="151">
        <f t="shared" si="61"/>
        <v>-5.680994526000001</v>
      </c>
      <c r="DJ13" s="24">
        <f t="shared" si="61"/>
        <v>-6.732704</v>
      </c>
      <c r="DK13" s="294">
        <f t="shared" si="61"/>
        <v>-5.4698302000000005</v>
      </c>
      <c r="DL13" s="244">
        <f t="shared" si="61"/>
        <v>-5.5754123630000016</v>
      </c>
      <c r="DM13" s="295" t="s">
        <v>531</v>
      </c>
      <c r="DN13" s="68">
        <v>4.7950903079999998</v>
      </c>
      <c r="DO13" s="5">
        <v>5.8539388929999996</v>
      </c>
      <c r="DP13" s="5">
        <v>5.3245884830000003</v>
      </c>
      <c r="DQ13" s="3">
        <f>AVERAGE(DN13,DP13)</f>
        <v>5.0598393955000001</v>
      </c>
      <c r="DR13" s="68">
        <v>3.922202972</v>
      </c>
      <c r="DS13" s="5">
        <v>4.8116416150000001</v>
      </c>
      <c r="DT13" s="5">
        <v>4.2326210809999996</v>
      </c>
      <c r="DU13" s="3">
        <f>AVERAGE(DR13,DT13)</f>
        <v>4.0774120264999993</v>
      </c>
      <c r="DV13" s="24">
        <f t="shared" si="62"/>
        <v>-0.87288733599999979</v>
      </c>
      <c r="DW13" s="24">
        <f t="shared" si="62"/>
        <v>-1.0422972779999995</v>
      </c>
      <c r="DX13" s="24">
        <f t="shared" si="62"/>
        <v>-1.0919674020000008</v>
      </c>
      <c r="DY13" s="188">
        <f t="shared" si="62"/>
        <v>-0.98242736900000072</v>
      </c>
      <c r="DZ13" s="295" t="s">
        <v>531</v>
      </c>
      <c r="EA13" s="18">
        <v>18.190954219999998</v>
      </c>
      <c r="EB13" s="18">
        <v>11.709819489999999</v>
      </c>
      <c r="EC13" s="18">
        <v>13.89472219</v>
      </c>
      <c r="ED13" s="3">
        <f>AVERAGE(EA13,EC13)</f>
        <v>16.042838204999999</v>
      </c>
      <c r="EE13" s="18">
        <v>4.3374135530000002</v>
      </c>
      <c r="EF13" s="18">
        <v>5.6419672380000003</v>
      </c>
      <c r="EG13" s="18">
        <v>4.022873658</v>
      </c>
      <c r="EH13" s="3">
        <f>AVERAGE(EE13,EG13)</f>
        <v>4.1801436054999996</v>
      </c>
      <c r="EI13" s="24">
        <f t="shared" si="63"/>
        <v>-13.853540666999997</v>
      </c>
      <c r="EJ13" s="24">
        <f t="shared" si="63"/>
        <v>-6.0678522519999989</v>
      </c>
      <c r="EK13" s="24">
        <f t="shared" si="63"/>
        <v>-9.8718485319999996</v>
      </c>
      <c r="EL13" s="188">
        <f t="shared" si="63"/>
        <v>-11.862694599499999</v>
      </c>
      <c r="EM13" s="295" t="s">
        <v>531</v>
      </c>
      <c r="EN13" s="195"/>
      <c r="EO13" s="196"/>
      <c r="EP13" s="195"/>
      <c r="EQ13" s="196"/>
      <c r="ER13" s="196"/>
      <c r="ES13" s="18">
        <v>3</v>
      </c>
      <c r="ET13" s="18">
        <v>4</v>
      </c>
      <c r="EU13" s="18">
        <v>9</v>
      </c>
      <c r="EV13" s="18">
        <v>-1</v>
      </c>
      <c r="EW13" s="18">
        <v>0</v>
      </c>
      <c r="EX13" s="18">
        <v>1</v>
      </c>
      <c r="EY13" s="18">
        <v>16</v>
      </c>
      <c r="EZ13" s="5">
        <v>-0.80597653049999995</v>
      </c>
      <c r="FA13" s="18">
        <v>-15.737834870417045</v>
      </c>
      <c r="FB13" s="310">
        <v>11</v>
      </c>
      <c r="FC13" s="5">
        <v>75</v>
      </c>
      <c r="FD13" s="18">
        <v>52</v>
      </c>
      <c r="FE13" s="340">
        <v>8.5</v>
      </c>
      <c r="FF13" s="18">
        <v>8.7999998400000001E-2</v>
      </c>
      <c r="FG13" s="18">
        <v>0.16999999933333335</v>
      </c>
      <c r="FH13" s="18">
        <v>0.18666666600000001</v>
      </c>
      <c r="FI13" s="18">
        <v>5.0000000999999995E-2</v>
      </c>
      <c r="FJ13" s="18">
        <v>0</v>
      </c>
      <c r="FK13" s="18">
        <v>0.11000000057142857</v>
      </c>
      <c r="FL13" s="18">
        <v>2.4999999666666672E-2</v>
      </c>
      <c r="FM13" s="18">
        <v>0.17333333999999997</v>
      </c>
      <c r="FN13" s="18">
        <v>0.56000000233333325</v>
      </c>
      <c r="FO13" s="18">
        <v>5.9999999333333331E-2</v>
      </c>
      <c r="FP13" s="18">
        <v>4.3333333666666668E-2</v>
      </c>
      <c r="FQ13" s="322">
        <v>2</v>
      </c>
      <c r="FR13" s="5">
        <v>-1</v>
      </c>
      <c r="FS13" s="5">
        <v>1</v>
      </c>
      <c r="FT13" s="259">
        <v>8.7999998400000001E-2</v>
      </c>
      <c r="FU13" s="72">
        <v>0.16999999933333335</v>
      </c>
      <c r="FV13" s="260">
        <v>0.19333333266666666</v>
      </c>
      <c r="FW13" s="261">
        <v>5.0000000999999995E-2</v>
      </c>
      <c r="FX13" s="154">
        <v>0</v>
      </c>
      <c r="FY13" s="262">
        <v>0.11000000057142857</v>
      </c>
      <c r="FZ13" s="263">
        <v>2.4999999666666672E-2</v>
      </c>
      <c r="GA13" s="264">
        <v>0.1766666733333333</v>
      </c>
      <c r="GB13" s="265">
        <v>0.56000000233333325</v>
      </c>
      <c r="GC13" s="266">
        <v>5.9999999333333331E-2</v>
      </c>
      <c r="GD13" s="267">
        <v>4.3333333666666668E-2</v>
      </c>
      <c r="GE13" s="5">
        <v>-0.80597653049999995</v>
      </c>
      <c r="GF13" s="18">
        <v>3</v>
      </c>
      <c r="GG13" s="18">
        <v>4</v>
      </c>
      <c r="GH13" s="18">
        <v>9</v>
      </c>
      <c r="GI13" s="18">
        <v>-1</v>
      </c>
      <c r="GJ13" s="18">
        <v>0</v>
      </c>
      <c r="GK13" s="18">
        <v>1</v>
      </c>
      <c r="GL13" s="18">
        <v>16</v>
      </c>
      <c r="GN13" s="5">
        <v>124</v>
      </c>
      <c r="GO13" s="5">
        <v>123</v>
      </c>
      <c r="GP13" s="5">
        <v>108</v>
      </c>
      <c r="GQ13" s="5">
        <v>82</v>
      </c>
      <c r="GR13" s="5">
        <v>135</v>
      </c>
      <c r="GS13" s="144">
        <v>0.10000000149</v>
      </c>
      <c r="GT13" s="6">
        <v>83.384</v>
      </c>
      <c r="GU13" s="6">
        <v>86.637500000000003</v>
      </c>
      <c r="GV13" s="3">
        <f t="shared" si="15"/>
        <v>-3.2535000000000025</v>
      </c>
      <c r="GW13" s="5">
        <f t="shared" si="16"/>
        <v>0.96244697734814599</v>
      </c>
      <c r="GX13" s="18">
        <f t="shared" si="17"/>
        <v>-1.6623187096773632E-2</v>
      </c>
      <c r="GY13" s="6">
        <v>75.497299999999996</v>
      </c>
      <c r="GZ13" s="6">
        <v>74.965199999999996</v>
      </c>
      <c r="HA13" s="3">
        <f t="shared" si="18"/>
        <v>0.5320999999999998</v>
      </c>
      <c r="HB13" s="18">
        <f t="shared" si="19"/>
        <v>1.0070979601201624</v>
      </c>
      <c r="HC13" s="6">
        <v>88.269000000000005</v>
      </c>
      <c r="HD13" s="6">
        <v>82.826800000000006</v>
      </c>
      <c r="HE13" s="3">
        <f t="shared" si="20"/>
        <v>5.4421999999999997</v>
      </c>
      <c r="HF13" s="18">
        <f t="shared" si="21"/>
        <v>1.0657057860499259</v>
      </c>
      <c r="HG13" s="6">
        <v>60.139299999999999</v>
      </c>
      <c r="HH13" s="6">
        <v>84.186499999999995</v>
      </c>
      <c r="HI13" s="3">
        <f t="shared" si="22"/>
        <v>-24.047199999999997</v>
      </c>
      <c r="HJ13" s="18">
        <f t="shared" si="23"/>
        <v>0.7143580027676647</v>
      </c>
      <c r="HK13" s="5">
        <v>102.12</v>
      </c>
      <c r="HL13" s="5">
        <v>101.86</v>
      </c>
      <c r="HM13" s="3">
        <f t="shared" si="24"/>
        <v>0.26000000000000512</v>
      </c>
      <c r="HN13" s="5">
        <f t="shared" si="60"/>
        <v>1.0025525230708816</v>
      </c>
      <c r="HO13" s="6">
        <v>55.971499999999999</v>
      </c>
      <c r="HP13" s="6">
        <v>61.247</v>
      </c>
      <c r="HQ13" s="3">
        <f t="shared" si="25"/>
        <v>-5.275500000000001</v>
      </c>
      <c r="HR13" s="18">
        <f t="shared" si="26"/>
        <v>0.91386516890623215</v>
      </c>
      <c r="HS13" s="6">
        <v>54.939300000000003</v>
      </c>
      <c r="HT13" s="6">
        <v>65.137699999999995</v>
      </c>
      <c r="HU13" s="3">
        <f t="shared" si="27"/>
        <v>-10.198399999999992</v>
      </c>
      <c r="HV13" s="18">
        <f t="shared" si="28"/>
        <v>0.84343321916493841</v>
      </c>
      <c r="HW13" s="6">
        <v>50.546999999999997</v>
      </c>
      <c r="HX13" s="6">
        <v>60.912300000000002</v>
      </c>
      <c r="HY13" s="3">
        <f t="shared" si="29"/>
        <v>-10.365300000000005</v>
      </c>
      <c r="HZ13" s="18">
        <f t="shared" si="30"/>
        <v>0.8298323983825926</v>
      </c>
      <c r="IA13" s="6">
        <v>43.347099999999998</v>
      </c>
      <c r="IB13" s="6">
        <v>49.195599999999999</v>
      </c>
      <c r="IC13" s="3">
        <f t="shared" si="31"/>
        <v>-5.8485000000000014</v>
      </c>
      <c r="ID13" s="18">
        <f t="shared" si="32"/>
        <v>0.88111741700477275</v>
      </c>
      <c r="IE13" s="6">
        <v>47.617400000000004</v>
      </c>
      <c r="IF13" s="6">
        <v>41.518000000000001</v>
      </c>
      <c r="IG13" s="3">
        <f t="shared" si="33"/>
        <v>6.0994000000000028</v>
      </c>
      <c r="IH13" s="18">
        <f t="shared" si="34"/>
        <v>1.1469097740738958</v>
      </c>
      <c r="II13" s="6">
        <v>58.385800000000003</v>
      </c>
      <c r="IJ13" s="6">
        <v>66.313699999999997</v>
      </c>
      <c r="IK13" s="3">
        <f t="shared" si="35"/>
        <v>-7.927899999999994</v>
      </c>
      <c r="IL13" s="18">
        <f t="shared" si="36"/>
        <v>0.88044853476732565</v>
      </c>
      <c r="IM13" s="6">
        <v>71.082999999999998</v>
      </c>
      <c r="IN13" s="6">
        <v>83.578500000000005</v>
      </c>
      <c r="IO13" s="3">
        <f t="shared" si="37"/>
        <v>-12.495500000000007</v>
      </c>
      <c r="IP13" s="18">
        <f t="shared" si="38"/>
        <v>0.85049384710182641</v>
      </c>
      <c r="IQ13" s="6">
        <v>51.748800000000003</v>
      </c>
      <c r="IR13" s="6">
        <v>56.300199999999997</v>
      </c>
      <c r="IS13" s="3">
        <f t="shared" si="39"/>
        <v>-4.5513999999999939</v>
      </c>
      <c r="IT13" s="18">
        <f t="shared" si="40"/>
        <v>0.91915836888678915</v>
      </c>
      <c r="IU13" s="6">
        <v>48.759700000000002</v>
      </c>
      <c r="IV13" s="6">
        <v>58.522799999999997</v>
      </c>
      <c r="IW13" s="3">
        <f t="shared" si="41"/>
        <v>-9.7630999999999943</v>
      </c>
      <c r="IX13" s="18">
        <f t="shared" si="42"/>
        <v>0.83317442090945759</v>
      </c>
      <c r="IY13" s="6">
        <v>56.963500000000003</v>
      </c>
      <c r="IZ13" s="6">
        <v>66.778499999999994</v>
      </c>
      <c r="JA13" s="3">
        <f t="shared" si="43"/>
        <v>-9.8149999999999906</v>
      </c>
      <c r="JB13" s="18">
        <f t="shared" si="44"/>
        <v>0.85302155633924104</v>
      </c>
      <c r="JC13" s="18">
        <f>LOG(HN13)</f>
        <v>1.1071342920533338E-3</v>
      </c>
      <c r="JF13" s="18">
        <v>11</v>
      </c>
      <c r="JG13" s="138"/>
      <c r="JH13" s="138"/>
      <c r="JI13" s="138"/>
      <c r="JJ13" s="138"/>
      <c r="JK13" s="138"/>
      <c r="JL13" s="138"/>
      <c r="JM13" s="138"/>
      <c r="JN13" s="138"/>
      <c r="JP13" s="138"/>
      <c r="JQ13" s="138"/>
      <c r="JR13" s="138"/>
      <c r="JS13" s="138"/>
      <c r="JT13" s="138"/>
      <c r="JU13" s="138"/>
      <c r="JV13" s="138"/>
      <c r="JW13" s="138"/>
      <c r="JX13" s="138"/>
      <c r="JY13" s="138"/>
      <c r="JZ13" s="138"/>
      <c r="KA13" s="138"/>
      <c r="KB13" s="138"/>
      <c r="KC13" s="138"/>
      <c r="KD13" s="138"/>
      <c r="KE13" s="68" t="s">
        <v>531</v>
      </c>
      <c r="KF13" s="347">
        <v>1.7399999999999999E-2</v>
      </c>
      <c r="KG13" s="347">
        <v>1.0200000000000001E-2</v>
      </c>
      <c r="KH13" s="347">
        <f t="shared" si="47"/>
        <v>1.38E-2</v>
      </c>
      <c r="KI13" s="348">
        <v>4.2000000000000003E-2</v>
      </c>
      <c r="KJ13" s="348">
        <v>2.2100000000000002E-2</v>
      </c>
      <c r="KK13" s="348">
        <f t="shared" si="48"/>
        <v>3.2050000000000002E-2</v>
      </c>
      <c r="KL13" s="347">
        <f t="shared" si="49"/>
        <v>1.8250000000000002E-2</v>
      </c>
      <c r="KM13" s="347">
        <f t="shared" si="50"/>
        <v>2.3224637681159424</v>
      </c>
      <c r="KN13" s="354">
        <f t="shared" si="64"/>
        <v>6.2004637681159425</v>
      </c>
      <c r="KO13" s="18">
        <f t="shared" si="51"/>
        <v>0.79242417407907229</v>
      </c>
      <c r="KP13" s="18">
        <v>0.79242417407907229</v>
      </c>
      <c r="KQ13" s="340">
        <v>8.5</v>
      </c>
      <c r="KR13" s="18">
        <v>8.7999998400000001E-2</v>
      </c>
      <c r="KS13" s="18">
        <v>0.16999999933333335</v>
      </c>
      <c r="KT13" s="18">
        <v>0.18666666600000001</v>
      </c>
      <c r="KU13" s="18">
        <v>5.0000000999999995E-2</v>
      </c>
      <c r="KV13" s="18">
        <v>0</v>
      </c>
      <c r="KW13" s="18">
        <v>0.11000000057142857</v>
      </c>
      <c r="KX13" s="18">
        <v>2.4999999666666672E-2</v>
      </c>
      <c r="KY13" s="18">
        <v>0.17333333999999997</v>
      </c>
      <c r="KZ13" s="18">
        <v>0.56000000233333325</v>
      </c>
      <c r="LA13" s="18">
        <v>5.9999999333333331E-2</v>
      </c>
      <c r="LB13" s="18">
        <v>4.3333333666666668E-2</v>
      </c>
      <c r="LC13" s="358" t="s">
        <v>633</v>
      </c>
      <c r="LD13" s="358">
        <v>8.5</v>
      </c>
      <c r="LE13" s="358">
        <v>6</v>
      </c>
      <c r="LF13" s="358">
        <v>2.5</v>
      </c>
      <c r="LG13" s="358">
        <v>9.5</v>
      </c>
      <c r="LH13" s="358">
        <v>0.5</v>
      </c>
      <c r="LI13" s="358">
        <v>0</v>
      </c>
      <c r="LJ13" s="144">
        <v>0.10000000149</v>
      </c>
      <c r="LK13" s="158" t="s">
        <v>531</v>
      </c>
      <c r="LL13" s="68">
        <v>0.49099999999999999</v>
      </c>
      <c r="LM13" s="5">
        <v>0.49669999999999997</v>
      </c>
      <c r="LN13" s="5">
        <f t="shared" si="52"/>
        <v>0.49385000000000001</v>
      </c>
      <c r="LO13" s="5">
        <v>0.5554</v>
      </c>
      <c r="LP13" s="5">
        <v>0.55459999999999998</v>
      </c>
      <c r="LQ13" s="80">
        <f t="shared" si="53"/>
        <v>0.55499999999999994</v>
      </c>
      <c r="LR13" s="77">
        <f t="shared" si="54"/>
        <v>-6.1149999999999927E-2</v>
      </c>
      <c r="LS13" s="68">
        <v>8.5007999999999999</v>
      </c>
      <c r="LT13" s="5">
        <v>8.4449000000000005</v>
      </c>
      <c r="LU13" s="5">
        <f t="shared" si="55"/>
        <v>8.4728500000000011</v>
      </c>
      <c r="LV13" s="5">
        <v>16.980899999999998</v>
      </c>
      <c r="LW13" s="5">
        <v>16.044599999999999</v>
      </c>
      <c r="LX13" s="80">
        <f t="shared" si="56"/>
        <v>16.512749999999997</v>
      </c>
      <c r="LY13" s="77">
        <f t="shared" si="57"/>
        <v>-8.0398999999999958</v>
      </c>
      <c r="LZ13" s="68">
        <v>1.0485</v>
      </c>
      <c r="MA13" s="5">
        <v>1.0269999999999999</v>
      </c>
      <c r="MB13" s="5">
        <f>AVERAGE(LZ13:MA13)</f>
        <v>1.03775</v>
      </c>
      <c r="MC13" s="5">
        <v>0.95379999999999998</v>
      </c>
      <c r="MD13" s="5">
        <v>0.94810000000000005</v>
      </c>
      <c r="ME13" s="80">
        <f>AVERAGE(MC13:MD13)</f>
        <v>0.95094999999999996</v>
      </c>
      <c r="MF13" s="77">
        <f t="shared" si="58"/>
        <v>8.6799999999999988E-2</v>
      </c>
      <c r="MG13" s="68">
        <v>0.31890000000000002</v>
      </c>
      <c r="MH13" s="5">
        <v>0.316</v>
      </c>
      <c r="MI13" s="5">
        <f>AVERAGE(MG13:MH13)</f>
        <v>0.31745000000000001</v>
      </c>
      <c r="MJ13" s="5">
        <v>0.45639999999999997</v>
      </c>
      <c r="MK13" s="5">
        <v>0.46110000000000001</v>
      </c>
      <c r="ML13" s="80">
        <f>AVERAGE(MJ13:MK13)</f>
        <v>0.45874999999999999</v>
      </c>
      <c r="MM13" s="77">
        <f t="shared" si="59"/>
        <v>-0.14129999999999998</v>
      </c>
      <c r="MO13" s="5">
        <v>0.35526945980000002</v>
      </c>
      <c r="MP13" s="5">
        <v>1.4316235289999999</v>
      </c>
      <c r="MQ13" s="5">
        <v>2.9481303080000001</v>
      </c>
      <c r="MR13" s="5">
        <v>2.1556093920000001</v>
      </c>
      <c r="MS13" s="292">
        <v>2.0979807309999998</v>
      </c>
      <c r="MT13" s="18">
        <v>-0.80597653049999995</v>
      </c>
      <c r="MU13" s="18">
        <v>1.602838309</v>
      </c>
      <c r="MV13" s="18">
        <v>2.859210687</v>
      </c>
      <c r="MW13" s="18">
        <v>2.1517505240000001</v>
      </c>
    </row>
    <row r="14" spans="1:361" ht="15.75" customHeight="1" x14ac:dyDescent="0.2">
      <c r="A14" s="3" t="s">
        <v>11</v>
      </c>
      <c r="B14" s="79"/>
      <c r="C14" s="5">
        <v>3</v>
      </c>
      <c r="D14" s="5">
        <v>23</v>
      </c>
      <c r="E14" s="5">
        <v>49</v>
      </c>
      <c r="F14" s="5">
        <v>56</v>
      </c>
      <c r="G14" s="18">
        <v>30</v>
      </c>
      <c r="H14" s="79">
        <v>103</v>
      </c>
      <c r="I14" s="5">
        <v>21</v>
      </c>
      <c r="J14" s="5">
        <v>126</v>
      </c>
      <c r="K14" s="5">
        <v>121</v>
      </c>
      <c r="L14" s="5">
        <v>142</v>
      </c>
      <c r="M14" s="5">
        <v>79</v>
      </c>
      <c r="N14" s="5">
        <v>148</v>
      </c>
      <c r="O14" s="5">
        <v>0</v>
      </c>
      <c r="P14" s="5">
        <v>-2</v>
      </c>
      <c r="Q14" s="5">
        <v>0</v>
      </c>
      <c r="R14" s="5">
        <v>-8</v>
      </c>
      <c r="S14" s="5">
        <v>12</v>
      </c>
      <c r="T14" s="18">
        <v>10</v>
      </c>
      <c r="U14" s="5">
        <v>8</v>
      </c>
      <c r="V14" s="5">
        <v>-14</v>
      </c>
      <c r="W14" s="5">
        <v>4</v>
      </c>
      <c r="X14" s="5">
        <v>-14</v>
      </c>
      <c r="Y14" s="5">
        <v>2</v>
      </c>
      <c r="Z14" s="92">
        <v>-4.0417647368421003E-2</v>
      </c>
      <c r="AA14" s="88">
        <v>4</v>
      </c>
      <c r="AB14" s="68">
        <v>84</v>
      </c>
      <c r="AC14" s="5">
        <v>84</v>
      </c>
      <c r="AD14" s="5">
        <v>88</v>
      </c>
      <c r="AE14" s="80">
        <v>85</v>
      </c>
      <c r="AF14" s="179">
        <v>-5</v>
      </c>
      <c r="AG14" s="154">
        <v>-2</v>
      </c>
      <c r="AH14" s="154">
        <v>7</v>
      </c>
      <c r="AI14" s="154">
        <v>0</v>
      </c>
      <c r="AJ14" s="68">
        <v>79</v>
      </c>
      <c r="AK14" s="5">
        <v>82</v>
      </c>
      <c r="AL14" s="5">
        <v>95</v>
      </c>
      <c r="AM14" s="80">
        <v>85</v>
      </c>
      <c r="AN14" s="68">
        <v>84</v>
      </c>
      <c r="AO14" s="5">
        <v>84</v>
      </c>
      <c r="AP14" s="5">
        <v>88</v>
      </c>
      <c r="AQ14" s="80">
        <v>85</v>
      </c>
      <c r="AR14" s="68">
        <v>79</v>
      </c>
      <c r="AS14" s="5">
        <v>82</v>
      </c>
      <c r="AT14" s="5">
        <v>95</v>
      </c>
      <c r="AU14" s="80">
        <v>85</v>
      </c>
      <c r="AV14" s="179">
        <f t="shared" si="11"/>
        <v>-5</v>
      </c>
      <c r="AW14" s="154">
        <f t="shared" si="0"/>
        <v>-2</v>
      </c>
      <c r="AX14" s="154">
        <f t="shared" si="0"/>
        <v>7</v>
      </c>
      <c r="AY14" s="185">
        <f t="shared" si="0"/>
        <v>0</v>
      </c>
      <c r="AZ14" s="9">
        <v>1.0476190476190477</v>
      </c>
      <c r="BA14" s="77">
        <v>-0.15491259795057255</v>
      </c>
      <c r="BB14" s="18">
        <v>1</v>
      </c>
      <c r="BC14" s="77">
        <v>-3.7974683544303778E-2</v>
      </c>
      <c r="BD14" s="154">
        <v>0.68</v>
      </c>
      <c r="BE14" s="144">
        <v>0.11</v>
      </c>
      <c r="BF14" s="5">
        <v>0</v>
      </c>
      <c r="BG14" s="5">
        <v>-2</v>
      </c>
      <c r="BK14" s="18" t="s">
        <v>11</v>
      </c>
      <c r="BL14" s="18">
        <v>0</v>
      </c>
      <c r="BM14" s="18">
        <v>0</v>
      </c>
      <c r="BN14" s="18">
        <v>-2</v>
      </c>
      <c r="BO14" s="18">
        <v>0</v>
      </c>
      <c r="BP14" s="18">
        <v>-2</v>
      </c>
      <c r="BQ14" s="138" t="s">
        <v>482</v>
      </c>
      <c r="BR14" s="138">
        <v>-7.34009615125169E-27</v>
      </c>
      <c r="BS14" s="138" t="s">
        <v>483</v>
      </c>
      <c r="BT14" s="138">
        <v>-9.3468631265256302E-27</v>
      </c>
      <c r="BU14" s="138">
        <f t="shared" si="12"/>
        <v>-8.3434796388886608E-27</v>
      </c>
      <c r="BW14" s="18">
        <v>0.28000000000000003</v>
      </c>
      <c r="BX14" s="18">
        <v>0.18</v>
      </c>
      <c r="BY14" s="18">
        <f t="shared" si="13"/>
        <v>0.10000000000000003</v>
      </c>
      <c r="BZ14" s="3">
        <v>0.16799999999999998</v>
      </c>
      <c r="CA14" s="18">
        <v>0</v>
      </c>
      <c r="CB14" s="18">
        <v>0</v>
      </c>
      <c r="CC14" s="18">
        <v>1.3333333333333334E-2</v>
      </c>
      <c r="CD14" s="18">
        <v>0</v>
      </c>
      <c r="CE14" s="18">
        <v>9.4285714285714278E-2</v>
      </c>
      <c r="CF14" s="18">
        <v>0</v>
      </c>
      <c r="CG14" s="18">
        <v>0.48</v>
      </c>
      <c r="CH14" s="18">
        <v>1</v>
      </c>
      <c r="CI14" s="18">
        <v>1</v>
      </c>
      <c r="CJ14" s="18">
        <v>0</v>
      </c>
      <c r="CK14" s="285" t="s">
        <v>532</v>
      </c>
      <c r="CL14" s="18">
        <v>1.9248468110000001</v>
      </c>
      <c r="CM14" s="18">
        <v>-1.464961551</v>
      </c>
      <c r="CN14" s="18">
        <v>-0.5096687862</v>
      </c>
      <c r="CO14" s="18">
        <v>-0.61029177369999998</v>
      </c>
      <c r="CP14" s="18">
        <v>-0.39863949970000001</v>
      </c>
      <c r="CQ14" s="18">
        <v>-0.32027882969999999</v>
      </c>
      <c r="CR14" s="18">
        <v>-0.42942973109999999</v>
      </c>
      <c r="CS14" s="18">
        <v>-0.33995394410000002</v>
      </c>
      <c r="CT14" s="18">
        <v>-0.56519255069999996</v>
      </c>
      <c r="CY14" s="18">
        <v>-0.1382037357</v>
      </c>
      <c r="CZ14" s="285" t="s">
        <v>532</v>
      </c>
      <c r="DA14" s="68">
        <v>16.638373130000002</v>
      </c>
      <c r="DB14" s="5">
        <v>16.247323260000002</v>
      </c>
      <c r="DC14" s="5">
        <v>20.983431530000001</v>
      </c>
      <c r="DD14" s="80">
        <f>AVERAGE(DA14,DC14)</f>
        <v>18.810902330000001</v>
      </c>
      <c r="DE14" s="68">
        <v>10.54526188</v>
      </c>
      <c r="DF14" s="5">
        <v>11.107842229999999</v>
      </c>
      <c r="DG14" s="5">
        <v>10.993757349999999</v>
      </c>
      <c r="DH14" s="80">
        <f>AVERAGE(DE14,DG14)</f>
        <v>10.769509615</v>
      </c>
      <c r="DI14" s="151">
        <f t="shared" si="61"/>
        <v>-6.0931112500000015</v>
      </c>
      <c r="DJ14" s="298">
        <f t="shared" si="61"/>
        <v>-5.1394810300000024</v>
      </c>
      <c r="DK14" s="294">
        <f t="shared" si="61"/>
        <v>-9.9896741800000015</v>
      </c>
      <c r="DL14" s="244">
        <f t="shared" si="61"/>
        <v>-8.0413927150000006</v>
      </c>
      <c r="DM14" s="295" t="s">
        <v>532</v>
      </c>
      <c r="DN14" s="68">
        <v>6.8954525990000004</v>
      </c>
      <c r="DO14" s="5">
        <v>4.7858671680000002</v>
      </c>
      <c r="DP14" s="5">
        <v>6.94477469</v>
      </c>
      <c r="DQ14" s="3">
        <f>AVERAGE(DN14,DP14)</f>
        <v>6.9201136445000007</v>
      </c>
      <c r="DR14" s="68">
        <v>2.7998925699999999</v>
      </c>
      <c r="DS14" s="5">
        <v>2.6797561820000002</v>
      </c>
      <c r="DT14" s="5">
        <v>2.964048069</v>
      </c>
      <c r="DU14" s="3">
        <f>AVERAGE(DR14,DT14)</f>
        <v>2.8819703194999997</v>
      </c>
      <c r="DV14" s="24">
        <f t="shared" si="62"/>
        <v>-4.0955600290000005</v>
      </c>
      <c r="DW14" s="298">
        <f t="shared" si="62"/>
        <v>-2.106110986</v>
      </c>
      <c r="DX14" s="24">
        <f t="shared" si="62"/>
        <v>-3.9807266210000001</v>
      </c>
      <c r="DY14" s="188">
        <f t="shared" si="62"/>
        <v>-4.0381433250000009</v>
      </c>
      <c r="DZ14" s="295" t="s">
        <v>532</v>
      </c>
      <c r="EA14" s="18">
        <v>11.63639622</v>
      </c>
      <c r="EB14" s="18">
        <v>10.41976618</v>
      </c>
      <c r="EC14" s="18">
        <v>11.610182760000001</v>
      </c>
      <c r="ED14" s="3">
        <f>AVERAGE(EA14,EC14)</f>
        <v>11.623289490000001</v>
      </c>
      <c r="EE14" s="18">
        <v>4.0648692430000004</v>
      </c>
      <c r="EF14" s="18">
        <v>4.0911439679999999</v>
      </c>
      <c r="EG14" s="18">
        <v>3.382114375</v>
      </c>
      <c r="EH14" s="3">
        <f>AVERAGE(EE14,EG14)</f>
        <v>3.7234918090000004</v>
      </c>
      <c r="EI14" s="24">
        <f t="shared" si="63"/>
        <v>-7.5715269769999995</v>
      </c>
      <c r="EJ14" s="298">
        <f t="shared" si="63"/>
        <v>-6.328622212</v>
      </c>
      <c r="EK14" s="24">
        <f t="shared" si="63"/>
        <v>-8.2280683850000003</v>
      </c>
      <c r="EL14" s="188">
        <f t="shared" si="63"/>
        <v>-7.8997976810000008</v>
      </c>
      <c r="EM14" s="295" t="s">
        <v>532</v>
      </c>
      <c r="EN14" s="151" t="s">
        <v>482</v>
      </c>
      <c r="EO14" s="244">
        <v>39.902176146699702</v>
      </c>
      <c r="EP14" s="151" t="s">
        <v>483</v>
      </c>
      <c r="EQ14" s="244">
        <v>27.929237024576199</v>
      </c>
      <c r="ER14" s="244">
        <f t="shared" si="14"/>
        <v>33.915706585637949</v>
      </c>
      <c r="ES14" s="18">
        <v>-2</v>
      </c>
      <c r="ET14" s="18">
        <v>1</v>
      </c>
      <c r="EU14" s="18">
        <v>4</v>
      </c>
      <c r="EV14" s="18">
        <v>1</v>
      </c>
      <c r="EW14" s="18">
        <v>2</v>
      </c>
      <c r="EX14" s="18">
        <v>0</v>
      </c>
      <c r="EY14" s="18">
        <v>6</v>
      </c>
      <c r="EZ14" s="5">
        <v>-1.464961551</v>
      </c>
      <c r="FA14" s="18">
        <v>-44.743404562670186</v>
      </c>
      <c r="FB14" s="310">
        <v>12</v>
      </c>
      <c r="FC14" s="5">
        <v>49</v>
      </c>
      <c r="FD14" s="18">
        <v>30</v>
      </c>
      <c r="FE14" s="340">
        <v>4</v>
      </c>
      <c r="FF14" s="18">
        <v>0.16799999999999998</v>
      </c>
      <c r="FG14" s="18">
        <v>0</v>
      </c>
      <c r="FH14" s="18">
        <v>0</v>
      </c>
      <c r="FI14" s="18">
        <v>1.3333333333333334E-2</v>
      </c>
      <c r="FJ14" s="18">
        <v>0</v>
      </c>
      <c r="FK14" s="18">
        <v>9.1428571428571415E-2</v>
      </c>
      <c r="FL14" s="18">
        <v>0</v>
      </c>
      <c r="FM14" s="18">
        <v>0.48</v>
      </c>
      <c r="FN14" s="18">
        <v>0.98666666666666669</v>
      </c>
      <c r="FO14" s="18">
        <v>0.97666666666666668</v>
      </c>
      <c r="FP14" s="18">
        <v>0</v>
      </c>
      <c r="FQ14" s="322">
        <v>0</v>
      </c>
      <c r="FR14" s="5">
        <v>8</v>
      </c>
      <c r="FS14" s="5">
        <v>2</v>
      </c>
      <c r="FT14" s="259">
        <v>0.16799999999999998</v>
      </c>
      <c r="FU14" s="72">
        <v>0</v>
      </c>
      <c r="FV14" s="260">
        <v>0</v>
      </c>
      <c r="FW14" s="261">
        <v>1.3333333333333334E-2</v>
      </c>
      <c r="FX14" s="154">
        <v>0</v>
      </c>
      <c r="FY14" s="262">
        <v>9.4285714285714278E-2</v>
      </c>
      <c r="FZ14" s="263">
        <v>0</v>
      </c>
      <c r="GA14" s="264">
        <v>0.48</v>
      </c>
      <c r="GB14" s="265">
        <v>1</v>
      </c>
      <c r="GC14" s="266">
        <v>1</v>
      </c>
      <c r="GD14" s="267">
        <v>0</v>
      </c>
      <c r="GE14" s="5">
        <v>-1.464961551</v>
      </c>
      <c r="GF14" s="18">
        <v>-2</v>
      </c>
      <c r="GG14" s="18">
        <v>1</v>
      </c>
      <c r="GH14" s="18">
        <v>4</v>
      </c>
      <c r="GI14" s="18">
        <v>1</v>
      </c>
      <c r="GJ14" s="18">
        <v>2</v>
      </c>
      <c r="GK14" s="18">
        <v>0</v>
      </c>
      <c r="GL14" s="18">
        <v>6</v>
      </c>
      <c r="GN14" s="5">
        <v>126</v>
      </c>
      <c r="GO14" s="5">
        <v>121</v>
      </c>
      <c r="GP14" s="5">
        <v>142</v>
      </c>
      <c r="GQ14" s="5">
        <v>79</v>
      </c>
      <c r="GR14" s="5">
        <v>148</v>
      </c>
      <c r="GS14" s="144">
        <v>0.11</v>
      </c>
      <c r="GT14" s="18">
        <v>63.950699999999998</v>
      </c>
      <c r="GU14" s="18">
        <v>58.256</v>
      </c>
      <c r="GV14" s="3">
        <f t="shared" si="15"/>
        <v>5.6946999999999974</v>
      </c>
      <c r="GW14" s="5">
        <f t="shared" si="16"/>
        <v>1.0977530211480362</v>
      </c>
      <c r="GX14" s="18">
        <f t="shared" si="17"/>
        <v>4.050464100859634E-2</v>
      </c>
      <c r="GY14" s="18">
        <v>55.167999999999999</v>
      </c>
      <c r="GZ14" s="18">
        <v>47.944099999999999</v>
      </c>
      <c r="HA14" s="3">
        <f t="shared" si="18"/>
        <v>7.2239000000000004</v>
      </c>
      <c r="HB14" s="18">
        <f t="shared" si="19"/>
        <v>1.1506733883835549</v>
      </c>
      <c r="HC14" s="18">
        <v>60.094299999999997</v>
      </c>
      <c r="HD14" s="18">
        <v>51.881500000000003</v>
      </c>
      <c r="HE14" s="3">
        <f t="shared" si="20"/>
        <v>8.2127999999999943</v>
      </c>
      <c r="HF14" s="18">
        <f t="shared" si="21"/>
        <v>1.158299201063963</v>
      </c>
      <c r="HG14" s="18">
        <v>36.954799999999999</v>
      </c>
      <c r="HH14" s="18">
        <v>46.120800000000003</v>
      </c>
      <c r="HI14" s="3">
        <f t="shared" si="22"/>
        <v>-9.1660000000000039</v>
      </c>
      <c r="HJ14" s="18">
        <f t="shared" si="23"/>
        <v>0.80126103623527767</v>
      </c>
      <c r="HK14" s="5">
        <v>78.503699999999995</v>
      </c>
      <c r="HL14" s="5">
        <v>61.514499999999998</v>
      </c>
      <c r="HM14" s="3">
        <f t="shared" si="24"/>
        <v>16.989199999999997</v>
      </c>
      <c r="HN14" s="5">
        <f t="shared" si="60"/>
        <v>1.2761820383811946</v>
      </c>
      <c r="HO14" s="18">
        <v>50.860399999999998</v>
      </c>
      <c r="HP14" s="18">
        <v>51.941499999999998</v>
      </c>
      <c r="HQ14" s="3">
        <f t="shared" si="25"/>
        <v>-1.0810999999999993</v>
      </c>
      <c r="HR14" s="18">
        <f t="shared" si="26"/>
        <v>0.97918619985945732</v>
      </c>
      <c r="HS14" s="18">
        <v>52.973199999999999</v>
      </c>
      <c r="HT14" s="18">
        <v>57.261800000000001</v>
      </c>
      <c r="HU14" s="3">
        <f t="shared" si="27"/>
        <v>-4.2886000000000024</v>
      </c>
      <c r="HV14" s="18">
        <f t="shared" si="28"/>
        <v>0.92510539312421192</v>
      </c>
      <c r="HW14" s="18">
        <v>53.551699999999997</v>
      </c>
      <c r="HX14" s="18">
        <v>54.403500000000001</v>
      </c>
      <c r="HY14" s="3">
        <f t="shared" si="29"/>
        <v>-0.85180000000000433</v>
      </c>
      <c r="HZ14" s="18">
        <f t="shared" si="30"/>
        <v>0.9843429191136599</v>
      </c>
      <c r="IA14" s="18">
        <v>46.323300000000003</v>
      </c>
      <c r="IB14" s="18">
        <v>49.111499999999999</v>
      </c>
      <c r="IC14" s="3">
        <f t="shared" si="31"/>
        <v>-2.7881999999999962</v>
      </c>
      <c r="ID14" s="18">
        <f t="shared" si="32"/>
        <v>0.94322714639137484</v>
      </c>
      <c r="IE14" s="18">
        <v>47.684100000000001</v>
      </c>
      <c r="IF14" s="18">
        <v>44.785800000000002</v>
      </c>
      <c r="IG14" s="3">
        <f t="shared" si="33"/>
        <v>2.898299999999999</v>
      </c>
      <c r="IH14" s="18">
        <f t="shared" si="34"/>
        <v>1.0647147086799833</v>
      </c>
      <c r="II14" s="18">
        <v>58.941699999999997</v>
      </c>
      <c r="IJ14" s="18">
        <v>60.303800000000003</v>
      </c>
      <c r="IK14" s="3">
        <f t="shared" si="35"/>
        <v>-1.3621000000000052</v>
      </c>
      <c r="IL14" s="18">
        <f t="shared" si="36"/>
        <v>0.97741270036050787</v>
      </c>
      <c r="IM14" s="18">
        <v>69.585999999999999</v>
      </c>
      <c r="IN14" s="18">
        <v>76.763999999999996</v>
      </c>
      <c r="IO14" s="3">
        <f t="shared" si="37"/>
        <v>-7.1779999999999973</v>
      </c>
      <c r="IP14" s="18">
        <f t="shared" si="38"/>
        <v>0.90649262675212339</v>
      </c>
      <c r="IQ14" s="18">
        <v>45.022100000000002</v>
      </c>
      <c r="IR14" s="18">
        <v>45.204700000000003</v>
      </c>
      <c r="IS14" s="3">
        <f t="shared" si="39"/>
        <v>-0.18260000000000076</v>
      </c>
      <c r="IT14" s="18">
        <f t="shared" si="40"/>
        <v>0.99596059701756678</v>
      </c>
      <c r="IU14" s="18">
        <v>51.340400000000002</v>
      </c>
      <c r="IV14" s="18">
        <v>53.494500000000002</v>
      </c>
      <c r="IW14" s="3">
        <f t="shared" si="41"/>
        <v>-2.1540999999999997</v>
      </c>
      <c r="IX14" s="18">
        <f t="shared" si="42"/>
        <v>0.95973230892895534</v>
      </c>
      <c r="IY14" s="18">
        <v>60.508699999999997</v>
      </c>
      <c r="IZ14" s="18">
        <v>65.884</v>
      </c>
      <c r="JA14" s="3">
        <f t="shared" si="43"/>
        <v>-5.3753000000000029</v>
      </c>
      <c r="JB14" s="18">
        <f t="shared" si="44"/>
        <v>0.9184126646833829</v>
      </c>
      <c r="JC14" s="18">
        <f>LOG(HN14)</f>
        <v>0.10591262785350319</v>
      </c>
      <c r="JD14" s="18">
        <v>33.915706585637949</v>
      </c>
      <c r="JE14" s="18">
        <f t="shared" si="45"/>
        <v>0.3391570658563795</v>
      </c>
      <c r="JG14" s="336" t="s">
        <v>600</v>
      </c>
      <c r="JH14" s="18">
        <v>0.45074725458954601</v>
      </c>
      <c r="JJ14" s="336" t="s">
        <v>600</v>
      </c>
      <c r="JK14" s="18">
        <v>0.13695586756907999</v>
      </c>
      <c r="JM14" s="336" t="s">
        <v>600</v>
      </c>
      <c r="JN14" s="18">
        <v>0.41898596648429598</v>
      </c>
      <c r="JO14" s="18">
        <f t="shared" si="46"/>
        <v>0.58101403351570402</v>
      </c>
      <c r="JP14" s="336" t="s">
        <v>600</v>
      </c>
      <c r="JQ14" s="18">
        <v>0.556797753637713</v>
      </c>
      <c r="JT14" s="336" t="s">
        <v>600</v>
      </c>
      <c r="JU14" s="18">
        <v>0.48387493329701498</v>
      </c>
      <c r="JW14" s="336" t="s">
        <v>600</v>
      </c>
      <c r="JX14" s="18">
        <v>0.15888542134873901</v>
      </c>
      <c r="JZ14" s="336" t="s">
        <v>600</v>
      </c>
      <c r="KA14" s="18">
        <v>0.339413542425751</v>
      </c>
      <c r="KC14" s="336" t="s">
        <v>600</v>
      </c>
      <c r="KD14" s="18">
        <v>0.40430423876962901</v>
      </c>
      <c r="KE14" s="68" t="s">
        <v>532</v>
      </c>
      <c r="KF14" s="347">
        <v>3.9600000000000003E-2</v>
      </c>
      <c r="KG14" s="347">
        <v>3.32E-2</v>
      </c>
      <c r="KH14" s="347">
        <f t="shared" si="47"/>
        <v>3.6400000000000002E-2</v>
      </c>
      <c r="KI14" s="348">
        <v>8.0799999999999997E-2</v>
      </c>
      <c r="KJ14" s="348">
        <v>5.5199999999999999E-2</v>
      </c>
      <c r="KK14" s="348">
        <f t="shared" si="48"/>
        <v>6.8000000000000005E-2</v>
      </c>
      <c r="KL14" s="347">
        <f t="shared" si="49"/>
        <v>3.1600000000000003E-2</v>
      </c>
      <c r="KM14" s="347">
        <f t="shared" si="50"/>
        <v>1.8681318681318682</v>
      </c>
      <c r="KN14" s="354">
        <f t="shared" si="64"/>
        <v>5.7461318681318687</v>
      </c>
      <c r="KO14" s="18">
        <f t="shared" si="51"/>
        <v>0.75937558840581787</v>
      </c>
      <c r="KP14" s="18">
        <v>0.75937558840581787</v>
      </c>
      <c r="KQ14" s="340">
        <v>4</v>
      </c>
      <c r="KR14" s="18">
        <v>0.16799999999999998</v>
      </c>
      <c r="KS14" s="18">
        <v>0</v>
      </c>
      <c r="KT14" s="18">
        <v>0</v>
      </c>
      <c r="KU14" s="18">
        <v>1.3333333333333334E-2</v>
      </c>
      <c r="KV14" s="18">
        <v>0</v>
      </c>
      <c r="KW14" s="18">
        <v>9.1428571428571415E-2</v>
      </c>
      <c r="KX14" s="18">
        <v>0</v>
      </c>
      <c r="KY14" s="18">
        <v>0.48</v>
      </c>
      <c r="KZ14" s="18">
        <v>0.98666666666666669</v>
      </c>
      <c r="LA14" s="18">
        <v>0.97666666666666668</v>
      </c>
      <c r="LB14" s="18">
        <v>0</v>
      </c>
      <c r="LC14" s="358" t="s">
        <v>634</v>
      </c>
      <c r="LD14" s="358">
        <v>4</v>
      </c>
      <c r="LE14" s="358">
        <v>4</v>
      </c>
      <c r="LF14" s="358">
        <v>0</v>
      </c>
      <c r="LG14" s="358">
        <v>5</v>
      </c>
      <c r="LH14" s="358">
        <v>6.5</v>
      </c>
      <c r="LI14" s="358">
        <v>0</v>
      </c>
      <c r="LJ14" s="144">
        <v>0.11</v>
      </c>
      <c r="LK14" s="158" t="s">
        <v>532</v>
      </c>
      <c r="LL14" s="68">
        <v>0.47589999999999999</v>
      </c>
      <c r="LM14" s="5">
        <v>0.48330000000000001</v>
      </c>
      <c r="LN14" s="5">
        <f t="shared" si="52"/>
        <v>0.47960000000000003</v>
      </c>
      <c r="LO14" s="5">
        <v>0.55230000000000001</v>
      </c>
      <c r="LP14" s="5">
        <v>0.53269999999999995</v>
      </c>
      <c r="LQ14" s="80">
        <f t="shared" si="53"/>
        <v>0.54249999999999998</v>
      </c>
      <c r="LR14" s="77">
        <f t="shared" si="54"/>
        <v>-6.2899999999999956E-2</v>
      </c>
      <c r="LS14" s="68">
        <v>8.9411000000000005</v>
      </c>
      <c r="LT14" s="5">
        <v>9.7805</v>
      </c>
      <c r="LU14" s="5">
        <f t="shared" si="55"/>
        <v>9.3608000000000011</v>
      </c>
      <c r="LV14" s="5">
        <v>18.723299999999998</v>
      </c>
      <c r="LW14" s="5">
        <v>18.832599999999999</v>
      </c>
      <c r="LX14" s="80">
        <f t="shared" si="56"/>
        <v>18.777949999999997</v>
      </c>
      <c r="LY14" s="77">
        <f t="shared" si="57"/>
        <v>-9.4171499999999959</v>
      </c>
      <c r="LZ14" s="68">
        <v>1.0734999999999999</v>
      </c>
      <c r="MA14" s="5">
        <v>1.0567</v>
      </c>
      <c r="MB14" s="5">
        <f>AVERAGE(LZ14:MA14)</f>
        <v>1.0650999999999999</v>
      </c>
      <c r="MC14" s="5">
        <v>0.94720000000000004</v>
      </c>
      <c r="MD14" s="5">
        <v>0.97750000000000004</v>
      </c>
      <c r="ME14" s="80">
        <f>AVERAGE(MC14:MD14)</f>
        <v>0.96235000000000004</v>
      </c>
      <c r="MF14" s="77">
        <f t="shared" si="58"/>
        <v>0.1027499999999999</v>
      </c>
      <c r="MG14" s="68">
        <v>0.2437</v>
      </c>
      <c r="MH14" s="5">
        <v>0.27100000000000002</v>
      </c>
      <c r="MI14" s="5">
        <f>AVERAGE(MG14:MH14)</f>
        <v>0.25735000000000002</v>
      </c>
      <c r="MJ14" s="5">
        <v>0.45669999999999999</v>
      </c>
      <c r="MK14" s="5">
        <v>0.42330000000000001</v>
      </c>
      <c r="ML14" s="80">
        <f>AVERAGE(MJ14:MK14)</f>
        <v>0.44</v>
      </c>
      <c r="MM14" s="77">
        <f t="shared" si="59"/>
        <v>-0.18264999999999998</v>
      </c>
      <c r="MO14" s="5">
        <v>0.29598647630000002</v>
      </c>
      <c r="MP14" s="5">
        <v>2.664299722</v>
      </c>
      <c r="MQ14" s="5">
        <v>4.1392239169999998</v>
      </c>
      <c r="MR14" s="5">
        <v>2.5048735259999999</v>
      </c>
      <c r="MS14" s="292">
        <v>2.7994683899999999</v>
      </c>
      <c r="MT14" s="18">
        <v>-1.464961551</v>
      </c>
      <c r="MU14" s="18">
        <v>0.27721569089999998</v>
      </c>
      <c r="MV14" s="18">
        <v>0.70734676549999997</v>
      </c>
      <c r="MW14" s="18">
        <v>0.4651410265</v>
      </c>
    </row>
    <row r="15" spans="1:361" ht="16.5" customHeight="1" thickBot="1" x14ac:dyDescent="0.25">
      <c r="A15" s="3" t="s">
        <v>12</v>
      </c>
      <c r="B15" s="5">
        <v>0</v>
      </c>
      <c r="C15" s="5">
        <v>6</v>
      </c>
      <c r="D15" s="5">
        <v>29</v>
      </c>
      <c r="E15" s="5">
        <v>56</v>
      </c>
      <c r="F15" s="5">
        <v>48</v>
      </c>
      <c r="G15" s="18">
        <v>32</v>
      </c>
      <c r="H15" s="24">
        <v>123</v>
      </c>
      <c r="I15" s="5">
        <v>12</v>
      </c>
      <c r="J15" s="5">
        <v>110</v>
      </c>
      <c r="K15" s="5">
        <v>106</v>
      </c>
      <c r="L15" s="5">
        <v>110</v>
      </c>
      <c r="M15" s="5">
        <v>94</v>
      </c>
      <c r="N15" s="5">
        <v>130</v>
      </c>
      <c r="O15" s="5">
        <v>0</v>
      </c>
      <c r="P15" s="5">
        <v>1</v>
      </c>
      <c r="Q15" s="5">
        <v>2</v>
      </c>
      <c r="R15" s="5">
        <v>-4</v>
      </c>
      <c r="S15" s="5">
        <v>17</v>
      </c>
      <c r="T15" s="18">
        <v>5</v>
      </c>
      <c r="U15" s="5">
        <v>4</v>
      </c>
      <c r="V15" s="5">
        <v>4</v>
      </c>
      <c r="W15" s="5">
        <v>0</v>
      </c>
      <c r="X15" s="5">
        <v>-10</v>
      </c>
      <c r="Y15" s="5">
        <v>-1</v>
      </c>
      <c r="Z15" s="92">
        <v>3.2763402631579001E-2</v>
      </c>
      <c r="AA15" s="88">
        <v>13</v>
      </c>
      <c r="AB15" s="68"/>
      <c r="AC15" s="5"/>
      <c r="AD15" s="5"/>
      <c r="AE15" s="80"/>
      <c r="AF15" s="179"/>
      <c r="AG15" s="154"/>
      <c r="AH15" s="154"/>
      <c r="AI15" s="154"/>
      <c r="AJ15" s="68"/>
      <c r="AK15" s="5"/>
      <c r="AL15" s="5"/>
      <c r="AM15" s="80"/>
      <c r="AN15" s="127">
        <v>72</v>
      </c>
      <c r="AO15" s="79">
        <v>69</v>
      </c>
      <c r="AP15" s="79">
        <v>80</v>
      </c>
      <c r="AQ15" s="128">
        <v>74</v>
      </c>
      <c r="AR15" s="127">
        <v>84</v>
      </c>
      <c r="AS15" s="79">
        <v>81</v>
      </c>
      <c r="AT15" s="79">
        <v>89</v>
      </c>
      <c r="AU15" s="128">
        <v>85</v>
      </c>
      <c r="AV15" s="179">
        <f t="shared" si="11"/>
        <v>12</v>
      </c>
      <c r="AW15" s="154">
        <f t="shared" si="0"/>
        <v>12</v>
      </c>
      <c r="AX15" s="154">
        <f t="shared" si="0"/>
        <v>9</v>
      </c>
      <c r="AY15" s="185">
        <f t="shared" si="0"/>
        <v>11</v>
      </c>
      <c r="AZ15" s="9"/>
      <c r="BA15" s="77"/>
      <c r="BC15" s="77"/>
      <c r="BD15" s="154">
        <v>0.17000000178800001</v>
      </c>
      <c r="BE15" s="144">
        <v>0</v>
      </c>
      <c r="BF15" s="5">
        <v>2</v>
      </c>
      <c r="BG15" s="5">
        <v>1</v>
      </c>
      <c r="BK15" s="18" t="s">
        <v>12</v>
      </c>
      <c r="BL15" s="18">
        <v>-7</v>
      </c>
      <c r="BM15" s="221">
        <v>-20</v>
      </c>
      <c r="BN15" s="21">
        <v>-21</v>
      </c>
      <c r="BO15" s="18">
        <v>-15</v>
      </c>
      <c r="BP15" s="18">
        <v>-56</v>
      </c>
      <c r="BQ15" s="138" t="s">
        <v>484</v>
      </c>
      <c r="BR15" s="138">
        <v>-9.0182271931635306E-27</v>
      </c>
      <c r="BS15" s="138" t="s">
        <v>485</v>
      </c>
      <c r="BT15" s="138">
        <v>-8.7769157560261197E-27</v>
      </c>
      <c r="BU15" s="138">
        <f t="shared" si="12"/>
        <v>-8.8975714745948245E-27</v>
      </c>
      <c r="BW15" s="18">
        <v>0</v>
      </c>
      <c r="BX15" s="18">
        <v>0.33000001311299998</v>
      </c>
      <c r="BY15" s="18">
        <f t="shared" si="13"/>
        <v>-0.33000001311299998</v>
      </c>
      <c r="BZ15" s="3">
        <v>0.22399999722841998</v>
      </c>
      <c r="CA15" s="18">
        <v>0.34333332690082669</v>
      </c>
      <c r="CB15" s="18">
        <v>0.23666665578900001</v>
      </c>
      <c r="CC15" s="18">
        <v>0.45999999841066669</v>
      </c>
      <c r="CD15" s="18">
        <v>0</v>
      </c>
      <c r="CE15" s="18">
        <v>0.32714286313521146</v>
      </c>
      <c r="CF15" s="18">
        <v>0.26333333024150002</v>
      </c>
      <c r="CG15" s="18">
        <v>0.78666667143500002</v>
      </c>
      <c r="CH15" s="18">
        <v>0.85666666428233329</v>
      </c>
      <c r="CI15" s="18">
        <v>0.91666664679833332</v>
      </c>
      <c r="CJ15" s="18">
        <v>0.26000000039733334</v>
      </c>
      <c r="CK15" s="296" t="s">
        <v>533</v>
      </c>
      <c r="CL15" s="18">
        <v>2.5291545759999998</v>
      </c>
      <c r="CM15" s="18">
        <v>-2.4568252099999999</v>
      </c>
      <c r="CN15" s="18">
        <v>-0.16142878090000001</v>
      </c>
      <c r="CO15" s="18">
        <v>-0.1936849632</v>
      </c>
      <c r="CP15" s="18">
        <v>-0.14744812900000001</v>
      </c>
      <c r="CQ15" s="18">
        <v>-0.12919013200000001</v>
      </c>
      <c r="CR15" s="18">
        <v>-9.5423213189999995E-2</v>
      </c>
      <c r="CS15" s="18">
        <v>1.8204501389999999E-2</v>
      </c>
      <c r="CT15" s="18">
        <v>0.13647798799999999</v>
      </c>
      <c r="CY15" s="18">
        <v>-0.1220478493</v>
      </c>
      <c r="CZ15" s="296" t="s">
        <v>533</v>
      </c>
      <c r="DA15" s="68">
        <v>11.15136846</v>
      </c>
      <c r="DB15" s="5">
        <v>11.704502509999999</v>
      </c>
      <c r="DC15" s="5">
        <v>9.2459522819999993</v>
      </c>
      <c r="DD15" s="80">
        <f>AVERAGE(DA15,DC15)</f>
        <v>10.198660370999999</v>
      </c>
      <c r="DE15" s="68">
        <v>14.551470180000001</v>
      </c>
      <c r="DF15" s="5">
        <v>11.138767359999999</v>
      </c>
      <c r="DG15" s="5">
        <v>11.34871231</v>
      </c>
      <c r="DH15" s="80">
        <f>AVERAGE(DE15,DG15)</f>
        <v>12.950091244999999</v>
      </c>
      <c r="DI15" s="151">
        <f t="shared" si="61"/>
        <v>3.4001017200000003</v>
      </c>
      <c r="DJ15" s="24">
        <f t="shared" si="61"/>
        <v>-0.56573515000000008</v>
      </c>
      <c r="DK15" s="294">
        <f t="shared" si="61"/>
        <v>2.1027600280000005</v>
      </c>
      <c r="DL15" s="244">
        <f t="shared" si="61"/>
        <v>2.7514308740000004</v>
      </c>
      <c r="DM15" s="297" t="s">
        <v>533</v>
      </c>
      <c r="DN15" s="68">
        <v>2.3970312109999998</v>
      </c>
      <c r="DO15" s="5">
        <v>2.7319091819999999</v>
      </c>
      <c r="DP15" s="5">
        <v>2.4690295199999999</v>
      </c>
      <c r="DQ15" s="3">
        <f>AVERAGE(DN15,DP15)</f>
        <v>2.4330303654999996</v>
      </c>
      <c r="DR15" s="68">
        <v>8.6300701390000008</v>
      </c>
      <c r="DS15" s="5">
        <v>8.9645766990000002</v>
      </c>
      <c r="DT15" s="5">
        <v>8.2010395220000003</v>
      </c>
      <c r="DU15" s="3">
        <f>AVERAGE(DR15,DT15)</f>
        <v>8.4155548304999996</v>
      </c>
      <c r="DV15" s="24">
        <f t="shared" si="62"/>
        <v>6.2330389280000009</v>
      </c>
      <c r="DW15" s="24">
        <f t="shared" si="62"/>
        <v>6.2326675170000003</v>
      </c>
      <c r="DX15" s="24">
        <f t="shared" si="62"/>
        <v>5.7320100020000009</v>
      </c>
      <c r="DY15" s="188">
        <f t="shared" si="62"/>
        <v>5.982524465</v>
      </c>
      <c r="DZ15" s="297" t="s">
        <v>533</v>
      </c>
      <c r="EA15" s="18">
        <v>3.4608413090000001</v>
      </c>
      <c r="EB15" s="18">
        <v>3.8564063709999998</v>
      </c>
      <c r="EC15" s="18">
        <v>4.2031446350000001</v>
      </c>
      <c r="ED15" s="3">
        <f>AVERAGE(EA15,EC15)</f>
        <v>3.8319929720000001</v>
      </c>
      <c r="EE15" s="18">
        <v>5.7949181449999996</v>
      </c>
      <c r="EF15" s="18">
        <v>4.793611855</v>
      </c>
      <c r="EG15" s="18">
        <v>5.2584251130000004</v>
      </c>
      <c r="EH15" s="3">
        <f>AVERAGE(EE15,EG15)</f>
        <v>5.526671629</v>
      </c>
      <c r="EI15" s="24">
        <f t="shared" si="63"/>
        <v>2.3340768359999995</v>
      </c>
      <c r="EJ15" s="24">
        <f t="shared" si="63"/>
        <v>0.93720548400000014</v>
      </c>
      <c r="EK15" s="24">
        <f t="shared" si="63"/>
        <v>1.0552804780000002</v>
      </c>
      <c r="EL15" s="188">
        <f t="shared" si="63"/>
        <v>1.6946786569999999</v>
      </c>
      <c r="EM15" s="297" t="s">
        <v>533</v>
      </c>
      <c r="EN15" s="151" t="s">
        <v>484</v>
      </c>
      <c r="EO15" s="244">
        <v>33.449927609530803</v>
      </c>
      <c r="EP15" s="151" t="s">
        <v>485</v>
      </c>
      <c r="EQ15" s="244">
        <v>27.466217800960798</v>
      </c>
      <c r="ER15" s="244">
        <f t="shared" si="14"/>
        <v>30.458072705245801</v>
      </c>
      <c r="ES15" s="18">
        <v>9</v>
      </c>
      <c r="ET15" s="18">
        <v>12</v>
      </c>
      <c r="EU15" s="18">
        <v>14</v>
      </c>
      <c r="EV15" s="18">
        <v>0</v>
      </c>
      <c r="EW15" s="18">
        <v>10</v>
      </c>
      <c r="EX15" s="18">
        <v>8</v>
      </c>
      <c r="EY15" s="18">
        <v>53</v>
      </c>
      <c r="EZ15" s="5">
        <v>-2.4568252099999999</v>
      </c>
      <c r="FA15" s="18">
        <v>-14.171700224610195</v>
      </c>
      <c r="FB15" s="310">
        <v>13</v>
      </c>
      <c r="FC15" s="5">
        <v>56</v>
      </c>
      <c r="FD15" s="18">
        <v>32</v>
      </c>
      <c r="FE15" s="340">
        <v>13</v>
      </c>
      <c r="FF15" s="18">
        <v>0.21599999740722797</v>
      </c>
      <c r="FG15" s="18">
        <v>0.33333332712433333</v>
      </c>
      <c r="FH15" s="18">
        <v>0.23333332253017333</v>
      </c>
      <c r="FI15" s="18">
        <v>0.45666666515184001</v>
      </c>
      <c r="FJ15" s="18">
        <v>0</v>
      </c>
      <c r="FK15" s="18">
        <v>0.20142857836814859</v>
      </c>
      <c r="FL15" s="18">
        <v>0.25666666372384667</v>
      </c>
      <c r="FM15" s="18">
        <v>0.77333333839970664</v>
      </c>
      <c r="FN15" s="18">
        <v>0.84999999776467994</v>
      </c>
      <c r="FO15" s="18">
        <v>0.90666664702183997</v>
      </c>
      <c r="FP15" s="18">
        <v>0.25333333387967999</v>
      </c>
      <c r="FQ15" s="322">
        <v>2</v>
      </c>
      <c r="FR15" s="5">
        <v>4</v>
      </c>
      <c r="FS15" s="5">
        <v>-1</v>
      </c>
      <c r="FT15" s="259">
        <v>0.22399999722841998</v>
      </c>
      <c r="FU15" s="72">
        <v>0.34333332690082669</v>
      </c>
      <c r="FV15" s="260">
        <v>0.23666665578900001</v>
      </c>
      <c r="FW15" s="261">
        <v>0.45999999841066669</v>
      </c>
      <c r="FX15" s="154">
        <v>0</v>
      </c>
      <c r="FY15" s="262">
        <v>0.32714286313521146</v>
      </c>
      <c r="FZ15" s="263">
        <v>0.26333333024150002</v>
      </c>
      <c r="GA15" s="264">
        <v>0.78666667143500002</v>
      </c>
      <c r="GB15" s="265">
        <v>0.85666666428233329</v>
      </c>
      <c r="GC15" s="266">
        <v>0.91666664679833332</v>
      </c>
      <c r="GD15" s="267">
        <v>0.26000000039733334</v>
      </c>
      <c r="GE15" s="5">
        <v>-2.4568252099999999</v>
      </c>
      <c r="GF15" s="18">
        <v>9</v>
      </c>
      <c r="GG15" s="18">
        <v>12</v>
      </c>
      <c r="GH15" s="18">
        <v>14</v>
      </c>
      <c r="GI15" s="18">
        <v>0</v>
      </c>
      <c r="GJ15" s="18">
        <v>10</v>
      </c>
      <c r="GK15" s="18">
        <v>8</v>
      </c>
      <c r="GL15" s="18">
        <v>53</v>
      </c>
      <c r="GN15" s="5">
        <v>110</v>
      </c>
      <c r="GO15" s="5">
        <v>106</v>
      </c>
      <c r="GP15" s="5">
        <v>110</v>
      </c>
      <c r="GQ15" s="5">
        <v>94</v>
      </c>
      <c r="GR15" s="5">
        <v>130</v>
      </c>
      <c r="GS15" s="144">
        <v>0</v>
      </c>
      <c r="GT15" s="18">
        <v>87.306299999999993</v>
      </c>
      <c r="GU15" s="18">
        <v>72.881200000000007</v>
      </c>
      <c r="GV15" s="3">
        <f t="shared" si="15"/>
        <v>14.425099999999986</v>
      </c>
      <c r="GW15" s="5">
        <f t="shared" si="16"/>
        <v>1.1979262141677138</v>
      </c>
      <c r="GX15" s="18">
        <f t="shared" si="17"/>
        <v>7.8430068665414798E-2</v>
      </c>
      <c r="GY15" s="18">
        <v>79.683800000000005</v>
      </c>
      <c r="GZ15" s="18">
        <v>71.456699999999998</v>
      </c>
      <c r="HA15" s="3">
        <f t="shared" si="18"/>
        <v>8.2271000000000072</v>
      </c>
      <c r="HB15" s="18">
        <f t="shared" si="19"/>
        <v>1.1151340602070905</v>
      </c>
      <c r="HC15" s="18">
        <v>92.716700000000003</v>
      </c>
      <c r="HD15" s="18">
        <v>76.600800000000007</v>
      </c>
      <c r="HE15" s="3">
        <f t="shared" si="20"/>
        <v>16.115899999999996</v>
      </c>
      <c r="HF15" s="18">
        <f t="shared" si="21"/>
        <v>1.210388142160395</v>
      </c>
      <c r="HG15" s="18">
        <v>18.858499999999999</v>
      </c>
      <c r="HH15" s="18">
        <v>31.942900000000002</v>
      </c>
      <c r="HI15" s="3">
        <f t="shared" si="22"/>
        <v>-13.084400000000002</v>
      </c>
      <c r="HJ15" s="18">
        <f t="shared" si="23"/>
        <v>0.59038158714456102</v>
      </c>
      <c r="HK15" s="5">
        <v>97.450299999999999</v>
      </c>
      <c r="HL15" s="5">
        <v>68.361800000000002</v>
      </c>
      <c r="HM15" s="3">
        <f t="shared" si="24"/>
        <v>29.088499999999996</v>
      </c>
      <c r="HN15" s="5">
        <f t="shared" si="60"/>
        <v>1.4255081054038952</v>
      </c>
      <c r="HO15" s="18">
        <v>60.066000000000003</v>
      </c>
      <c r="HP15" s="18">
        <v>55.732999999999997</v>
      </c>
      <c r="HQ15" s="3">
        <f t="shared" si="25"/>
        <v>4.3330000000000055</v>
      </c>
      <c r="HR15" s="18">
        <f t="shared" si="26"/>
        <v>1.077745680297131</v>
      </c>
      <c r="HS15" s="18">
        <v>54.769199999999998</v>
      </c>
      <c r="HT15" s="18">
        <v>54.5505</v>
      </c>
      <c r="HU15" s="3">
        <f t="shared" si="27"/>
        <v>0.21869999999999834</v>
      </c>
      <c r="HV15" s="18">
        <f t="shared" si="28"/>
        <v>1.0040091291555531</v>
      </c>
      <c r="HW15" s="18">
        <v>54.628700000000002</v>
      </c>
      <c r="HX15" s="18">
        <v>54.026200000000003</v>
      </c>
      <c r="HY15" s="3">
        <f t="shared" si="29"/>
        <v>0.60249999999999915</v>
      </c>
      <c r="HZ15" s="18">
        <f t="shared" si="30"/>
        <v>1.0111519966238602</v>
      </c>
      <c r="IA15" s="18">
        <v>44.230800000000002</v>
      </c>
      <c r="IB15" s="18">
        <v>46.600700000000003</v>
      </c>
      <c r="IC15" s="3">
        <f t="shared" si="31"/>
        <v>-2.3699000000000012</v>
      </c>
      <c r="ID15" s="18">
        <f t="shared" si="32"/>
        <v>0.94914454074724197</v>
      </c>
      <c r="IE15" s="18">
        <v>40.200899999999997</v>
      </c>
      <c r="IF15" s="18">
        <v>40.547600000000003</v>
      </c>
      <c r="IG15" s="3">
        <f t="shared" si="33"/>
        <v>-0.34670000000000556</v>
      </c>
      <c r="IH15" s="18">
        <f t="shared" si="34"/>
        <v>0.99144955558405412</v>
      </c>
      <c r="II15" s="18">
        <v>55.444000000000003</v>
      </c>
      <c r="IJ15" s="18">
        <v>54.529000000000003</v>
      </c>
      <c r="IK15" s="3">
        <f t="shared" si="35"/>
        <v>0.91499999999999915</v>
      </c>
      <c r="IL15" s="18">
        <f t="shared" si="36"/>
        <v>1.0167800619853655</v>
      </c>
      <c r="IM15" s="18">
        <v>74.649699999999996</v>
      </c>
      <c r="IN15" s="18">
        <v>68.677000000000007</v>
      </c>
      <c r="IO15" s="3">
        <f t="shared" si="37"/>
        <v>5.972699999999989</v>
      </c>
      <c r="IP15" s="18">
        <f t="shared" si="38"/>
        <v>1.0869679805466166</v>
      </c>
      <c r="IQ15" s="18">
        <v>53.734299999999998</v>
      </c>
      <c r="IR15" s="18">
        <v>52.527500000000003</v>
      </c>
      <c r="IS15" s="3">
        <f t="shared" si="39"/>
        <v>1.2067999999999941</v>
      </c>
      <c r="IT15" s="18">
        <f t="shared" si="40"/>
        <v>1.0229746323354432</v>
      </c>
      <c r="IU15" s="18">
        <v>48.323700000000002</v>
      </c>
      <c r="IV15" s="18">
        <v>49.0777</v>
      </c>
      <c r="IW15" s="3">
        <f t="shared" si="41"/>
        <v>-0.75399999999999778</v>
      </c>
      <c r="IX15" s="18">
        <f t="shared" si="42"/>
        <v>0.98463660684995435</v>
      </c>
      <c r="IY15" s="18">
        <v>57.869</v>
      </c>
      <c r="IZ15" s="18">
        <v>53.752299999999998</v>
      </c>
      <c r="JA15" s="3">
        <f t="shared" si="43"/>
        <v>4.1167000000000016</v>
      </c>
      <c r="JB15" s="18">
        <f t="shared" si="44"/>
        <v>1.0765864902525102</v>
      </c>
      <c r="JC15" s="18">
        <f>LOG(HN15)</f>
        <v>0.15396969104020175</v>
      </c>
      <c r="JD15" s="18">
        <v>30.458072705245801</v>
      </c>
      <c r="JE15" s="18">
        <f t="shared" si="45"/>
        <v>0.30458072705245803</v>
      </c>
      <c r="JG15" s="336" t="s">
        <v>601</v>
      </c>
      <c r="JH15" s="18">
        <v>0.86475330332808598</v>
      </c>
      <c r="JJ15" s="336" t="s">
        <v>601</v>
      </c>
      <c r="JK15" s="18">
        <v>0.44840550636168702</v>
      </c>
      <c r="JM15" s="336" t="s">
        <v>601</v>
      </c>
      <c r="JN15" s="18">
        <v>0.22169790828017299</v>
      </c>
      <c r="JO15" s="18">
        <f t="shared" si="46"/>
        <v>0.77830209171982701</v>
      </c>
      <c r="JP15" s="336" t="s">
        <v>601</v>
      </c>
      <c r="JQ15" s="18">
        <v>1.0452296563539301</v>
      </c>
      <c r="JT15" s="336" t="s">
        <v>601</v>
      </c>
      <c r="JU15" s="18">
        <v>1.2112296365055899</v>
      </c>
      <c r="JW15" s="336" t="s">
        <v>601</v>
      </c>
      <c r="JX15" s="18">
        <v>0.67474344867617897</v>
      </c>
      <c r="JZ15" s="336" t="s">
        <v>601</v>
      </c>
      <c r="KA15" s="18">
        <v>0.30438071930323501</v>
      </c>
      <c r="KC15" s="336" t="s">
        <v>601</v>
      </c>
      <c r="KD15" s="18">
        <v>1.04861229876158</v>
      </c>
      <c r="KE15" s="68" t="s">
        <v>533</v>
      </c>
      <c r="KF15" s="347">
        <v>7.3000000000000001E-3</v>
      </c>
      <c r="KG15" s="347">
        <v>1.41E-2</v>
      </c>
      <c r="KH15" s="347">
        <f t="shared" si="47"/>
        <v>1.0699999999999999E-2</v>
      </c>
      <c r="KI15" s="348">
        <v>2.46E-2</v>
      </c>
      <c r="KJ15" s="348">
        <v>5.4199999999999998E-2</v>
      </c>
      <c r="KK15" s="348">
        <f t="shared" si="48"/>
        <v>3.9399999999999998E-2</v>
      </c>
      <c r="KL15" s="347">
        <f t="shared" si="49"/>
        <v>2.8699999999999996E-2</v>
      </c>
      <c r="KM15" s="347">
        <f t="shared" si="50"/>
        <v>3.6822429906542054</v>
      </c>
      <c r="KN15" s="354">
        <f t="shared" si="64"/>
        <v>7.5602429906542055</v>
      </c>
      <c r="KO15" s="18">
        <f t="shared" si="51"/>
        <v>0.87853575420548791</v>
      </c>
      <c r="KP15" s="18">
        <v>0.87853575420548791</v>
      </c>
      <c r="KQ15" s="340">
        <v>13</v>
      </c>
      <c r="KR15" s="18">
        <v>0.21599999740722797</v>
      </c>
      <c r="KS15" s="18">
        <v>0.33333332712433333</v>
      </c>
      <c r="KT15" s="18">
        <v>0.23333332253017333</v>
      </c>
      <c r="KU15" s="18">
        <v>0.45666666515184001</v>
      </c>
      <c r="KV15" s="18">
        <v>0</v>
      </c>
      <c r="KW15" s="18">
        <v>0.20142857836814859</v>
      </c>
      <c r="KX15" s="18">
        <v>0.25666666372384667</v>
      </c>
      <c r="KY15" s="18">
        <v>0.77333333839970664</v>
      </c>
      <c r="KZ15" s="18">
        <v>0.84999999776467994</v>
      </c>
      <c r="LA15" s="18">
        <v>0.90666664702183997</v>
      </c>
      <c r="LB15" s="18">
        <v>0.25333333387967999</v>
      </c>
      <c r="LC15" s="358" t="s">
        <v>635</v>
      </c>
      <c r="LD15" s="358">
        <v>13</v>
      </c>
      <c r="LE15" s="358">
        <v>10.5</v>
      </c>
      <c r="LF15" s="358">
        <v>3</v>
      </c>
      <c r="LG15" s="358">
        <v>10</v>
      </c>
      <c r="LH15" s="358">
        <v>0</v>
      </c>
      <c r="LI15" s="358">
        <v>0</v>
      </c>
      <c r="LJ15" s="144">
        <v>0</v>
      </c>
      <c r="LK15" s="158" t="s">
        <v>533</v>
      </c>
      <c r="LL15" s="68">
        <v>0.47949999999999998</v>
      </c>
      <c r="LM15" s="5">
        <v>0.47170000000000001</v>
      </c>
      <c r="LN15" s="5">
        <f t="shared" si="52"/>
        <v>0.47560000000000002</v>
      </c>
      <c r="LO15" s="5">
        <v>0.52729999999999999</v>
      </c>
      <c r="LP15" s="5">
        <v>0.50970000000000004</v>
      </c>
      <c r="LQ15" s="80">
        <f t="shared" si="53"/>
        <v>0.51849999999999996</v>
      </c>
      <c r="LR15" s="77">
        <f t="shared" si="54"/>
        <v>-4.2899999999999938E-2</v>
      </c>
      <c r="LS15" s="68">
        <v>9.3074999999999992</v>
      </c>
      <c r="LT15" s="5">
        <v>8.2177000000000007</v>
      </c>
      <c r="LU15" s="5">
        <f t="shared" si="55"/>
        <v>8.7625999999999991</v>
      </c>
      <c r="LV15" s="5">
        <v>11.643599999999999</v>
      </c>
      <c r="LW15" s="5">
        <v>9.3986000000000001</v>
      </c>
      <c r="LX15" s="80">
        <f t="shared" si="56"/>
        <v>10.521100000000001</v>
      </c>
      <c r="LY15" s="77">
        <f t="shared" si="57"/>
        <v>-1.7585000000000015</v>
      </c>
      <c r="LZ15" s="68">
        <v>1.0339</v>
      </c>
      <c r="MA15" s="5">
        <v>1.0162</v>
      </c>
      <c r="MB15" s="5">
        <f>AVERAGE(LZ15:MA15)</f>
        <v>1.02505</v>
      </c>
      <c r="MC15" s="5">
        <v>0.97299999999999998</v>
      </c>
      <c r="MD15" s="5">
        <v>0.98380000000000001</v>
      </c>
      <c r="ME15" s="80">
        <f>AVERAGE(MC15:MD15)</f>
        <v>0.97839999999999994</v>
      </c>
      <c r="MF15" s="77">
        <f t="shared" si="58"/>
        <v>4.665000000000008E-2</v>
      </c>
      <c r="MG15" s="68">
        <v>0.27210000000000001</v>
      </c>
      <c r="MH15" s="5">
        <v>0.25869999999999999</v>
      </c>
      <c r="MI15" s="5">
        <f>AVERAGE(MG15:MH15)</f>
        <v>0.26539999999999997</v>
      </c>
      <c r="MJ15" s="5">
        <v>0.39789999999999998</v>
      </c>
      <c r="MK15" s="5">
        <v>0.33860000000000001</v>
      </c>
      <c r="ML15" s="80">
        <f>AVERAGE(MJ15:MK15)</f>
        <v>0.36824999999999997</v>
      </c>
      <c r="MM15" s="77">
        <f t="shared" si="59"/>
        <v>-0.10285</v>
      </c>
      <c r="MO15" s="5">
        <v>-1.2205032899999999</v>
      </c>
      <c r="MP15" s="5">
        <v>0.2022895408</v>
      </c>
      <c r="MQ15" s="5">
        <v>0.68542742150000002</v>
      </c>
      <c r="MR15" s="5">
        <v>0.93827117390000003</v>
      </c>
      <c r="MS15" s="292">
        <v>0.71472542989999999</v>
      </c>
      <c r="MT15" s="18">
        <v>-2.4568252099999999</v>
      </c>
      <c r="MU15" s="18">
        <v>0.53457400649999998</v>
      </c>
      <c r="MV15" s="18">
        <v>1.817774848</v>
      </c>
      <c r="MW15" s="18">
        <v>1.095207644</v>
      </c>
    </row>
    <row r="16" spans="1:361" ht="15.75" customHeight="1" thickBot="1" x14ac:dyDescent="0.25">
      <c r="A16" s="3" t="s">
        <v>13</v>
      </c>
      <c r="B16" s="5">
        <v>3</v>
      </c>
      <c r="C16" s="5">
        <v>1</v>
      </c>
      <c r="D16" s="5">
        <v>26</v>
      </c>
      <c r="E16" s="5">
        <v>44</v>
      </c>
      <c r="F16" s="5">
        <v>43</v>
      </c>
      <c r="G16" s="18">
        <v>34</v>
      </c>
      <c r="H16" s="24">
        <v>111</v>
      </c>
      <c r="I16" s="5">
        <v>19</v>
      </c>
      <c r="J16" s="5">
        <v>121</v>
      </c>
      <c r="K16" s="5">
        <v>109</v>
      </c>
      <c r="L16" s="5">
        <v>111</v>
      </c>
      <c r="M16" s="5">
        <v>49</v>
      </c>
      <c r="N16" s="5">
        <v>156</v>
      </c>
      <c r="O16" s="5">
        <v>16.5</v>
      </c>
      <c r="P16" s="5">
        <v>6</v>
      </c>
      <c r="Q16" s="5">
        <v>1</v>
      </c>
      <c r="R16" s="5">
        <v>-12</v>
      </c>
      <c r="S16" s="5">
        <v>8</v>
      </c>
      <c r="T16" s="18">
        <v>6</v>
      </c>
      <c r="U16" s="5">
        <v>12</v>
      </c>
      <c r="V16" s="5">
        <v>14</v>
      </c>
      <c r="W16" s="5">
        <v>3</v>
      </c>
      <c r="X16" s="5">
        <v>-10</v>
      </c>
      <c r="Y16" s="5">
        <v>-6</v>
      </c>
      <c r="Z16" s="93">
        <v>0.47624340263157905</v>
      </c>
      <c r="AA16" s="88">
        <v>14.5</v>
      </c>
      <c r="AB16" s="68">
        <v>84</v>
      </c>
      <c r="AC16" s="5">
        <v>86</v>
      </c>
      <c r="AD16" s="5">
        <v>92</v>
      </c>
      <c r="AE16" s="80">
        <v>87</v>
      </c>
      <c r="AF16" s="179">
        <v>-4</v>
      </c>
      <c r="AG16" s="154">
        <v>-2</v>
      </c>
      <c r="AH16" s="154">
        <v>7</v>
      </c>
      <c r="AI16" s="154">
        <v>1</v>
      </c>
      <c r="AJ16" s="68">
        <v>80</v>
      </c>
      <c r="AK16" s="5">
        <v>84</v>
      </c>
      <c r="AL16" s="5">
        <v>99</v>
      </c>
      <c r="AM16" s="80">
        <v>88</v>
      </c>
      <c r="AN16" s="68">
        <v>84</v>
      </c>
      <c r="AO16" s="5">
        <v>86</v>
      </c>
      <c r="AP16" s="5">
        <v>92</v>
      </c>
      <c r="AQ16" s="80">
        <v>87</v>
      </c>
      <c r="AR16" s="68">
        <v>80</v>
      </c>
      <c r="AS16" s="5">
        <v>84</v>
      </c>
      <c r="AT16" s="5">
        <v>99</v>
      </c>
      <c r="AU16" s="80">
        <v>88</v>
      </c>
      <c r="AV16" s="179">
        <f t="shared" si="11"/>
        <v>-4</v>
      </c>
      <c r="AW16" s="154">
        <f t="shared" si="0"/>
        <v>-2</v>
      </c>
      <c r="AX16" s="154">
        <f t="shared" si="0"/>
        <v>7</v>
      </c>
      <c r="AY16" s="185">
        <f t="shared" si="0"/>
        <v>1</v>
      </c>
      <c r="AZ16" s="9">
        <v>1.0952380952380953</v>
      </c>
      <c r="BA16" s="77">
        <v>-0.1422619047619047</v>
      </c>
      <c r="BB16" s="18">
        <v>1.0238095238095237</v>
      </c>
      <c r="BC16" s="77">
        <v>-2.6190476190476319E-2</v>
      </c>
      <c r="BD16" s="154">
        <v>0.95999997854200003</v>
      </c>
      <c r="BE16" s="144">
        <v>1</v>
      </c>
      <c r="BF16" s="5">
        <v>1</v>
      </c>
      <c r="BG16" s="5">
        <v>6</v>
      </c>
      <c r="BK16" s="18" t="s">
        <v>13</v>
      </c>
      <c r="BL16" s="18">
        <v>0</v>
      </c>
      <c r="BM16" s="18">
        <v>2</v>
      </c>
      <c r="BN16" s="18">
        <v>1</v>
      </c>
      <c r="BO16" s="18">
        <v>5</v>
      </c>
      <c r="BP16" s="18">
        <v>8</v>
      </c>
      <c r="BQ16" s="138" t="s">
        <v>486</v>
      </c>
      <c r="BR16" s="138">
        <v>-6.8131676363072699E-27</v>
      </c>
      <c r="BS16" s="138" t="s">
        <v>487</v>
      </c>
      <c r="BT16" s="138">
        <v>-5.2982299163640803E-27</v>
      </c>
      <c r="BU16" s="138">
        <f t="shared" si="12"/>
        <v>-6.0556987763356754E-27</v>
      </c>
      <c r="BW16" s="18">
        <v>0.97000002861000001</v>
      </c>
      <c r="BX16" s="18">
        <v>0</v>
      </c>
      <c r="BY16" s="18">
        <f t="shared" si="13"/>
        <v>0.97000002861000001</v>
      </c>
      <c r="BZ16" s="3">
        <v>0.83199999928480006</v>
      </c>
      <c r="CA16" s="18">
        <v>0.82666665315633336</v>
      </c>
      <c r="CB16" s="18">
        <v>0.85333331425966674</v>
      </c>
      <c r="CC16" s="18">
        <v>0.71999998887399996</v>
      </c>
      <c r="CD16" s="18">
        <v>0.41666666666666669</v>
      </c>
      <c r="CE16" s="18">
        <v>0.11428571439214287</v>
      </c>
      <c r="CF16" s="18">
        <v>0.1899999997889</v>
      </c>
      <c r="CG16" s="18">
        <v>0.47000000377500001</v>
      </c>
      <c r="CH16" s="18">
        <v>0.98666667938233343</v>
      </c>
      <c r="CI16" s="18">
        <v>0.98000001907333323</v>
      </c>
      <c r="CJ16" s="18">
        <v>0.44000001003329997</v>
      </c>
      <c r="CY16" s="18">
        <v>-0.22810852770000001</v>
      </c>
      <c r="DA16" s="68"/>
      <c r="DB16" s="5"/>
      <c r="DC16" s="5"/>
      <c r="DD16" s="80"/>
      <c r="DE16" s="68"/>
      <c r="DF16" s="5"/>
      <c r="DG16" s="5"/>
      <c r="DH16" s="80"/>
      <c r="DI16" s="68"/>
      <c r="DJ16" s="5"/>
      <c r="DK16" s="5"/>
      <c r="DL16" s="80"/>
      <c r="DN16" s="68"/>
      <c r="DO16" s="5"/>
      <c r="DP16" s="5"/>
      <c r="DQ16" s="3"/>
      <c r="DR16" s="68"/>
      <c r="DS16" s="5"/>
      <c r="DT16" s="5"/>
      <c r="DU16" s="3"/>
      <c r="DY16" s="3"/>
      <c r="ED16" s="3"/>
      <c r="EH16" s="3"/>
      <c r="EL16" s="3"/>
      <c r="EN16" s="191" t="s">
        <v>486</v>
      </c>
      <c r="EO16" s="192">
        <v>6.5481608328281897</v>
      </c>
      <c r="EP16" s="195" t="s">
        <v>487</v>
      </c>
      <c r="EQ16" s="196">
        <v>9.1808162528898904</v>
      </c>
      <c r="ER16" s="196">
        <f t="shared" si="14"/>
        <v>7.8644885428590401</v>
      </c>
      <c r="ES16" s="18">
        <v>9</v>
      </c>
      <c r="ET16" s="18">
        <v>18</v>
      </c>
      <c r="EU16" s="18">
        <v>11</v>
      </c>
      <c r="EV16" s="18">
        <v>-1</v>
      </c>
      <c r="EW16" s="18">
        <v>8</v>
      </c>
      <c r="EX16" s="18">
        <v>1</v>
      </c>
      <c r="EY16" s="18">
        <v>46</v>
      </c>
      <c r="EZ16" s="222"/>
      <c r="FA16" s="222"/>
      <c r="FB16" s="310">
        <v>14</v>
      </c>
      <c r="FC16" s="5">
        <v>44</v>
      </c>
      <c r="FD16" s="18">
        <v>34</v>
      </c>
      <c r="FE16" s="340">
        <v>14.5</v>
      </c>
      <c r="FF16" s="18">
        <v>0.83199999928480006</v>
      </c>
      <c r="FG16" s="18">
        <v>0.82333331989750669</v>
      </c>
      <c r="FH16" s="18">
        <v>0.84999998100084007</v>
      </c>
      <c r="FI16" s="18">
        <v>0.71999998887399996</v>
      </c>
      <c r="FJ16" s="18">
        <v>0.41666666666666669</v>
      </c>
      <c r="FK16" s="18">
        <v>0.11428571439214287</v>
      </c>
      <c r="FL16" s="18">
        <v>0.18833333315948667</v>
      </c>
      <c r="FM16" s="18">
        <v>0.47000000377500001</v>
      </c>
      <c r="FN16" s="18">
        <v>0.98666667938233343</v>
      </c>
      <c r="FO16" s="18">
        <v>0.98000001907333323</v>
      </c>
      <c r="FP16" s="18">
        <v>0.44000001003329997</v>
      </c>
      <c r="FQ16" s="322">
        <v>1</v>
      </c>
      <c r="FR16" s="5">
        <v>12</v>
      </c>
      <c r="FS16" s="5">
        <v>-6</v>
      </c>
      <c r="FT16" s="259">
        <v>0.83199999928480006</v>
      </c>
      <c r="FU16" s="72">
        <v>0.82666665315633336</v>
      </c>
      <c r="FV16" s="260">
        <v>0.85333331425966674</v>
      </c>
      <c r="FW16" s="261">
        <v>0.71999998887399996</v>
      </c>
      <c r="FX16" s="154">
        <v>0.41666666666666669</v>
      </c>
      <c r="FY16" s="262">
        <v>0.11428571439214287</v>
      </c>
      <c r="FZ16" s="263">
        <v>0.1899999997889</v>
      </c>
      <c r="GA16" s="264">
        <v>0.47000000377500001</v>
      </c>
      <c r="GB16" s="265">
        <v>0.98666667938233343</v>
      </c>
      <c r="GC16" s="266">
        <v>0.98000001907333323</v>
      </c>
      <c r="GD16" s="267">
        <v>0.44000001003329997</v>
      </c>
      <c r="GE16" s="222"/>
      <c r="GF16" s="18">
        <v>9</v>
      </c>
      <c r="GG16" s="18">
        <v>18</v>
      </c>
      <c r="GH16" s="18">
        <v>11</v>
      </c>
      <c r="GI16" s="18">
        <v>-1</v>
      </c>
      <c r="GJ16" s="18">
        <v>8</v>
      </c>
      <c r="GK16" s="18">
        <v>1</v>
      </c>
      <c r="GL16" s="18">
        <v>46</v>
      </c>
      <c r="GN16" s="5">
        <v>121</v>
      </c>
      <c r="GO16" s="5">
        <v>109</v>
      </c>
      <c r="GP16" s="5">
        <v>111</v>
      </c>
      <c r="GQ16" s="5">
        <v>49</v>
      </c>
      <c r="GR16" s="5">
        <v>156</v>
      </c>
      <c r="GS16" s="144">
        <v>1</v>
      </c>
      <c r="GT16" s="222"/>
      <c r="GU16" s="222"/>
      <c r="GV16" s="373"/>
      <c r="GW16" s="79"/>
      <c r="GY16" s="222"/>
      <c r="GZ16" s="222"/>
      <c r="HA16" s="373"/>
      <c r="HB16" s="222"/>
      <c r="HC16" s="222"/>
      <c r="HD16" s="222"/>
      <c r="HE16" s="373"/>
      <c r="HF16" s="222"/>
      <c r="HG16" s="222"/>
      <c r="HH16" s="222"/>
      <c r="HI16" s="373"/>
      <c r="HJ16" s="222"/>
      <c r="HK16" s="79"/>
      <c r="HL16" s="79"/>
      <c r="HM16" s="373"/>
      <c r="HN16" s="79"/>
      <c r="HQ16" s="3"/>
      <c r="HU16" s="3"/>
      <c r="HY16" s="3"/>
      <c r="IC16" s="3">
        <f t="shared" si="31"/>
        <v>0</v>
      </c>
      <c r="IG16" s="3"/>
      <c r="IK16" s="3"/>
      <c r="IO16" s="3"/>
      <c r="IS16" s="3"/>
      <c r="IW16" s="3"/>
      <c r="JA16" s="3"/>
      <c r="JD16" s="18">
        <v>7.8644885428590401</v>
      </c>
      <c r="JE16" s="18">
        <f t="shared" si="45"/>
        <v>7.8644885428590397E-2</v>
      </c>
      <c r="JG16" s="338" t="s">
        <v>602</v>
      </c>
      <c r="JH16" s="138">
        <v>0.24191431770452901</v>
      </c>
      <c r="JI16" s="138"/>
      <c r="JJ16" s="338" t="s">
        <v>602</v>
      </c>
      <c r="JK16" s="138">
        <v>6.0148651897704603E-2</v>
      </c>
      <c r="JL16" s="138"/>
      <c r="JM16" s="338" t="s">
        <v>602</v>
      </c>
      <c r="JN16" s="138">
        <v>6.0504059606713602E-2</v>
      </c>
      <c r="JO16" s="18">
        <f t="shared" si="46"/>
        <v>0.93949594039328643</v>
      </c>
      <c r="JP16" s="338" t="s">
        <v>602</v>
      </c>
      <c r="JQ16" s="138">
        <v>0.23853571029213899</v>
      </c>
      <c r="JR16" s="138"/>
      <c r="JS16" s="138"/>
      <c r="JT16" s="338" t="s">
        <v>602</v>
      </c>
      <c r="JU16" s="138">
        <v>0.32095638011783001</v>
      </c>
      <c r="JV16" s="138"/>
      <c r="JW16" s="338" t="s">
        <v>602</v>
      </c>
      <c r="JX16" s="138">
        <v>8.6593967189620993E-2</v>
      </c>
      <c r="JY16" s="138"/>
      <c r="JZ16" s="338" t="s">
        <v>602</v>
      </c>
      <c r="KA16" s="138">
        <v>7.7313931428566601E-2</v>
      </c>
      <c r="KB16" s="138"/>
      <c r="KC16" s="338" t="s">
        <v>602</v>
      </c>
      <c r="KD16" s="138">
        <v>0.26348255131572101</v>
      </c>
      <c r="KE16" s="107"/>
      <c r="KF16" s="349"/>
      <c r="KG16" s="349"/>
      <c r="KH16" s="349"/>
      <c r="KI16" s="349"/>
      <c r="KJ16" s="349"/>
      <c r="KK16" s="349"/>
      <c r="KL16" s="349"/>
      <c r="KM16" s="349"/>
      <c r="KN16" s="355"/>
      <c r="KO16" s="145"/>
      <c r="KP16" s="145"/>
      <c r="KQ16" s="340">
        <v>14.5</v>
      </c>
      <c r="KR16" s="18">
        <v>0.83199999928480006</v>
      </c>
      <c r="KS16" s="18">
        <v>0.82333331989750669</v>
      </c>
      <c r="KT16" s="18">
        <v>0.84999998100084007</v>
      </c>
      <c r="KU16" s="18">
        <v>0.71999998887399996</v>
      </c>
      <c r="KV16" s="18">
        <v>0.41666666666666669</v>
      </c>
      <c r="KW16" s="18">
        <v>0.11428571439214287</v>
      </c>
      <c r="KX16" s="18">
        <v>0.18833333315948667</v>
      </c>
      <c r="KY16" s="18">
        <v>0.47000000377500001</v>
      </c>
      <c r="KZ16" s="18">
        <v>0.98666667938233343</v>
      </c>
      <c r="LA16" s="18">
        <v>0.98000001907333323</v>
      </c>
      <c r="LB16" s="18">
        <v>0.44000001003329997</v>
      </c>
      <c r="LC16" s="358" t="s">
        <v>636</v>
      </c>
      <c r="LD16" s="358">
        <v>14.5</v>
      </c>
      <c r="LE16" s="358">
        <v>20</v>
      </c>
      <c r="LF16" s="358">
        <v>20</v>
      </c>
      <c r="LG16" s="358">
        <v>13.5</v>
      </c>
      <c r="LH16" s="358">
        <v>2</v>
      </c>
      <c r="LI16" s="358">
        <v>16.5</v>
      </c>
      <c r="LJ16" s="144">
        <v>1</v>
      </c>
      <c r="LK16" s="145"/>
      <c r="LL16" s="107"/>
      <c r="LM16" s="108"/>
      <c r="LN16" s="5"/>
      <c r="LO16" s="108"/>
      <c r="LP16" s="108"/>
      <c r="LQ16" s="80"/>
      <c r="LR16" s="77"/>
      <c r="LS16" s="107"/>
      <c r="LT16" s="108"/>
      <c r="LU16" s="5"/>
      <c r="LV16" s="108"/>
      <c r="LW16" s="108"/>
      <c r="LX16" s="80"/>
      <c r="LY16" s="77"/>
      <c r="LZ16" s="107"/>
      <c r="MA16" s="108"/>
      <c r="MB16" s="5"/>
      <c r="MC16" s="108"/>
      <c r="MD16" s="108"/>
      <c r="ME16" s="80"/>
      <c r="MF16" s="77"/>
      <c r="MG16" s="107"/>
      <c r="MH16" s="108"/>
      <c r="MI16" s="5"/>
      <c r="MJ16" s="108"/>
      <c r="MK16" s="108"/>
      <c r="ML16" s="80"/>
      <c r="MM16" s="77"/>
    </row>
    <row r="17" spans="1:361" ht="15.75" customHeight="1" x14ac:dyDescent="0.2">
      <c r="A17" s="3" t="s">
        <v>14</v>
      </c>
      <c r="B17" s="79"/>
      <c r="C17" s="5">
        <v>6</v>
      </c>
      <c r="D17" s="5">
        <v>38</v>
      </c>
      <c r="E17" s="5">
        <v>63</v>
      </c>
      <c r="F17" s="5">
        <v>44</v>
      </c>
      <c r="G17" s="18">
        <v>35</v>
      </c>
      <c r="H17" s="24">
        <v>124</v>
      </c>
      <c r="I17" s="5">
        <v>11</v>
      </c>
      <c r="J17" s="5">
        <v>127</v>
      </c>
      <c r="K17" s="5">
        <v>128</v>
      </c>
      <c r="L17" s="5">
        <v>115</v>
      </c>
      <c r="M17" s="5">
        <v>93</v>
      </c>
      <c r="N17" s="5">
        <v>130</v>
      </c>
      <c r="O17" s="5">
        <v>3.5</v>
      </c>
      <c r="P17" s="5">
        <v>-12</v>
      </c>
      <c r="Q17" s="5">
        <v>4</v>
      </c>
      <c r="R17" s="5">
        <v>2</v>
      </c>
      <c r="S17" s="5">
        <v>17</v>
      </c>
      <c r="T17" s="18">
        <v>8</v>
      </c>
      <c r="U17" s="5">
        <v>-2</v>
      </c>
      <c r="V17" s="5">
        <v>-2</v>
      </c>
      <c r="W17" s="5">
        <v>1</v>
      </c>
      <c r="X17" s="5">
        <v>0</v>
      </c>
      <c r="Y17" s="5">
        <v>12</v>
      </c>
      <c r="Z17" s="92">
        <v>-1.866409736842102E-2</v>
      </c>
      <c r="AA17" s="88">
        <v>10.5</v>
      </c>
      <c r="AB17" s="68">
        <v>84</v>
      </c>
      <c r="AC17" s="5">
        <v>84</v>
      </c>
      <c r="AD17" s="5">
        <v>89</v>
      </c>
      <c r="AE17" s="80">
        <v>86</v>
      </c>
      <c r="AF17" s="179">
        <v>0</v>
      </c>
      <c r="AG17" s="154">
        <v>-2</v>
      </c>
      <c r="AH17" s="154">
        <v>9</v>
      </c>
      <c r="AI17" s="154">
        <v>2</v>
      </c>
      <c r="AJ17" s="68">
        <v>84</v>
      </c>
      <c r="AK17" s="5">
        <v>82</v>
      </c>
      <c r="AL17" s="5">
        <v>98</v>
      </c>
      <c r="AM17" s="80">
        <v>88</v>
      </c>
      <c r="AN17" s="68">
        <v>84</v>
      </c>
      <c r="AO17" s="5">
        <v>84</v>
      </c>
      <c r="AP17" s="5">
        <v>89</v>
      </c>
      <c r="AQ17" s="80">
        <v>86</v>
      </c>
      <c r="AR17" s="68">
        <v>84</v>
      </c>
      <c r="AS17" s="5">
        <v>82</v>
      </c>
      <c r="AT17" s="5">
        <v>98</v>
      </c>
      <c r="AU17" s="80">
        <v>88</v>
      </c>
      <c r="AV17" s="179">
        <f t="shared" si="11"/>
        <v>0</v>
      </c>
      <c r="AW17" s="154">
        <f t="shared" si="0"/>
        <v>-2</v>
      </c>
      <c r="AX17" s="154">
        <f t="shared" si="0"/>
        <v>9</v>
      </c>
      <c r="AY17" s="185">
        <f t="shared" si="0"/>
        <v>2</v>
      </c>
      <c r="AZ17" s="9">
        <v>1.0595238095238095</v>
      </c>
      <c r="BA17" s="77">
        <v>-0.10714285714285721</v>
      </c>
      <c r="BB17" s="18">
        <v>1</v>
      </c>
      <c r="BC17" s="77">
        <v>2.3809523809523836E-2</v>
      </c>
      <c r="BD17" s="154">
        <v>0.69999998807899999</v>
      </c>
      <c r="BE17" s="144">
        <v>0.119999997318</v>
      </c>
      <c r="BF17" s="5">
        <v>4</v>
      </c>
      <c r="BG17" s="5">
        <v>-12</v>
      </c>
      <c r="BK17" s="18" t="s">
        <v>14</v>
      </c>
      <c r="BL17" s="18">
        <v>2</v>
      </c>
      <c r="BM17" s="18">
        <v>-1</v>
      </c>
      <c r="BN17" s="18">
        <v>-1</v>
      </c>
      <c r="BO17" s="18">
        <v>-1</v>
      </c>
      <c r="BP17" s="18">
        <v>-3</v>
      </c>
      <c r="BQ17" s="138"/>
      <c r="BR17" s="138"/>
      <c r="BS17" s="138"/>
      <c r="BT17" s="138"/>
      <c r="BU17" s="138"/>
      <c r="BV17" s="222"/>
      <c r="BW17" s="18">
        <v>0.76999998092699995</v>
      </c>
      <c r="BX17" s="18">
        <v>7.99999982119E-2</v>
      </c>
      <c r="BY17" s="18">
        <f t="shared" si="13"/>
        <v>0.68999998271509999</v>
      </c>
      <c r="BZ17" s="3">
        <v>0.24000000159999998</v>
      </c>
      <c r="CA17" s="18">
        <v>9.6666668999999997E-2</v>
      </c>
      <c r="CB17" s="18">
        <v>0.249999999</v>
      </c>
      <c r="CC17" s="18">
        <v>0.24666666733333331</v>
      </c>
      <c r="CD17" s="18">
        <v>0.50333332999999991</v>
      </c>
      <c r="CE17" s="18">
        <v>0.34571428385714287</v>
      </c>
      <c r="CF17" s="18">
        <v>0.14166666983333334</v>
      </c>
      <c r="CG17" s="18">
        <v>0.45000000299999998</v>
      </c>
      <c r="CH17" s="18">
        <v>0.61333334433333331</v>
      </c>
      <c r="CI17" s="18">
        <v>0.34000000866666663</v>
      </c>
      <c r="CJ17" s="18">
        <v>0.15666666600000001</v>
      </c>
      <c r="CK17" s="285" t="s">
        <v>534</v>
      </c>
      <c r="CL17" s="18">
        <v>1.3882512170000001</v>
      </c>
      <c r="CM17" s="18">
        <v>-1.0380202569999999</v>
      </c>
      <c r="CN17" s="18">
        <v>-0.2362861718</v>
      </c>
      <c r="CO17" s="18">
        <v>2.1932579319999999E-2</v>
      </c>
      <c r="CP17" s="18">
        <v>1.037390843E-2</v>
      </c>
      <c r="CQ17" s="18">
        <v>-0.1017831725</v>
      </c>
      <c r="CR17" s="18">
        <v>-0.27230852290000002</v>
      </c>
      <c r="CS17" s="18">
        <v>-3.9106451440000002E-2</v>
      </c>
      <c r="CT17" s="18">
        <v>-0.23104913360000001</v>
      </c>
      <c r="CY17" s="379">
        <v>-0.16677156870000001</v>
      </c>
      <c r="CZ17" s="285" t="s">
        <v>534</v>
      </c>
      <c r="DA17" s="68">
        <v>18.15889469</v>
      </c>
      <c r="DB17" s="5">
        <v>20.04946356</v>
      </c>
      <c r="DC17" s="5">
        <v>16.55728096</v>
      </c>
      <c r="DD17" s="80">
        <f>AVERAGE(DA17,DC17)</f>
        <v>17.358087824999998</v>
      </c>
      <c r="DE17" s="68">
        <v>21.83163132</v>
      </c>
      <c r="DF17" s="5">
        <v>22.44596812</v>
      </c>
      <c r="DG17" s="5">
        <v>20.226681660000001</v>
      </c>
      <c r="DH17" s="80">
        <f>AVERAGE(DE17,DG17)</f>
        <v>21.029156489999998</v>
      </c>
      <c r="DI17" s="151">
        <f>DE17-DA17</f>
        <v>3.6727366299999993</v>
      </c>
      <c r="DJ17" s="298">
        <f>DF17-DB17</f>
        <v>2.3965045600000003</v>
      </c>
      <c r="DK17" s="294">
        <f>DG17-DC17</f>
        <v>3.6694007000000006</v>
      </c>
      <c r="DL17" s="244">
        <f>DH17-DD17</f>
        <v>3.671068665</v>
      </c>
      <c r="DM17" s="295" t="s">
        <v>534</v>
      </c>
      <c r="DN17" s="68">
        <v>3.2649478869999999</v>
      </c>
      <c r="DO17" s="5">
        <v>4.5316817</v>
      </c>
      <c r="DP17" s="5">
        <v>4.168603075</v>
      </c>
      <c r="DQ17" s="3">
        <f>AVERAGE(DN17,DP17)</f>
        <v>3.716775481</v>
      </c>
      <c r="DR17" s="68">
        <v>8.3921747579999995</v>
      </c>
      <c r="DS17" s="5">
        <v>9.1209061190000007</v>
      </c>
      <c r="DT17" s="5">
        <v>9.9370600759999999</v>
      </c>
      <c r="DU17" s="3">
        <f>AVERAGE(DR17,DT17)</f>
        <v>9.1646174169999988</v>
      </c>
      <c r="DV17" s="24">
        <f>DR17-DN17</f>
        <v>5.1272268709999995</v>
      </c>
      <c r="DW17" s="298">
        <f>DS17-DO17</f>
        <v>4.5892244190000007</v>
      </c>
      <c r="DX17" s="24">
        <f>DT17-DP17</f>
        <v>5.7684570009999998</v>
      </c>
      <c r="DY17" s="188">
        <f>DU17-DQ17</f>
        <v>5.4478419359999988</v>
      </c>
      <c r="DZ17" s="295" t="s">
        <v>534</v>
      </c>
      <c r="EA17" s="18">
        <v>8.8694863270000006</v>
      </c>
      <c r="EB17" s="18">
        <v>9.0768014560000001</v>
      </c>
      <c r="EC17" s="18">
        <v>9.4826658179999992</v>
      </c>
      <c r="ED17" s="3">
        <f>AVERAGE(EA17,EC17)</f>
        <v>9.176076072499999</v>
      </c>
      <c r="EE17" s="18">
        <v>10.61285166</v>
      </c>
      <c r="EF17" s="18">
        <v>15.0244576</v>
      </c>
      <c r="EG17" s="18">
        <v>11.04089065</v>
      </c>
      <c r="EH17" s="3">
        <f>AVERAGE(EE17,EG17)</f>
        <v>10.826871154999999</v>
      </c>
      <c r="EI17" s="24">
        <f>EE17-EA17</f>
        <v>1.7433653329999999</v>
      </c>
      <c r="EJ17" s="298">
        <f>EF17-EB17</f>
        <v>5.9476561439999998</v>
      </c>
      <c r="EK17" s="24">
        <f>EG17-EC17</f>
        <v>1.5582248320000005</v>
      </c>
      <c r="EL17" s="188">
        <f>EH17-ED17</f>
        <v>1.6507950825000002</v>
      </c>
      <c r="EM17" s="295" t="s">
        <v>534</v>
      </c>
      <c r="EN17" s="195"/>
      <c r="EO17" s="196"/>
      <c r="EP17" s="195"/>
      <c r="EQ17" s="196"/>
      <c r="ER17" s="196"/>
      <c r="ES17" s="18">
        <v>7</v>
      </c>
      <c r="ET17" s="18">
        <v>6</v>
      </c>
      <c r="EU17" s="18">
        <v>22</v>
      </c>
      <c r="EV17" s="18">
        <v>1</v>
      </c>
      <c r="EW17" s="18">
        <v>3</v>
      </c>
      <c r="EX17" s="18">
        <v>14</v>
      </c>
      <c r="EY17" s="18">
        <v>53</v>
      </c>
      <c r="EZ17" s="5">
        <v>-1.0380202569999999</v>
      </c>
      <c r="FA17" s="18">
        <v>-13.588911120727094</v>
      </c>
      <c r="FB17" s="310">
        <v>15</v>
      </c>
      <c r="FC17" s="5">
        <v>63</v>
      </c>
      <c r="FD17" s="18">
        <v>35</v>
      </c>
      <c r="FE17" s="340">
        <v>10.5</v>
      </c>
      <c r="FF17" s="18">
        <v>0.24000000159999998</v>
      </c>
      <c r="FG17" s="18">
        <v>9.6666668999999997E-2</v>
      </c>
      <c r="FH17" s="18">
        <v>0.249999999</v>
      </c>
      <c r="FI17" s="18">
        <v>0.21666666599999998</v>
      </c>
      <c r="FJ17" s="18">
        <v>0.50333332999999991</v>
      </c>
      <c r="FK17" s="18">
        <v>0.33142856942857146</v>
      </c>
      <c r="FL17" s="18">
        <v>0.11166666866666668</v>
      </c>
      <c r="FM17" s="18">
        <v>0.37333333499999999</v>
      </c>
      <c r="FN17" s="18">
        <v>0.58333334299999995</v>
      </c>
      <c r="FO17" s="18">
        <v>0.34000000866666663</v>
      </c>
      <c r="FP17" s="18">
        <v>0.15666666600000001</v>
      </c>
      <c r="FQ17" s="322">
        <v>4</v>
      </c>
      <c r="FR17" s="5">
        <v>-2</v>
      </c>
      <c r="FS17" s="5">
        <v>12</v>
      </c>
      <c r="FT17" s="259">
        <v>0.24000000159999998</v>
      </c>
      <c r="FU17" s="72">
        <v>9.6666668999999997E-2</v>
      </c>
      <c r="FV17" s="260">
        <v>0.249999999</v>
      </c>
      <c r="FW17" s="261">
        <v>0.24666666733333331</v>
      </c>
      <c r="FX17" s="154">
        <v>0.50333332999999991</v>
      </c>
      <c r="FY17" s="262">
        <v>0.34571428385714287</v>
      </c>
      <c r="FZ17" s="263">
        <v>0.14166666983333334</v>
      </c>
      <c r="GA17" s="264">
        <v>0.45000000299999998</v>
      </c>
      <c r="GB17" s="265">
        <v>0.61333334433333331</v>
      </c>
      <c r="GC17" s="266">
        <v>0.34000000866666663</v>
      </c>
      <c r="GD17" s="267">
        <v>0.15666666600000001</v>
      </c>
      <c r="GE17" s="5">
        <v>-1.0380202569999999</v>
      </c>
      <c r="GF17" s="18">
        <v>7</v>
      </c>
      <c r="GG17" s="18">
        <v>6</v>
      </c>
      <c r="GH17" s="18">
        <v>22</v>
      </c>
      <c r="GI17" s="18">
        <v>1</v>
      </c>
      <c r="GJ17" s="18">
        <v>3</v>
      </c>
      <c r="GK17" s="18">
        <v>14</v>
      </c>
      <c r="GL17" s="18">
        <v>53</v>
      </c>
      <c r="GN17" s="5">
        <v>127</v>
      </c>
      <c r="GO17" s="5">
        <v>128</v>
      </c>
      <c r="GP17" s="5">
        <v>115</v>
      </c>
      <c r="GQ17" s="5">
        <v>93</v>
      </c>
      <c r="GR17" s="5">
        <v>130</v>
      </c>
      <c r="GS17" s="144">
        <v>0.119999997318</v>
      </c>
      <c r="GT17" s="18">
        <v>91.512500000000003</v>
      </c>
      <c r="GU17" s="18">
        <v>78.600200000000001</v>
      </c>
      <c r="GV17" s="3">
        <f t="shared" si="15"/>
        <v>12.912300000000002</v>
      </c>
      <c r="GW17" s="5">
        <f t="shared" si="16"/>
        <v>1.1642782079434912</v>
      </c>
      <c r="GX17" s="18">
        <f t="shared" si="17"/>
        <v>6.6056768748467165E-2</v>
      </c>
      <c r="GY17" s="18">
        <v>73.028000000000006</v>
      </c>
      <c r="GZ17" s="18">
        <v>64.151799999999994</v>
      </c>
      <c r="HA17" s="3">
        <f t="shared" si="18"/>
        <v>8.8762000000000114</v>
      </c>
      <c r="HB17" s="18">
        <f t="shared" si="19"/>
        <v>1.1383624465720372</v>
      </c>
      <c r="HC17" s="18">
        <v>87.273200000000003</v>
      </c>
      <c r="HD17" s="18">
        <v>65.180000000000007</v>
      </c>
      <c r="HE17" s="3">
        <f t="shared" si="20"/>
        <v>22.093199999999996</v>
      </c>
      <c r="HF17" s="18">
        <f t="shared" si="21"/>
        <v>1.338956735194845</v>
      </c>
      <c r="HG17" s="18">
        <v>26.916</v>
      </c>
      <c r="HH17" s="18">
        <v>58.088299999999997</v>
      </c>
      <c r="HI17" s="3">
        <f t="shared" si="22"/>
        <v>-31.172299999999996</v>
      </c>
      <c r="HJ17" s="18">
        <f t="shared" si="23"/>
        <v>0.46336353448112616</v>
      </c>
      <c r="HK17" s="5">
        <v>122.42700000000001</v>
      </c>
      <c r="HL17" s="5">
        <v>90.058000000000007</v>
      </c>
      <c r="HM17" s="3">
        <f t="shared" si="24"/>
        <v>32.369</v>
      </c>
      <c r="HN17" s="5">
        <f t="shared" si="60"/>
        <v>1.3594239268027271</v>
      </c>
      <c r="HO17" s="18">
        <v>62.807200000000002</v>
      </c>
      <c r="HP17" s="18">
        <v>59.402700000000003</v>
      </c>
      <c r="HQ17" s="3">
        <f t="shared" si="25"/>
        <v>3.4044999999999987</v>
      </c>
      <c r="HR17" s="18">
        <f t="shared" si="26"/>
        <v>1.0573122097143732</v>
      </c>
      <c r="HS17" s="18">
        <v>63.833500000000001</v>
      </c>
      <c r="HT17" s="18">
        <v>61.945300000000003</v>
      </c>
      <c r="HU17" s="3">
        <f t="shared" si="27"/>
        <v>1.8881999999999977</v>
      </c>
      <c r="HV17" s="18">
        <f t="shared" si="28"/>
        <v>1.0304817314630812</v>
      </c>
      <c r="HW17" s="18">
        <v>60.128700000000002</v>
      </c>
      <c r="HX17" s="18">
        <v>57.317999999999998</v>
      </c>
      <c r="HY17" s="3">
        <f t="shared" si="29"/>
        <v>2.8107000000000042</v>
      </c>
      <c r="HZ17" s="18">
        <f t="shared" si="30"/>
        <v>1.0490369517429081</v>
      </c>
      <c r="IA17" s="18">
        <v>49.909500000000001</v>
      </c>
      <c r="IB17" s="18">
        <v>52.951300000000003</v>
      </c>
      <c r="IC17" s="3">
        <f t="shared" si="31"/>
        <v>-3.0418000000000021</v>
      </c>
      <c r="ID17" s="18">
        <f t="shared" si="32"/>
        <v>0.94255476258373261</v>
      </c>
      <c r="IE17" s="18">
        <v>51.003599999999999</v>
      </c>
      <c r="IF17" s="18">
        <v>48.471899999999998</v>
      </c>
      <c r="IG17" s="3">
        <f t="shared" si="33"/>
        <v>2.5317000000000007</v>
      </c>
      <c r="IH17" s="18">
        <f t="shared" si="34"/>
        <v>1.0522302612441434</v>
      </c>
      <c r="II17" s="18">
        <v>67.900000000000006</v>
      </c>
      <c r="IJ17" s="18">
        <v>64.647499999999994</v>
      </c>
      <c r="IK17" s="3">
        <f t="shared" si="35"/>
        <v>3.2525000000000119</v>
      </c>
      <c r="IL17" s="18">
        <f t="shared" si="36"/>
        <v>1.0503113036080283</v>
      </c>
      <c r="IM17" s="18">
        <v>93.947699999999998</v>
      </c>
      <c r="IN17" s="18">
        <v>84.956999999999994</v>
      </c>
      <c r="IO17" s="3">
        <f t="shared" si="37"/>
        <v>8.9907000000000039</v>
      </c>
      <c r="IP17" s="18">
        <f t="shared" si="38"/>
        <v>1.1058264769236201</v>
      </c>
      <c r="IQ17" s="18">
        <v>53.287500000000001</v>
      </c>
      <c r="IR17" s="18">
        <v>50.970300000000002</v>
      </c>
      <c r="IS17" s="3">
        <f t="shared" si="39"/>
        <v>2.3171999999999997</v>
      </c>
      <c r="IT17" s="18">
        <f t="shared" si="40"/>
        <v>1.0454617689124843</v>
      </c>
      <c r="IU17" s="18">
        <v>61.4895</v>
      </c>
      <c r="IV17" s="18">
        <v>61.401499999999999</v>
      </c>
      <c r="IW17" s="3">
        <f t="shared" si="41"/>
        <v>8.8000000000000966E-2</v>
      </c>
      <c r="IX17" s="18">
        <f t="shared" si="42"/>
        <v>1.0014331897429216</v>
      </c>
      <c r="IY17" s="18">
        <v>70.879499999999993</v>
      </c>
      <c r="IZ17" s="18">
        <v>70.402500000000003</v>
      </c>
      <c r="JA17" s="3">
        <f t="shared" si="43"/>
        <v>0.47699999999998965</v>
      </c>
      <c r="JB17" s="18">
        <f t="shared" si="44"/>
        <v>1.0067753275806965</v>
      </c>
      <c r="JC17" s="18">
        <f>LOG(HN17)</f>
        <v>0.13335490953721138</v>
      </c>
      <c r="JF17" s="18">
        <v>15</v>
      </c>
      <c r="JG17" s="138"/>
      <c r="JH17" s="138"/>
      <c r="JI17" s="138"/>
      <c r="JJ17" s="138"/>
      <c r="JK17" s="138"/>
      <c r="JL17" s="138"/>
      <c r="JM17" s="138"/>
      <c r="JN17" s="138"/>
      <c r="JP17" s="138"/>
      <c r="JQ17" s="138"/>
      <c r="JR17" s="138"/>
      <c r="JS17" s="138"/>
      <c r="JT17" s="138"/>
      <c r="JU17" s="138"/>
      <c r="JV17" s="138"/>
      <c r="JW17" s="138"/>
      <c r="JX17" s="138"/>
      <c r="JY17" s="138"/>
      <c r="JZ17" s="138"/>
      <c r="KA17" s="138"/>
      <c r="KB17" s="138"/>
      <c r="KC17" s="138"/>
      <c r="KD17" s="138"/>
      <c r="KE17" s="68" t="s">
        <v>534</v>
      </c>
      <c r="KF17" s="347">
        <v>-1E-4</v>
      </c>
      <c r="KG17" s="347">
        <v>2.9100000000000001E-2</v>
      </c>
      <c r="KH17" s="347">
        <f t="shared" si="47"/>
        <v>1.4500000000000001E-2</v>
      </c>
      <c r="KI17" s="348">
        <v>6.4000000000000001E-2</v>
      </c>
      <c r="KJ17" s="348">
        <v>8.1000000000000003E-2</v>
      </c>
      <c r="KK17" s="348">
        <f t="shared" si="48"/>
        <v>7.2500000000000009E-2</v>
      </c>
      <c r="KL17" s="347">
        <f t="shared" si="49"/>
        <v>5.800000000000001E-2</v>
      </c>
      <c r="KM17" s="347">
        <f t="shared" si="50"/>
        <v>5</v>
      </c>
      <c r="KN17" s="354">
        <f t="shared" si="64"/>
        <v>8.8780000000000001</v>
      </c>
      <c r="KO17" s="18">
        <f t="shared" si="51"/>
        <v>0.94831514068934786</v>
      </c>
      <c r="KP17" s="18">
        <v>0.94831514068934786</v>
      </c>
      <c r="KQ17" s="340">
        <v>10.5</v>
      </c>
      <c r="KR17" s="18">
        <v>0.24000000159999998</v>
      </c>
      <c r="KS17" s="18">
        <v>9.6666668999999997E-2</v>
      </c>
      <c r="KT17" s="18">
        <v>0.249999999</v>
      </c>
      <c r="KU17" s="18">
        <v>0.21666666599999998</v>
      </c>
      <c r="KV17" s="18">
        <v>0.50333332999999991</v>
      </c>
      <c r="KW17" s="18">
        <v>0.33142856942857146</v>
      </c>
      <c r="KX17" s="18">
        <v>0.11166666866666668</v>
      </c>
      <c r="KY17" s="18">
        <v>0.37333333499999999</v>
      </c>
      <c r="KZ17" s="18">
        <v>0.58333334299999995</v>
      </c>
      <c r="LA17" s="18">
        <v>0.34000000866666663</v>
      </c>
      <c r="LB17" s="18">
        <v>0.15666666600000001</v>
      </c>
      <c r="LC17" s="358" t="s">
        <v>637</v>
      </c>
      <c r="LD17" s="358">
        <v>10.5</v>
      </c>
      <c r="LE17" s="358">
        <v>9</v>
      </c>
      <c r="LF17" s="358">
        <v>10</v>
      </c>
      <c r="LG17" s="358">
        <v>9.5</v>
      </c>
      <c r="LH17" s="358">
        <v>12</v>
      </c>
      <c r="LI17" s="358">
        <v>3</v>
      </c>
      <c r="LJ17" s="144">
        <v>0.119999997318</v>
      </c>
      <c r="LK17" s="158" t="s">
        <v>534</v>
      </c>
      <c r="LL17" s="68">
        <v>0.52880000000000005</v>
      </c>
      <c r="LM17" s="5">
        <v>0.54600000000000004</v>
      </c>
      <c r="LN17" s="5">
        <f t="shared" si="52"/>
        <v>0.5374000000000001</v>
      </c>
      <c r="LO17" s="5">
        <v>0.54620000000000002</v>
      </c>
      <c r="LP17" s="5">
        <v>0.53459999999999996</v>
      </c>
      <c r="LQ17" s="80">
        <f t="shared" si="53"/>
        <v>0.54039999999999999</v>
      </c>
      <c r="LR17" s="77">
        <f t="shared" si="54"/>
        <v>-2.9999999999998916E-3</v>
      </c>
      <c r="LS17" s="68">
        <v>13.6952</v>
      </c>
      <c r="LT17" s="5">
        <v>13.450799999999999</v>
      </c>
      <c r="LU17" s="5">
        <f t="shared" si="55"/>
        <v>13.573</v>
      </c>
      <c r="LV17" s="5">
        <v>17.220600000000001</v>
      </c>
      <c r="LW17" s="5">
        <v>16.691299999999998</v>
      </c>
      <c r="LX17" s="80">
        <f t="shared" si="56"/>
        <v>16.955950000000001</v>
      </c>
      <c r="LY17" s="77">
        <f t="shared" si="57"/>
        <v>-3.382950000000001</v>
      </c>
      <c r="LZ17" s="68">
        <v>1.0125</v>
      </c>
      <c r="MA17" s="5">
        <v>0.99139999999999995</v>
      </c>
      <c r="MB17" s="5">
        <f>AVERAGE(LZ17:MA17)</f>
        <v>1.0019499999999999</v>
      </c>
      <c r="MC17" s="5">
        <v>0.97160000000000002</v>
      </c>
      <c r="MD17" s="5">
        <v>0.99270000000000003</v>
      </c>
      <c r="ME17" s="80">
        <f>AVERAGE(MC17:MD17)</f>
        <v>0.98215000000000008</v>
      </c>
      <c r="MF17" s="77">
        <f t="shared" si="58"/>
        <v>1.9799999999999818E-2</v>
      </c>
      <c r="MG17" s="68">
        <v>0.36449999999999999</v>
      </c>
      <c r="MH17" s="5">
        <v>0.43309999999999998</v>
      </c>
      <c r="MI17" s="5">
        <f>AVERAGE(MG17:MH17)</f>
        <v>0.39879999999999999</v>
      </c>
      <c r="MJ17" s="5">
        <v>0.40760000000000002</v>
      </c>
      <c r="MK17" s="5">
        <v>0.4143</v>
      </c>
      <c r="ML17" s="80">
        <f>AVERAGE(MJ17:MK17)</f>
        <v>0.41095000000000004</v>
      </c>
      <c r="MM17" s="77">
        <f t="shared" si="59"/>
        <v>-1.215000000000005E-2</v>
      </c>
      <c r="MO17" s="5">
        <v>-0.64642609920000005</v>
      </c>
      <c r="MP17" s="5">
        <v>2.5420213949999999</v>
      </c>
      <c r="MQ17" s="5">
        <v>2.280006722</v>
      </c>
      <c r="MR17" s="5">
        <v>2.3561155650000001</v>
      </c>
      <c r="MS17" s="292">
        <v>2.3907675720000001</v>
      </c>
      <c r="MT17" s="18">
        <v>-1.0380202569999999</v>
      </c>
      <c r="MU17" s="18">
        <v>2.1420394580000002</v>
      </c>
      <c r="MV17" s="18">
        <v>1.534072337</v>
      </c>
      <c r="MW17" s="18">
        <v>1.8764171119999999</v>
      </c>
    </row>
    <row r="18" spans="1:361" x14ac:dyDescent="0.2">
      <c r="A18" s="3" t="s">
        <v>15</v>
      </c>
      <c r="B18" s="5">
        <v>0</v>
      </c>
      <c r="C18" s="5">
        <v>0</v>
      </c>
      <c r="D18" s="5">
        <v>24</v>
      </c>
      <c r="E18" s="5">
        <v>55</v>
      </c>
      <c r="F18" s="5">
        <v>42</v>
      </c>
      <c r="G18" s="18">
        <v>27</v>
      </c>
      <c r="H18" s="24">
        <v>83</v>
      </c>
      <c r="I18" s="5">
        <v>18</v>
      </c>
      <c r="J18" s="5">
        <v>103</v>
      </c>
      <c r="K18" s="5">
        <v>90</v>
      </c>
      <c r="L18" s="5">
        <v>127</v>
      </c>
      <c r="M18" s="5">
        <v>52</v>
      </c>
      <c r="N18" s="5">
        <v>128</v>
      </c>
      <c r="O18" s="82">
        <v>10</v>
      </c>
      <c r="P18" s="82">
        <v>16</v>
      </c>
      <c r="Q18" s="5">
        <v>0</v>
      </c>
      <c r="R18" s="5">
        <v>4</v>
      </c>
      <c r="S18" s="5">
        <v>9</v>
      </c>
      <c r="T18" s="18">
        <v>10</v>
      </c>
      <c r="U18" s="5">
        <v>-4</v>
      </c>
      <c r="V18" s="5">
        <v>-13</v>
      </c>
      <c r="W18" s="5">
        <v>-2</v>
      </c>
      <c r="X18" s="5">
        <v>19</v>
      </c>
      <c r="Y18" s="5">
        <v>-16</v>
      </c>
      <c r="Z18" s="92">
        <v>6.3246402631578991E-2</v>
      </c>
      <c r="AA18" s="88">
        <v>10</v>
      </c>
      <c r="AB18" s="68">
        <v>90</v>
      </c>
      <c r="AC18" s="5">
        <v>91</v>
      </c>
      <c r="AD18" s="5">
        <v>112</v>
      </c>
      <c r="AE18" s="80">
        <v>98</v>
      </c>
      <c r="AF18" s="179">
        <v>14</v>
      </c>
      <c r="AG18" s="154">
        <v>8</v>
      </c>
      <c r="AH18" s="154">
        <v>0</v>
      </c>
      <c r="AI18" s="154">
        <v>7</v>
      </c>
      <c r="AJ18" s="68">
        <v>104</v>
      </c>
      <c r="AK18" s="5">
        <v>99</v>
      </c>
      <c r="AL18" s="5">
        <v>112</v>
      </c>
      <c r="AM18" s="80">
        <v>105</v>
      </c>
      <c r="AN18" s="68">
        <v>90</v>
      </c>
      <c r="AO18" s="5">
        <v>91</v>
      </c>
      <c r="AP18" s="5">
        <v>112</v>
      </c>
      <c r="AQ18" s="80">
        <v>98</v>
      </c>
      <c r="AR18" s="68">
        <v>104</v>
      </c>
      <c r="AS18" s="5">
        <v>99</v>
      </c>
      <c r="AT18" s="5">
        <v>112</v>
      </c>
      <c r="AU18" s="80">
        <v>105</v>
      </c>
      <c r="AV18" s="179">
        <f t="shared" si="11"/>
        <v>14</v>
      </c>
      <c r="AW18" s="154">
        <f t="shared" si="0"/>
        <v>8</v>
      </c>
      <c r="AX18" s="154">
        <f t="shared" si="0"/>
        <v>0</v>
      </c>
      <c r="AY18" s="185">
        <f t="shared" si="0"/>
        <v>7</v>
      </c>
      <c r="AZ18" s="9">
        <v>1.2444444444444445</v>
      </c>
      <c r="BA18" s="77">
        <v>0.16752136752136759</v>
      </c>
      <c r="BB18" s="18">
        <v>1.0111111111111111</v>
      </c>
      <c r="BC18" s="77">
        <v>5.91880341880342E-2</v>
      </c>
      <c r="BD18" s="154">
        <v>0.85000002384200002</v>
      </c>
      <c r="BE18" s="144">
        <v>0.83999997377400004</v>
      </c>
      <c r="BF18" s="5">
        <v>0</v>
      </c>
      <c r="BG18" s="82">
        <v>16</v>
      </c>
      <c r="BK18" s="18" t="s">
        <v>15</v>
      </c>
      <c r="BL18" s="18">
        <v>1</v>
      </c>
      <c r="BM18" s="18">
        <v>3</v>
      </c>
      <c r="BN18" s="18">
        <v>1</v>
      </c>
      <c r="BO18" s="18">
        <v>1</v>
      </c>
      <c r="BP18" s="18">
        <v>5</v>
      </c>
      <c r="BQ18" s="138" t="s">
        <v>488</v>
      </c>
      <c r="BR18" s="138">
        <v>-4.08233938552074E-27</v>
      </c>
      <c r="BS18" s="138" t="s">
        <v>489</v>
      </c>
      <c r="BT18" s="138">
        <v>-5.0657280423725797E-27</v>
      </c>
      <c r="BU18" s="138">
        <f t="shared" si="12"/>
        <v>-4.5740337139466598E-27</v>
      </c>
      <c r="BW18" s="18">
        <v>0.670000016689</v>
      </c>
      <c r="BX18" s="18">
        <v>0</v>
      </c>
      <c r="BY18" s="18">
        <f t="shared" si="13"/>
        <v>0.670000016689</v>
      </c>
      <c r="BZ18" s="3">
        <v>0.28999999459999998</v>
      </c>
      <c r="CA18" s="18">
        <v>0.25</v>
      </c>
      <c r="CB18" s="18">
        <v>0.33333333333333331</v>
      </c>
      <c r="CC18" s="18">
        <v>0.52333333133333337</v>
      </c>
      <c r="CD18" s="18">
        <v>0.21333334100000001</v>
      </c>
      <c r="CE18" s="18">
        <v>0.13714286042857141</v>
      </c>
      <c r="CF18" s="18">
        <v>0.141666667</v>
      </c>
      <c r="CG18" s="18">
        <v>0.60333332433333331</v>
      </c>
      <c r="CH18" s="18">
        <v>0.5666666726666667</v>
      </c>
      <c r="CI18" s="18">
        <v>0.42333333333333334</v>
      </c>
      <c r="CJ18" s="18">
        <v>0.36999999499999997</v>
      </c>
      <c r="CY18" s="9"/>
      <c r="DA18" s="68"/>
      <c r="DB18" s="5"/>
      <c r="DC18" s="5"/>
      <c r="DD18" s="80"/>
      <c r="DE18" s="68"/>
      <c r="DF18" s="5"/>
      <c r="DG18" s="5"/>
      <c r="DH18" s="80"/>
      <c r="DI18" s="68"/>
      <c r="DJ18" s="5"/>
      <c r="DK18" s="5"/>
      <c r="DL18" s="80"/>
      <c r="DN18" s="68"/>
      <c r="DO18" s="5"/>
      <c r="DP18" s="5"/>
      <c r="DQ18" s="3"/>
      <c r="DR18" s="68"/>
      <c r="DS18" s="5"/>
      <c r="DT18" s="5"/>
      <c r="DU18" s="3"/>
      <c r="DY18" s="3"/>
      <c r="ED18" s="3"/>
      <c r="EH18" s="3"/>
      <c r="EL18" s="3"/>
      <c r="EN18" s="195" t="s">
        <v>488</v>
      </c>
      <c r="EO18" s="196">
        <v>44.309809346982398</v>
      </c>
      <c r="EP18" s="195" t="s">
        <v>489</v>
      </c>
      <c r="EQ18" s="196">
        <v>35.161408252035898</v>
      </c>
      <c r="ER18" s="196">
        <f t="shared" si="14"/>
        <v>39.735608799509151</v>
      </c>
      <c r="ES18" s="18">
        <v>2</v>
      </c>
      <c r="ET18" s="18">
        <v>7</v>
      </c>
      <c r="EU18" s="18">
        <v>9</v>
      </c>
      <c r="EV18" s="18">
        <v>-4</v>
      </c>
      <c r="EW18" s="18">
        <v>1</v>
      </c>
      <c r="EX18" s="18">
        <v>0</v>
      </c>
      <c r="EY18" s="18">
        <v>15</v>
      </c>
      <c r="EZ18" s="222"/>
      <c r="FA18" s="222"/>
      <c r="FB18" s="310">
        <v>16</v>
      </c>
      <c r="FC18" s="5">
        <v>55</v>
      </c>
      <c r="FD18" s="18">
        <v>27</v>
      </c>
      <c r="FE18" s="340">
        <v>10</v>
      </c>
      <c r="FF18" s="18">
        <v>0.28999999459999998</v>
      </c>
      <c r="FG18" s="18">
        <v>0.24666666666666667</v>
      </c>
      <c r="FH18" s="18">
        <v>0.33333333333333331</v>
      </c>
      <c r="FI18" s="18">
        <v>0.52333333133333337</v>
      </c>
      <c r="FJ18" s="18">
        <v>0.21333334100000001</v>
      </c>
      <c r="FK18" s="18">
        <v>0.13714286042857141</v>
      </c>
      <c r="FL18" s="18">
        <v>0.141666667</v>
      </c>
      <c r="FM18" s="18">
        <v>0.60333332433333331</v>
      </c>
      <c r="FN18" s="18">
        <v>0.5666666726666667</v>
      </c>
      <c r="FO18" s="18">
        <v>0.42333333333333334</v>
      </c>
      <c r="FP18" s="18">
        <v>0.36999999499999997</v>
      </c>
      <c r="FQ18" s="322">
        <v>0</v>
      </c>
      <c r="FR18" s="5">
        <v>-4</v>
      </c>
      <c r="FS18" s="5">
        <v>-16</v>
      </c>
      <c r="FT18" s="259">
        <v>0.28999999459999998</v>
      </c>
      <c r="FU18" s="72">
        <v>0.25</v>
      </c>
      <c r="FV18" s="260">
        <v>0.33333333333333331</v>
      </c>
      <c r="FW18" s="261">
        <v>0.52333333133333337</v>
      </c>
      <c r="FX18" s="154">
        <v>0.21333334100000001</v>
      </c>
      <c r="FY18" s="262">
        <v>0.13714286042857141</v>
      </c>
      <c r="FZ18" s="263">
        <v>0.141666667</v>
      </c>
      <c r="GA18" s="264">
        <v>0.60333332433333331</v>
      </c>
      <c r="GB18" s="265">
        <v>0.5666666726666667</v>
      </c>
      <c r="GC18" s="266">
        <v>0.42333333333333334</v>
      </c>
      <c r="GD18" s="267">
        <v>0.36999999499999997</v>
      </c>
      <c r="GE18" s="222"/>
      <c r="GF18" s="18">
        <v>2</v>
      </c>
      <c r="GG18" s="18">
        <v>7</v>
      </c>
      <c r="GH18" s="18">
        <v>9</v>
      </c>
      <c r="GI18" s="18">
        <v>-4</v>
      </c>
      <c r="GJ18" s="18">
        <v>1</v>
      </c>
      <c r="GK18" s="18">
        <v>0</v>
      </c>
      <c r="GL18" s="18">
        <v>15</v>
      </c>
      <c r="GN18" s="5">
        <v>103</v>
      </c>
      <c r="GO18" s="5">
        <v>90</v>
      </c>
      <c r="GP18" s="5">
        <v>127</v>
      </c>
      <c r="GQ18" s="5">
        <v>52</v>
      </c>
      <c r="GR18" s="5">
        <v>128</v>
      </c>
      <c r="GS18" s="144">
        <v>0.83999997377400004</v>
      </c>
      <c r="GT18" s="222"/>
      <c r="GU18" s="222"/>
      <c r="GV18" s="373"/>
      <c r="GW18" s="79"/>
      <c r="GY18" s="222"/>
      <c r="GZ18" s="222"/>
      <c r="HA18" s="373"/>
      <c r="HB18" s="222"/>
      <c r="HC18" s="222"/>
      <c r="HD18" s="222"/>
      <c r="HE18" s="373"/>
      <c r="HF18" s="222"/>
      <c r="HG18" s="222"/>
      <c r="HH18" s="222"/>
      <c r="HI18" s="373"/>
      <c r="HJ18" s="222"/>
      <c r="HK18" s="79"/>
      <c r="HL18" s="79"/>
      <c r="HM18" s="373"/>
      <c r="HN18" s="79"/>
      <c r="HQ18" s="3"/>
      <c r="HU18" s="3"/>
      <c r="HY18" s="3"/>
      <c r="IC18" s="3">
        <f t="shared" si="31"/>
        <v>0</v>
      </c>
      <c r="IG18" s="3"/>
      <c r="IK18" s="3"/>
      <c r="IO18" s="3"/>
      <c r="IS18" s="3"/>
      <c r="IW18" s="3"/>
      <c r="JA18" s="3"/>
      <c r="JD18" s="18">
        <v>39.735608799509151</v>
      </c>
      <c r="JE18" s="18">
        <f t="shared" si="45"/>
        <v>0.39735608799509153</v>
      </c>
      <c r="JG18" s="336" t="s">
        <v>603</v>
      </c>
      <c r="JH18" s="18">
        <v>0.203233129942404</v>
      </c>
      <c r="JJ18" s="336" t="s">
        <v>603</v>
      </c>
      <c r="JK18" s="18">
        <v>7.8016805169744102E-2</v>
      </c>
      <c r="JM18" s="336" t="s">
        <v>603</v>
      </c>
      <c r="JN18" s="18">
        <v>0.42249396819090701</v>
      </c>
      <c r="JO18" s="18">
        <f t="shared" si="46"/>
        <v>0.57750603180909299</v>
      </c>
      <c r="JP18" s="336" t="s">
        <v>603</v>
      </c>
      <c r="JQ18" s="18">
        <v>0.425815447883026</v>
      </c>
      <c r="JT18" s="336" t="s">
        <v>603</v>
      </c>
      <c r="JU18" s="18">
        <v>0.30130294147377701</v>
      </c>
      <c r="JW18" s="336" t="s">
        <v>603</v>
      </c>
      <c r="JX18" s="18">
        <v>0.14701505926236999</v>
      </c>
      <c r="JZ18" s="336" t="s">
        <v>603</v>
      </c>
      <c r="KA18" s="18">
        <v>0.39635040785335901</v>
      </c>
      <c r="KC18" s="336" t="s">
        <v>603</v>
      </c>
      <c r="KD18" s="18">
        <v>0.426471733293871</v>
      </c>
      <c r="KE18" s="107"/>
      <c r="KF18" s="349"/>
      <c r="KG18" s="349"/>
      <c r="KH18" s="349"/>
      <c r="KI18" s="349"/>
      <c r="KJ18" s="349"/>
      <c r="KK18" s="349"/>
      <c r="KL18" s="349"/>
      <c r="KM18" s="349"/>
      <c r="KN18" s="355"/>
      <c r="KO18" s="145"/>
      <c r="KP18" s="145"/>
      <c r="KQ18" s="340">
        <v>10</v>
      </c>
      <c r="KR18" s="18">
        <v>0.28999999459999998</v>
      </c>
      <c r="KS18" s="18">
        <v>0.24666666666666667</v>
      </c>
      <c r="KT18" s="18">
        <v>0.33333333333333331</v>
      </c>
      <c r="KU18" s="18">
        <v>0.52333333133333337</v>
      </c>
      <c r="KV18" s="18">
        <v>0.21333334100000001</v>
      </c>
      <c r="KW18" s="18">
        <v>0.13714286042857141</v>
      </c>
      <c r="KX18" s="18">
        <v>0.141666667</v>
      </c>
      <c r="KY18" s="18">
        <v>0.60333332433333331</v>
      </c>
      <c r="KZ18" s="18">
        <v>0.5666666726666667</v>
      </c>
      <c r="LA18" s="18">
        <v>0.42333333333333334</v>
      </c>
      <c r="LB18" s="18">
        <v>0.36999999499999997</v>
      </c>
      <c r="LC18" s="358" t="s">
        <v>638</v>
      </c>
      <c r="LD18" s="358">
        <v>10</v>
      </c>
      <c r="LE18" s="358">
        <v>10</v>
      </c>
      <c r="LF18" s="358">
        <v>10.5</v>
      </c>
      <c r="LG18" s="358">
        <v>10</v>
      </c>
      <c r="LH18" s="358">
        <v>10</v>
      </c>
      <c r="LI18" s="358">
        <v>10</v>
      </c>
      <c r="LJ18" s="144">
        <v>0.83999997377400004</v>
      </c>
      <c r="LK18" s="145"/>
      <c r="LL18" s="107" t="s">
        <v>217</v>
      </c>
      <c r="LM18" s="108"/>
      <c r="LN18" s="5"/>
      <c r="LO18" s="108"/>
      <c r="LP18" s="108"/>
      <c r="LQ18" s="80"/>
      <c r="LR18" s="77"/>
      <c r="LS18" s="107"/>
      <c r="LT18" s="108"/>
      <c r="LU18" s="5"/>
      <c r="LV18" s="108"/>
      <c r="LW18" s="108"/>
      <c r="LX18" s="80"/>
      <c r="LY18" s="77"/>
      <c r="LZ18" s="107"/>
      <c r="MA18" s="108"/>
      <c r="MB18" s="5"/>
      <c r="MC18" s="108"/>
      <c r="MD18" s="108"/>
      <c r="ME18" s="80"/>
      <c r="MF18" s="77"/>
      <c r="MG18" s="107"/>
      <c r="MH18" s="108"/>
      <c r="MI18" s="5"/>
      <c r="MJ18" s="108"/>
      <c r="MK18" s="108"/>
      <c r="ML18" s="80"/>
      <c r="MM18" s="77"/>
    </row>
    <row r="19" spans="1:361" ht="14.25" customHeight="1" x14ac:dyDescent="0.2">
      <c r="A19" s="3" t="s">
        <v>16</v>
      </c>
      <c r="B19" s="5">
        <v>1</v>
      </c>
      <c r="C19" s="5">
        <v>1</v>
      </c>
      <c r="D19" s="5">
        <v>27</v>
      </c>
      <c r="E19" s="5">
        <v>89</v>
      </c>
      <c r="F19" s="5">
        <v>48</v>
      </c>
      <c r="G19" s="18">
        <v>31</v>
      </c>
      <c r="H19" s="24">
        <v>86</v>
      </c>
      <c r="I19" s="5">
        <v>19</v>
      </c>
      <c r="J19" s="5">
        <v>120</v>
      </c>
      <c r="K19" s="5">
        <v>121</v>
      </c>
      <c r="L19" s="5">
        <v>125</v>
      </c>
      <c r="M19" s="5">
        <v>58</v>
      </c>
      <c r="N19" s="5">
        <v>152</v>
      </c>
      <c r="O19" s="5">
        <v>20</v>
      </c>
      <c r="P19" s="5">
        <v>0</v>
      </c>
      <c r="Q19" s="5">
        <v>4</v>
      </c>
      <c r="R19" s="5">
        <v>0</v>
      </c>
      <c r="S19" s="5">
        <v>5</v>
      </c>
      <c r="T19" s="18">
        <v>8</v>
      </c>
      <c r="U19" s="5">
        <v>0</v>
      </c>
      <c r="V19" s="5">
        <v>-1</v>
      </c>
      <c r="W19" s="5">
        <v>0</v>
      </c>
      <c r="X19" s="5">
        <v>0</v>
      </c>
      <c r="Y19" s="5">
        <v>0</v>
      </c>
      <c r="Z19" s="92">
        <v>6.6691526315789855E-3</v>
      </c>
      <c r="AA19" s="88">
        <v>18.5</v>
      </c>
      <c r="AB19" s="68"/>
      <c r="AC19" s="5"/>
      <c r="AD19" s="5"/>
      <c r="AE19" s="80"/>
      <c r="AF19" s="179"/>
      <c r="AG19" s="154"/>
      <c r="AH19" s="154"/>
      <c r="AI19" s="154"/>
      <c r="AJ19" s="68"/>
      <c r="AK19" s="5"/>
      <c r="AL19" s="5"/>
      <c r="AM19" s="80"/>
      <c r="AN19" s="127">
        <v>77</v>
      </c>
      <c r="AO19" s="79">
        <v>74</v>
      </c>
      <c r="AP19" s="79">
        <v>90</v>
      </c>
      <c r="AQ19" s="128">
        <v>80</v>
      </c>
      <c r="AR19" s="127">
        <v>85</v>
      </c>
      <c r="AS19" s="79">
        <v>84</v>
      </c>
      <c r="AT19" s="79">
        <v>93</v>
      </c>
      <c r="AU19" s="128">
        <v>87</v>
      </c>
      <c r="AV19" s="179">
        <f t="shared" si="11"/>
        <v>8</v>
      </c>
      <c r="AW19" s="154">
        <f t="shared" si="11"/>
        <v>10</v>
      </c>
      <c r="AX19" s="154">
        <f t="shared" si="11"/>
        <v>3</v>
      </c>
      <c r="AY19" s="185">
        <f t="shared" si="11"/>
        <v>7</v>
      </c>
      <c r="AZ19" s="9"/>
      <c r="BA19" s="77"/>
      <c r="BC19" s="77"/>
      <c r="BD19" s="154">
        <v>1</v>
      </c>
      <c r="BE19" s="144">
        <v>1</v>
      </c>
      <c r="BF19" s="5">
        <v>4</v>
      </c>
      <c r="BG19" s="5">
        <v>0</v>
      </c>
      <c r="BK19" s="18" t="s">
        <v>16</v>
      </c>
      <c r="BL19" s="18">
        <v>-1</v>
      </c>
      <c r="BM19" s="18">
        <v>-1</v>
      </c>
      <c r="BN19" s="18">
        <v>-1</v>
      </c>
      <c r="BO19" s="18">
        <v>-2</v>
      </c>
      <c r="BP19" s="18">
        <v>-4</v>
      </c>
      <c r="BQ19" s="138"/>
      <c r="BR19" s="138"/>
      <c r="BS19" s="138"/>
      <c r="BT19" s="138"/>
      <c r="BU19" s="138"/>
      <c r="BV19" s="222"/>
      <c r="BW19" s="18">
        <v>0.49000000953700001</v>
      </c>
      <c r="BX19" s="18">
        <v>1.9999999553000001E-2</v>
      </c>
      <c r="BY19" s="18">
        <f t="shared" si="13"/>
        <v>0.47000000998399999</v>
      </c>
      <c r="BZ19" s="3">
        <v>0.76000000219999997</v>
      </c>
      <c r="CA19" s="18">
        <v>0.75666667033333335</v>
      </c>
      <c r="CB19" s="18">
        <v>1</v>
      </c>
      <c r="CC19" s="18">
        <v>0.58666665833333331</v>
      </c>
      <c r="CD19" s="18">
        <v>0.43666666633333334</v>
      </c>
      <c r="CE19" s="18">
        <v>0.20428571428571426</v>
      </c>
      <c r="CF19" s="18">
        <v>1.9999999666666667E-2</v>
      </c>
      <c r="CG19" s="18">
        <v>0.81333333266666674</v>
      </c>
      <c r="CH19" s="18">
        <v>1</v>
      </c>
      <c r="CI19" s="18">
        <v>0.82000000266666662</v>
      </c>
      <c r="CJ19" s="18">
        <v>0.65999999133333331</v>
      </c>
      <c r="CK19" s="296" t="s">
        <v>535</v>
      </c>
      <c r="CL19" s="18">
        <v>1.9359505480000001</v>
      </c>
      <c r="CM19" s="18">
        <v>-2.7068470590000002</v>
      </c>
      <c r="CN19" s="18">
        <v>-0.67649976499999998</v>
      </c>
      <c r="CO19" s="18">
        <v>-1.5287844950000001E-2</v>
      </c>
      <c r="CP19" s="18">
        <v>-0.34223544379999998</v>
      </c>
      <c r="CQ19" s="18">
        <v>-0.63179311019999995</v>
      </c>
      <c r="CR19" s="18">
        <v>-0.42971111299999998</v>
      </c>
      <c r="CS19" s="18">
        <v>-0.1475830165</v>
      </c>
      <c r="CT19" s="18">
        <v>-0.67822281240000004</v>
      </c>
      <c r="CY19" s="9"/>
      <c r="CZ19" s="296" t="s">
        <v>535</v>
      </c>
      <c r="DA19" s="68">
        <v>28.825896620000002</v>
      </c>
      <c r="DB19" s="5">
        <v>24.80795148</v>
      </c>
      <c r="DC19" s="5">
        <v>26.206632389999999</v>
      </c>
      <c r="DD19" s="80">
        <f>AVERAGE(DA19,DC19)</f>
        <v>27.516264505000002</v>
      </c>
      <c r="DE19" s="68">
        <v>22.982507680000001</v>
      </c>
      <c r="DF19" s="5">
        <v>27.009913099999999</v>
      </c>
      <c r="DG19" s="5">
        <v>22.240975649999999</v>
      </c>
      <c r="DH19" s="80">
        <f>AVERAGE(DE19,DG19)</f>
        <v>22.611741665</v>
      </c>
      <c r="DI19" s="151">
        <f t="shared" ref="DI19:DL22" si="65">DE19-DA19</f>
        <v>-5.8433889400000005</v>
      </c>
      <c r="DJ19" s="24">
        <f t="shared" si="65"/>
        <v>2.2019616199999987</v>
      </c>
      <c r="DK19" s="294">
        <f t="shared" si="65"/>
        <v>-3.96565674</v>
      </c>
      <c r="DL19" s="244">
        <f t="shared" si="65"/>
        <v>-4.904522840000002</v>
      </c>
      <c r="DM19" s="297" t="s">
        <v>535</v>
      </c>
      <c r="DN19" s="68">
        <v>4.9414054350000001</v>
      </c>
      <c r="DO19" s="5">
        <v>4.3662860950000004</v>
      </c>
      <c r="DP19" s="5">
        <v>5.6494851019999999</v>
      </c>
      <c r="DQ19" s="3">
        <f>AVERAGE(DN19,DP19)</f>
        <v>5.2954452685</v>
      </c>
      <c r="DR19" s="68">
        <v>6.356784534</v>
      </c>
      <c r="DS19" s="5">
        <v>6.0814861410000001</v>
      </c>
      <c r="DT19" s="5">
        <v>5.8412807229999997</v>
      </c>
      <c r="DU19" s="3">
        <f>AVERAGE(DR19,DT19)</f>
        <v>6.0990326284999998</v>
      </c>
      <c r="DV19" s="24">
        <f t="shared" ref="DV19:DY22" si="66">DR19-DN19</f>
        <v>1.4153790989999999</v>
      </c>
      <c r="DW19" s="24">
        <f t="shared" si="66"/>
        <v>1.7152000459999996</v>
      </c>
      <c r="DX19" s="24">
        <f t="shared" si="66"/>
        <v>0.19179562099999981</v>
      </c>
      <c r="DY19" s="188">
        <f t="shared" si="66"/>
        <v>0.80358735999999986</v>
      </c>
      <c r="DZ19" s="297" t="s">
        <v>535</v>
      </c>
      <c r="EA19" s="18">
        <v>35.417729459999997</v>
      </c>
      <c r="EB19" s="18">
        <v>13.14274438</v>
      </c>
      <c r="EC19" s="18">
        <v>16.174543289999999</v>
      </c>
      <c r="ED19" s="3">
        <f>AVERAGE(EA19,EC19)</f>
        <v>25.796136374999996</v>
      </c>
      <c r="EE19" s="18">
        <v>10.71398954</v>
      </c>
      <c r="EF19" s="18">
        <v>14.38832161</v>
      </c>
      <c r="EG19" s="18">
        <v>11.85521443</v>
      </c>
      <c r="EH19" s="3">
        <f>AVERAGE(EE19,EG19)</f>
        <v>11.284601985</v>
      </c>
      <c r="EI19" s="24">
        <f t="shared" ref="EI19:EL22" si="67">EE19-EA19</f>
        <v>-24.703739919999997</v>
      </c>
      <c r="EJ19" s="24">
        <f t="shared" si="67"/>
        <v>1.2455772300000003</v>
      </c>
      <c r="EK19" s="24">
        <f t="shared" si="67"/>
        <v>-4.3193288599999988</v>
      </c>
      <c r="EL19" s="188">
        <f t="shared" si="67"/>
        <v>-14.511534389999996</v>
      </c>
      <c r="EM19" s="297" t="s">
        <v>535</v>
      </c>
      <c r="EN19" s="195"/>
      <c r="EO19" s="196"/>
      <c r="EP19" s="195"/>
      <c r="EQ19" s="196"/>
      <c r="ER19" s="196"/>
      <c r="ES19" s="18">
        <v>8</v>
      </c>
      <c r="ET19" s="18">
        <v>9</v>
      </c>
      <c r="EU19" s="18">
        <v>19</v>
      </c>
      <c r="EV19" s="18">
        <v>2</v>
      </c>
      <c r="EW19" s="18">
        <v>8</v>
      </c>
      <c r="EX19" s="18">
        <v>0</v>
      </c>
      <c r="EY19" s="18">
        <v>46</v>
      </c>
      <c r="EZ19" s="5">
        <v>-2.7068470590000002</v>
      </c>
      <c r="FA19" s="18">
        <v>-34.232210553106704</v>
      </c>
      <c r="FB19" s="310">
        <v>17</v>
      </c>
      <c r="FC19" s="5">
        <v>89</v>
      </c>
      <c r="FD19" s="18">
        <v>31</v>
      </c>
      <c r="FE19" s="340">
        <v>18.5</v>
      </c>
      <c r="FF19" s="18">
        <v>0.69200000219999991</v>
      </c>
      <c r="FG19" s="18">
        <v>0.55333333699999998</v>
      </c>
      <c r="FH19" s="18">
        <v>0.47333333333333327</v>
      </c>
      <c r="FI19" s="18">
        <v>0.3266666583333333</v>
      </c>
      <c r="FJ19" s="18">
        <v>0.32999999966666665</v>
      </c>
      <c r="FK19" s="18">
        <v>-2.2857142857142854E-2</v>
      </c>
      <c r="FL19" s="18">
        <v>-9.8333333666666661E-2</v>
      </c>
      <c r="FM19" s="18">
        <v>0.5299999993333333</v>
      </c>
      <c r="FN19" s="18">
        <v>0.24333333333333329</v>
      </c>
      <c r="FO19" s="18">
        <v>3.0000002666666581E-2</v>
      </c>
      <c r="FP19" s="18">
        <v>0.65999999133333331</v>
      </c>
      <c r="FQ19" s="322">
        <v>4</v>
      </c>
      <c r="FR19" s="5">
        <v>0</v>
      </c>
      <c r="FS19" s="5">
        <v>0</v>
      </c>
      <c r="FT19" s="259">
        <v>0.76000000219999997</v>
      </c>
      <c r="FU19" s="72">
        <v>0.75666667033333335</v>
      </c>
      <c r="FV19" s="260">
        <v>1</v>
      </c>
      <c r="FW19" s="261">
        <v>0.58666665833333331</v>
      </c>
      <c r="FX19" s="154">
        <v>0.43666666633333334</v>
      </c>
      <c r="FY19" s="262">
        <v>0.20428571428571426</v>
      </c>
      <c r="FZ19" s="263">
        <v>1.9999999666666667E-2</v>
      </c>
      <c r="GA19" s="264">
        <v>0.81333333266666674</v>
      </c>
      <c r="GB19" s="265">
        <v>1</v>
      </c>
      <c r="GC19" s="266">
        <v>0.82000000266666662</v>
      </c>
      <c r="GD19" s="267">
        <v>0.65999999133333331</v>
      </c>
      <c r="GE19" s="5">
        <v>-2.7068470590000002</v>
      </c>
      <c r="GF19" s="18">
        <v>8</v>
      </c>
      <c r="GG19" s="18">
        <v>9</v>
      </c>
      <c r="GH19" s="18">
        <v>19</v>
      </c>
      <c r="GI19" s="18">
        <v>2</v>
      </c>
      <c r="GJ19" s="18">
        <v>8</v>
      </c>
      <c r="GK19" s="18">
        <v>0</v>
      </c>
      <c r="GL19" s="18">
        <v>46</v>
      </c>
      <c r="GN19" s="5">
        <v>120</v>
      </c>
      <c r="GO19" s="5">
        <v>121</v>
      </c>
      <c r="GP19" s="5">
        <v>125</v>
      </c>
      <c r="GQ19" s="5">
        <v>58</v>
      </c>
      <c r="GR19" s="5">
        <v>152</v>
      </c>
      <c r="GS19" s="144">
        <v>1</v>
      </c>
      <c r="GT19" s="18">
        <v>77.106800000000007</v>
      </c>
      <c r="GU19" s="18">
        <v>80.825000000000003</v>
      </c>
      <c r="GV19" s="3">
        <f t="shared" si="15"/>
        <v>-3.718199999999996</v>
      </c>
      <c r="GW19" s="5">
        <f t="shared" si="16"/>
        <v>0.9539969068976184</v>
      </c>
      <c r="GX19" s="18">
        <f t="shared" si="17"/>
        <v>-2.0453033387596683E-2</v>
      </c>
      <c r="GY19" s="18">
        <v>64.108500000000006</v>
      </c>
      <c r="GZ19" s="18">
        <v>68.987499999999997</v>
      </c>
      <c r="HA19" s="3">
        <f t="shared" si="18"/>
        <v>-4.8789999999999907</v>
      </c>
      <c r="HB19" s="18">
        <f t="shared" si="19"/>
        <v>0.92927704294256219</v>
      </c>
      <c r="HC19" s="18">
        <v>71.340199999999996</v>
      </c>
      <c r="HD19" s="18">
        <v>78.730800000000002</v>
      </c>
      <c r="HE19" s="3">
        <f t="shared" si="20"/>
        <v>-7.3906000000000063</v>
      </c>
      <c r="HF19" s="18">
        <f>HC19/HD19</f>
        <v>0.90612822427817319</v>
      </c>
      <c r="HG19" s="18">
        <v>56.014299999999999</v>
      </c>
      <c r="HH19" s="18">
        <v>91.918000000000006</v>
      </c>
      <c r="HI19" s="3">
        <f t="shared" si="22"/>
        <v>-35.903700000000008</v>
      </c>
      <c r="HJ19" s="18">
        <f t="shared" si="23"/>
        <v>0.60939424269457554</v>
      </c>
      <c r="HK19" s="5">
        <v>97.404499999999999</v>
      </c>
      <c r="HL19" s="5">
        <v>88.583200000000005</v>
      </c>
      <c r="HM19" s="3">
        <f t="shared" si="24"/>
        <v>8.8212999999999937</v>
      </c>
      <c r="HN19" s="5">
        <f t="shared" si="60"/>
        <v>1.099582087799944</v>
      </c>
      <c r="HO19" s="18">
        <v>57.272500000000001</v>
      </c>
      <c r="HP19" s="18">
        <v>58.653500000000001</v>
      </c>
      <c r="HQ19" s="3">
        <f t="shared" si="25"/>
        <v>-1.3810000000000002</v>
      </c>
      <c r="HR19" s="18">
        <f t="shared" si="26"/>
        <v>0.97645494301277846</v>
      </c>
      <c r="HS19" s="18">
        <v>59.308999999999997</v>
      </c>
      <c r="HT19" s="18">
        <v>62.993000000000002</v>
      </c>
      <c r="HU19" s="3">
        <f t="shared" si="27"/>
        <v>-3.6840000000000046</v>
      </c>
      <c r="HV19" s="18">
        <f t="shared" si="28"/>
        <v>0.94151731144730355</v>
      </c>
      <c r="HW19" s="18">
        <v>61.984999999999999</v>
      </c>
      <c r="HX19" s="18">
        <v>60.761699999999998</v>
      </c>
      <c r="HY19" s="3">
        <f t="shared" si="29"/>
        <v>1.2233000000000018</v>
      </c>
      <c r="HZ19" s="18">
        <f t="shared" si="30"/>
        <v>1.0201327480962514</v>
      </c>
      <c r="IA19" s="18">
        <v>52.838000000000001</v>
      </c>
      <c r="IB19" s="18">
        <v>57.491500000000002</v>
      </c>
      <c r="IC19" s="3">
        <f t="shared" si="31"/>
        <v>-4.6535000000000011</v>
      </c>
      <c r="ID19" s="18">
        <f t="shared" si="32"/>
        <v>0.91905759981910373</v>
      </c>
      <c r="IE19" s="18">
        <v>43.712200000000003</v>
      </c>
      <c r="IF19" s="18">
        <v>45.2254</v>
      </c>
      <c r="IG19" s="3">
        <f t="shared" si="33"/>
        <v>-1.5131999999999977</v>
      </c>
      <c r="IH19" s="18">
        <f t="shared" si="34"/>
        <v>0.96654092611673981</v>
      </c>
      <c r="II19" s="18">
        <v>64.4285</v>
      </c>
      <c r="IJ19" s="18">
        <v>65.380200000000002</v>
      </c>
      <c r="IK19" s="3">
        <f t="shared" si="35"/>
        <v>-0.95170000000000243</v>
      </c>
      <c r="IL19" s="18">
        <f t="shared" si="36"/>
        <v>0.98544360525051922</v>
      </c>
      <c r="IM19" s="18">
        <v>78.576499999999996</v>
      </c>
      <c r="IN19" s="18">
        <v>83.207800000000006</v>
      </c>
      <c r="IO19" s="3">
        <f t="shared" si="37"/>
        <v>-4.6313000000000102</v>
      </c>
      <c r="IP19" s="18">
        <f t="shared" si="38"/>
        <v>0.9443405546114666</v>
      </c>
      <c r="IQ19" s="18">
        <v>51.669199999999996</v>
      </c>
      <c r="IR19" s="18">
        <v>53.401499999999999</v>
      </c>
      <c r="IS19" s="3">
        <f t="shared" si="39"/>
        <v>-1.7323000000000022</v>
      </c>
      <c r="IT19" s="18">
        <f t="shared" si="40"/>
        <v>0.96756083630609624</v>
      </c>
      <c r="IU19" s="18">
        <v>58.425699999999999</v>
      </c>
      <c r="IV19" s="18">
        <v>61.759500000000003</v>
      </c>
      <c r="IW19" s="3">
        <f t="shared" si="41"/>
        <v>-3.3338000000000036</v>
      </c>
      <c r="IX19" s="18">
        <f t="shared" si="42"/>
        <v>0.94601964070304967</v>
      </c>
      <c r="IY19" s="18">
        <v>63.12</v>
      </c>
      <c r="IZ19" s="18">
        <v>67.227500000000006</v>
      </c>
      <c r="JA19" s="3">
        <f t="shared" si="43"/>
        <v>-4.1075000000000088</v>
      </c>
      <c r="JB19" s="18">
        <f t="shared" si="44"/>
        <v>0.93890149120523581</v>
      </c>
      <c r="JC19" s="18">
        <f>LOG(HN19)</f>
        <v>4.1227656568844397E-2</v>
      </c>
      <c r="JF19" s="18">
        <v>17</v>
      </c>
      <c r="JG19" s="138"/>
      <c r="JH19" s="138"/>
      <c r="JI19" s="138"/>
      <c r="JJ19" s="138"/>
      <c r="JK19" s="138"/>
      <c r="JL19" s="138"/>
      <c r="JM19" s="138"/>
      <c r="JN19" s="138"/>
      <c r="JP19" s="138"/>
      <c r="JQ19" s="138"/>
      <c r="JR19" s="138"/>
      <c r="JS19" s="138"/>
      <c r="JT19" s="138"/>
      <c r="JU19" s="138"/>
      <c r="JV19" s="138"/>
      <c r="JW19" s="138"/>
      <c r="JX19" s="138"/>
      <c r="JY19" s="138"/>
      <c r="JZ19" s="138"/>
      <c r="KA19" s="138"/>
      <c r="KB19" s="138"/>
      <c r="KC19" s="138"/>
      <c r="KD19" s="138"/>
      <c r="KE19" s="68" t="s">
        <v>535</v>
      </c>
      <c r="KF19" s="347">
        <v>4.4699999999999997E-2</v>
      </c>
      <c r="KG19" s="347">
        <v>5.0200000000000002E-2</v>
      </c>
      <c r="KH19" s="347">
        <f t="shared" si="47"/>
        <v>4.7449999999999999E-2</v>
      </c>
      <c r="KI19" s="348">
        <v>9.1200000000000003E-2</v>
      </c>
      <c r="KJ19" s="348">
        <v>8.4699999999999998E-2</v>
      </c>
      <c r="KK19" s="348">
        <f t="shared" si="48"/>
        <v>8.795E-2</v>
      </c>
      <c r="KL19" s="347">
        <f t="shared" si="49"/>
        <v>4.0500000000000001E-2</v>
      </c>
      <c r="KM19" s="347">
        <f t="shared" si="50"/>
        <v>1.8535300316122234</v>
      </c>
      <c r="KN19" s="354">
        <f t="shared" si="64"/>
        <v>5.7315300316122233</v>
      </c>
      <c r="KO19" s="18">
        <f t="shared" si="51"/>
        <v>0.75827057233151074</v>
      </c>
      <c r="KP19" s="18">
        <v>0.75827057233151074</v>
      </c>
      <c r="KQ19" s="340">
        <v>18.5</v>
      </c>
      <c r="KR19" s="18">
        <v>0.69200000219999991</v>
      </c>
      <c r="KS19" s="18">
        <v>0.55333333699999998</v>
      </c>
      <c r="KT19" s="18">
        <v>0.47333333333333327</v>
      </c>
      <c r="KU19" s="18">
        <v>0.3266666583333333</v>
      </c>
      <c r="KV19" s="18">
        <v>0.32999999966666665</v>
      </c>
      <c r="KW19" s="18">
        <v>-2.2857142857142854E-2</v>
      </c>
      <c r="KX19" s="18">
        <v>-9.8333333666666661E-2</v>
      </c>
      <c r="KY19" s="18">
        <v>0.5299999993333333</v>
      </c>
      <c r="KZ19" s="18">
        <v>0.24333333333333329</v>
      </c>
      <c r="LA19" s="18">
        <v>3.0000002666666581E-2</v>
      </c>
      <c r="LB19" s="18">
        <v>0.65999999133333331</v>
      </c>
      <c r="LC19" s="358" t="s">
        <v>639</v>
      </c>
      <c r="LD19" s="358">
        <v>18.5</v>
      </c>
      <c r="LE19" s="358">
        <v>15</v>
      </c>
      <c r="LF19" s="358">
        <v>11.5</v>
      </c>
      <c r="LG19" s="358">
        <v>19</v>
      </c>
      <c r="LH19" s="358">
        <v>18.5</v>
      </c>
      <c r="LI19" s="358">
        <v>20</v>
      </c>
      <c r="LJ19" s="144">
        <v>1</v>
      </c>
      <c r="LK19" s="158" t="s">
        <v>535</v>
      </c>
      <c r="LL19" s="68">
        <v>0.53820000000000001</v>
      </c>
      <c r="LM19" s="5">
        <v>0.52370000000000005</v>
      </c>
      <c r="LN19" s="5">
        <f t="shared" si="52"/>
        <v>0.53095000000000003</v>
      </c>
      <c r="LO19" s="5">
        <v>0.58330000000000004</v>
      </c>
      <c r="LP19" s="5">
        <v>0.56840000000000002</v>
      </c>
      <c r="LQ19" s="80">
        <f t="shared" si="53"/>
        <v>0.57584999999999997</v>
      </c>
      <c r="LR19" s="77">
        <f t="shared" si="54"/>
        <v>-4.489999999999994E-2</v>
      </c>
      <c r="LS19" s="68">
        <v>17.132100000000001</v>
      </c>
      <c r="LT19" s="5">
        <v>16.788499999999999</v>
      </c>
      <c r="LU19" s="5">
        <f t="shared" si="55"/>
        <v>16.9603</v>
      </c>
      <c r="LV19" s="5">
        <v>29.2026</v>
      </c>
      <c r="LW19" s="5">
        <v>23.573899999999998</v>
      </c>
      <c r="LX19" s="80">
        <f t="shared" si="56"/>
        <v>26.388249999999999</v>
      </c>
      <c r="LY19" s="77">
        <f t="shared" si="57"/>
        <v>-9.4279499999999992</v>
      </c>
      <c r="LZ19" s="68">
        <v>0.97660000000000002</v>
      </c>
      <c r="MA19" s="5">
        <v>0.9788</v>
      </c>
      <c r="MB19" s="5">
        <f>AVERAGE(LZ19:MA19)</f>
        <v>0.97770000000000001</v>
      </c>
      <c r="MC19" s="5">
        <v>0.87190000000000001</v>
      </c>
      <c r="MD19" s="5">
        <v>0.91859999999999997</v>
      </c>
      <c r="ME19" s="80">
        <f>AVERAGE(MC19:MD19)</f>
        <v>0.89524999999999999</v>
      </c>
      <c r="MF19" s="77">
        <f t="shared" si="58"/>
        <v>8.2450000000000023E-2</v>
      </c>
      <c r="MG19" s="68">
        <v>0.41820000000000002</v>
      </c>
      <c r="MH19" s="5">
        <v>0.38429999999999997</v>
      </c>
      <c r="MI19" s="5">
        <f>AVERAGE(MG19:MH19)</f>
        <v>0.40125</v>
      </c>
      <c r="MJ19" s="5">
        <v>0.55169999999999997</v>
      </c>
      <c r="MK19" s="5">
        <v>0.4879</v>
      </c>
      <c r="ML19" s="80">
        <f>AVERAGE(MJ19:MK19)</f>
        <v>0.51980000000000004</v>
      </c>
      <c r="MM19" s="77">
        <f t="shared" si="59"/>
        <v>-0.11855000000000004</v>
      </c>
      <c r="MO19" s="5">
        <v>-0.28403142190000003</v>
      </c>
      <c r="MP19" s="5">
        <v>2.9395903309999998</v>
      </c>
      <c r="MQ19" s="5">
        <v>3.3450313239999998</v>
      </c>
      <c r="MR19" s="5">
        <v>3.5318881279999998</v>
      </c>
      <c r="MS19" s="292">
        <v>3.3545755779999999</v>
      </c>
      <c r="MT19" s="18">
        <v>-2.7068470590000002</v>
      </c>
      <c r="MU19" s="18">
        <v>1.7311244180000001</v>
      </c>
      <c r="MV19" s="18">
        <v>-0.2580061917</v>
      </c>
      <c r="MW19" s="18">
        <v>0.8620683106</v>
      </c>
    </row>
    <row r="20" spans="1:361" ht="14.25" customHeight="1" x14ac:dyDescent="0.2">
      <c r="A20" s="3" t="s">
        <v>17</v>
      </c>
      <c r="B20" s="5">
        <v>2</v>
      </c>
      <c r="C20" s="5">
        <v>8</v>
      </c>
      <c r="D20" s="5">
        <v>33</v>
      </c>
      <c r="E20" s="5">
        <v>76</v>
      </c>
      <c r="F20" s="5">
        <v>43</v>
      </c>
      <c r="G20" s="18">
        <v>43</v>
      </c>
      <c r="H20" s="24">
        <v>107</v>
      </c>
      <c r="I20" s="5">
        <v>15</v>
      </c>
      <c r="J20" s="5">
        <v>113</v>
      </c>
      <c r="K20" s="5">
        <v>106</v>
      </c>
      <c r="L20" s="5">
        <v>122</v>
      </c>
      <c r="M20" s="5">
        <v>86</v>
      </c>
      <c r="N20" s="5">
        <v>128</v>
      </c>
      <c r="O20" s="5">
        <v>6</v>
      </c>
      <c r="P20" s="5">
        <v>-1</v>
      </c>
      <c r="Q20" s="5">
        <v>7</v>
      </c>
      <c r="R20" s="5">
        <v>-10</v>
      </c>
      <c r="S20" s="5">
        <v>13</v>
      </c>
      <c r="T20" s="18">
        <v>11</v>
      </c>
      <c r="U20" s="5">
        <v>10</v>
      </c>
      <c r="V20" s="5">
        <v>-1</v>
      </c>
      <c r="W20" s="5">
        <v>-9</v>
      </c>
      <c r="X20" s="5">
        <v>-19</v>
      </c>
      <c r="Y20" s="5">
        <v>1</v>
      </c>
      <c r="Z20" s="92">
        <v>-2.7838047368421E-2</v>
      </c>
      <c r="AA20" s="88">
        <v>14.5</v>
      </c>
      <c r="AB20" s="68">
        <v>88</v>
      </c>
      <c r="AC20" s="5">
        <v>89</v>
      </c>
      <c r="AD20" s="5">
        <v>100</v>
      </c>
      <c r="AE20" s="80">
        <v>92</v>
      </c>
      <c r="AF20" s="179">
        <v>-4</v>
      </c>
      <c r="AG20" s="154">
        <v>-6</v>
      </c>
      <c r="AH20" s="154">
        <v>7</v>
      </c>
      <c r="AI20" s="154">
        <v>-1</v>
      </c>
      <c r="AJ20" s="68">
        <v>84</v>
      </c>
      <c r="AK20" s="5">
        <v>83</v>
      </c>
      <c r="AL20" s="5">
        <v>107</v>
      </c>
      <c r="AM20" s="80">
        <v>91</v>
      </c>
      <c r="AN20" s="68">
        <v>88</v>
      </c>
      <c r="AO20" s="5">
        <v>89</v>
      </c>
      <c r="AP20" s="5">
        <v>100</v>
      </c>
      <c r="AQ20" s="80">
        <v>92</v>
      </c>
      <c r="AR20" s="68">
        <v>84</v>
      </c>
      <c r="AS20" s="5">
        <v>83</v>
      </c>
      <c r="AT20" s="5">
        <v>107</v>
      </c>
      <c r="AU20" s="80">
        <v>91</v>
      </c>
      <c r="AV20" s="179">
        <f t="shared" si="11"/>
        <v>-4</v>
      </c>
      <c r="AW20" s="154">
        <f t="shared" si="11"/>
        <v>-6</v>
      </c>
      <c r="AX20" s="154">
        <f t="shared" si="11"/>
        <v>7</v>
      </c>
      <c r="AY20" s="185">
        <f t="shared" si="11"/>
        <v>-1</v>
      </c>
      <c r="AZ20" s="9">
        <v>1.1363636363636365</v>
      </c>
      <c r="BA20" s="77">
        <v>-0.13744588744588726</v>
      </c>
      <c r="BB20" s="18">
        <v>1.0113636363636365</v>
      </c>
      <c r="BC20" s="77">
        <v>2.3268398268398327E-2</v>
      </c>
      <c r="BD20" s="154">
        <v>0.76999998092699995</v>
      </c>
      <c r="BE20" s="144">
        <v>0.83999997377400004</v>
      </c>
      <c r="BF20" s="5">
        <v>7</v>
      </c>
      <c r="BG20" s="5">
        <v>-1</v>
      </c>
      <c r="BK20" s="18" t="s">
        <v>17</v>
      </c>
      <c r="BL20" s="18">
        <v>-10</v>
      </c>
      <c r="BM20" s="221">
        <v>-16</v>
      </c>
      <c r="BN20" s="21">
        <v>-17</v>
      </c>
      <c r="BO20" s="18">
        <v>-34</v>
      </c>
      <c r="BP20" s="18">
        <v>-67</v>
      </c>
      <c r="BQ20" s="138" t="s">
        <v>490</v>
      </c>
      <c r="BR20" s="138">
        <v>4.2323659582691703E-28</v>
      </c>
      <c r="BS20" s="138" t="s">
        <v>491</v>
      </c>
      <c r="BT20" s="138">
        <v>-1.71345022949556E-27</v>
      </c>
      <c r="BU20" s="138">
        <f t="shared" si="12"/>
        <v>-6.4510681683432144E-28</v>
      </c>
      <c r="BW20" s="18">
        <v>0.5</v>
      </c>
      <c r="BX20" s="18">
        <v>0.12999999523200001</v>
      </c>
      <c r="BY20" s="18">
        <f t="shared" si="13"/>
        <v>0.37000000476799999</v>
      </c>
      <c r="BZ20" s="3">
        <v>0.35799999840000002</v>
      </c>
      <c r="CA20" s="18">
        <v>0.3166666726666667</v>
      </c>
      <c r="CB20" s="18">
        <v>0.31666666766666668</v>
      </c>
      <c r="CC20" s="18">
        <v>0.18333333366666668</v>
      </c>
      <c r="CD20" s="18">
        <v>0.33000000666666662</v>
      </c>
      <c r="CE20" s="18">
        <v>0.16142857342857142</v>
      </c>
      <c r="CF20" s="18">
        <v>5.0000000000000001E-3</v>
      </c>
      <c r="CG20" s="18">
        <v>0.176666667</v>
      </c>
      <c r="CH20" s="18">
        <v>0.46666665899999998</v>
      </c>
      <c r="CI20" s="18">
        <v>0.57999998333333336</v>
      </c>
      <c r="CJ20" s="18">
        <v>0.51000001033333331</v>
      </c>
      <c r="CK20" s="285" t="s">
        <v>536</v>
      </c>
      <c r="CL20" s="18">
        <v>1.8900219229999999</v>
      </c>
      <c r="CM20" s="18">
        <v>-4.1567060470000001</v>
      </c>
      <c r="CN20" s="18">
        <v>-0.71777224539999995</v>
      </c>
      <c r="CO20" s="18">
        <v>-0.3631437475</v>
      </c>
      <c r="CP20" s="18">
        <v>-0.43654978840000003</v>
      </c>
      <c r="CQ20" s="18">
        <v>-0.34623590459999998</v>
      </c>
      <c r="CR20" s="18">
        <v>-0.47770460920000002</v>
      </c>
      <c r="CS20" s="18">
        <v>-0.238764752</v>
      </c>
      <c r="CT20" s="18">
        <v>-0.25477671340000002</v>
      </c>
      <c r="CY20" s="9"/>
      <c r="CZ20" s="285" t="s">
        <v>536</v>
      </c>
      <c r="DA20" s="68">
        <v>16.429920899999999</v>
      </c>
      <c r="DB20" s="5">
        <v>15.47131422</v>
      </c>
      <c r="DC20" s="5">
        <v>13.33761456</v>
      </c>
      <c r="DD20" s="80">
        <f>AVERAGE(DA20,DC20)</f>
        <v>14.883767729999999</v>
      </c>
      <c r="DE20" s="68">
        <v>6.1993915849999999</v>
      </c>
      <c r="DF20" s="5">
        <v>7.0648990649999996</v>
      </c>
      <c r="DG20" s="5">
        <v>6.5786088210000004</v>
      </c>
      <c r="DH20" s="80">
        <f>AVERAGE(DE20,DG20)</f>
        <v>6.3890002030000002</v>
      </c>
      <c r="DI20" s="151">
        <f t="shared" si="65"/>
        <v>-10.230529314999998</v>
      </c>
      <c r="DJ20" s="24">
        <f t="shared" si="65"/>
        <v>-8.4064151550000012</v>
      </c>
      <c r="DK20" s="294">
        <f t="shared" si="65"/>
        <v>-6.759005739</v>
      </c>
      <c r="DL20" s="244">
        <f t="shared" si="65"/>
        <v>-8.4947675269999987</v>
      </c>
      <c r="DM20" s="295" t="s">
        <v>536</v>
      </c>
      <c r="DN20" s="68">
        <v>2.5670949269999999</v>
      </c>
      <c r="DO20" s="5">
        <v>2.7467536799999999</v>
      </c>
      <c r="DP20" s="5">
        <v>2.4138939239999999</v>
      </c>
      <c r="DQ20" s="3">
        <f>AVERAGE(DN20,DP20)</f>
        <v>2.4904944254999997</v>
      </c>
      <c r="DR20" s="68">
        <v>1.515023029</v>
      </c>
      <c r="DS20" s="5">
        <v>1.6848409049999999</v>
      </c>
      <c r="DT20" s="5">
        <v>1.522191407</v>
      </c>
      <c r="DU20" s="3">
        <f>AVERAGE(DR20,DT20)</f>
        <v>1.5186072180000001</v>
      </c>
      <c r="DV20" s="24">
        <f t="shared" si="66"/>
        <v>-1.0520718979999999</v>
      </c>
      <c r="DW20" s="24">
        <f t="shared" si="66"/>
        <v>-1.0619127749999999</v>
      </c>
      <c r="DX20" s="24">
        <f t="shared" si="66"/>
        <v>-0.89170251699999992</v>
      </c>
      <c r="DY20" s="188">
        <f t="shared" si="66"/>
        <v>-0.97188720749999957</v>
      </c>
      <c r="DZ20" s="295" t="s">
        <v>536</v>
      </c>
      <c r="EA20" s="18">
        <v>18.826740740000002</v>
      </c>
      <c r="EB20" s="18">
        <v>32.315442930000003</v>
      </c>
      <c r="EC20" s="18">
        <v>11.17975429</v>
      </c>
      <c r="ED20" s="3">
        <f>AVERAGE(EA20,EC20)</f>
        <v>15.003247515000002</v>
      </c>
      <c r="EE20" s="18">
        <v>5.7493962449999998</v>
      </c>
      <c r="EF20" s="18">
        <v>4.394662115</v>
      </c>
      <c r="EG20" s="18">
        <v>5.855131031</v>
      </c>
      <c r="EH20" s="3">
        <f>AVERAGE(EE20,EG20)</f>
        <v>5.8022636379999994</v>
      </c>
      <c r="EI20" s="24">
        <f t="shared" si="67"/>
        <v>-13.077344495000002</v>
      </c>
      <c r="EJ20" s="24">
        <f t="shared" si="67"/>
        <v>-27.920780815000004</v>
      </c>
      <c r="EK20" s="24">
        <f t="shared" si="67"/>
        <v>-5.324623259</v>
      </c>
      <c r="EL20" s="188">
        <f t="shared" si="67"/>
        <v>-9.2009838770000023</v>
      </c>
      <c r="EM20" s="295" t="s">
        <v>536</v>
      </c>
      <c r="EN20" s="151" t="s">
        <v>490</v>
      </c>
      <c r="EO20" s="244">
        <v>84.735555548497302</v>
      </c>
      <c r="EP20" s="151" t="s">
        <v>491</v>
      </c>
      <c r="EQ20" s="244">
        <v>42.655997857338598</v>
      </c>
      <c r="ER20" s="244">
        <f t="shared" si="14"/>
        <v>63.695776702917954</v>
      </c>
      <c r="ES20" s="18">
        <v>3</v>
      </c>
      <c r="ET20" s="18">
        <v>12</v>
      </c>
      <c r="EU20" s="18">
        <v>13</v>
      </c>
      <c r="EV20" s="18">
        <v>-3</v>
      </c>
      <c r="EW20" s="18">
        <v>4</v>
      </c>
      <c r="EX20" s="18">
        <v>0</v>
      </c>
      <c r="EY20" s="18">
        <v>29</v>
      </c>
      <c r="EZ20" s="5">
        <v>-4.1567060470000001</v>
      </c>
      <c r="FA20" s="18">
        <v>-52.427600977815047</v>
      </c>
      <c r="FB20" s="310">
        <v>18</v>
      </c>
      <c r="FC20" s="5">
        <v>76</v>
      </c>
      <c r="FD20" s="18">
        <v>43</v>
      </c>
      <c r="FE20" s="340">
        <v>14.5</v>
      </c>
      <c r="FF20" s="18">
        <v>0.35599999840000002</v>
      </c>
      <c r="FG20" s="18">
        <v>0.3066666726666667</v>
      </c>
      <c r="FH20" s="18">
        <v>0.30666666766666667</v>
      </c>
      <c r="FI20" s="18">
        <v>0.18333333366666668</v>
      </c>
      <c r="FJ20" s="18">
        <v>0.33000000666666662</v>
      </c>
      <c r="FK20" s="18">
        <v>0.15857143057142856</v>
      </c>
      <c r="FL20" s="18">
        <v>3.3333333333333331E-3</v>
      </c>
      <c r="FM20" s="18">
        <v>0.176666667</v>
      </c>
      <c r="FN20" s="18">
        <v>0.46333332566666663</v>
      </c>
      <c r="FO20" s="18">
        <v>0.57999998333333336</v>
      </c>
      <c r="FP20" s="18">
        <v>0.51000001033333331</v>
      </c>
      <c r="FQ20" s="322">
        <v>7</v>
      </c>
      <c r="FR20" s="5">
        <v>10</v>
      </c>
      <c r="FS20" s="5">
        <v>1</v>
      </c>
      <c r="FT20" s="259">
        <v>0.35799999840000002</v>
      </c>
      <c r="FU20" s="72">
        <v>0.3166666726666667</v>
      </c>
      <c r="FV20" s="260">
        <v>0.31666666766666668</v>
      </c>
      <c r="FW20" s="261">
        <v>0.18333333366666668</v>
      </c>
      <c r="FX20" s="154">
        <v>0.33000000666666662</v>
      </c>
      <c r="FY20" s="262">
        <v>0.16142857342857142</v>
      </c>
      <c r="FZ20" s="263">
        <v>5.0000000000000001E-3</v>
      </c>
      <c r="GA20" s="264">
        <v>0.176666667</v>
      </c>
      <c r="GB20" s="265">
        <v>0.46666665899999998</v>
      </c>
      <c r="GC20" s="266">
        <v>0.57999998333333336</v>
      </c>
      <c r="GD20" s="267">
        <v>0.51000001033333331</v>
      </c>
      <c r="GE20" s="5">
        <v>-4.1567060470000001</v>
      </c>
      <c r="GF20" s="18">
        <v>3</v>
      </c>
      <c r="GG20" s="18">
        <v>12</v>
      </c>
      <c r="GH20" s="18">
        <v>13</v>
      </c>
      <c r="GI20" s="18">
        <v>-3</v>
      </c>
      <c r="GJ20" s="18">
        <v>4</v>
      </c>
      <c r="GK20" s="18">
        <v>0</v>
      </c>
      <c r="GL20" s="18">
        <v>29</v>
      </c>
      <c r="GN20" s="5">
        <v>113</v>
      </c>
      <c r="GO20" s="5">
        <v>106</v>
      </c>
      <c r="GP20" s="5">
        <v>122</v>
      </c>
      <c r="GQ20" s="5">
        <v>86</v>
      </c>
      <c r="GR20" s="5">
        <v>128</v>
      </c>
      <c r="GS20" s="144">
        <v>0.83999997377400004</v>
      </c>
      <c r="GT20" s="18">
        <v>63.756300000000003</v>
      </c>
      <c r="GU20" s="18">
        <v>60.8675</v>
      </c>
      <c r="GV20" s="3">
        <f t="shared" si="15"/>
        <v>2.8888000000000034</v>
      </c>
      <c r="GW20" s="5">
        <f t="shared" si="16"/>
        <v>1.0474604674087158</v>
      </c>
      <c r="GX20" s="18">
        <f t="shared" si="17"/>
        <v>2.0137641079638183E-2</v>
      </c>
      <c r="GY20" s="18">
        <v>55.8005</v>
      </c>
      <c r="GZ20" s="18">
        <v>53.792700000000004</v>
      </c>
      <c r="HA20" s="3">
        <f t="shared" si="18"/>
        <v>2.007799999999996</v>
      </c>
      <c r="HB20" s="18">
        <f t="shared" si="19"/>
        <v>1.0373247671152406</v>
      </c>
      <c r="HC20" s="18">
        <v>54.401000000000003</v>
      </c>
      <c r="HD20" s="18">
        <v>54.384500000000003</v>
      </c>
      <c r="HE20" s="3">
        <f t="shared" si="20"/>
        <v>1.6500000000000625E-2</v>
      </c>
      <c r="HF20" s="18">
        <f>HC20/HD20</f>
        <v>1.0003033952688727</v>
      </c>
      <c r="HG20" s="18">
        <v>26.371300000000002</v>
      </c>
      <c r="HH20" s="18">
        <v>32.180100000000003</v>
      </c>
      <c r="HI20" s="3">
        <f t="shared" si="22"/>
        <v>-5.8088000000000015</v>
      </c>
      <c r="HJ20" s="18">
        <f t="shared" si="23"/>
        <v>0.81949092762297193</v>
      </c>
      <c r="HK20" s="5">
        <v>64.723500000000001</v>
      </c>
      <c r="HL20" s="5">
        <v>50.900399999999998</v>
      </c>
      <c r="HM20" s="3">
        <f t="shared" si="24"/>
        <v>13.823100000000004</v>
      </c>
      <c r="HN20" s="5">
        <f t="shared" si="60"/>
        <v>1.2715715397128511</v>
      </c>
      <c r="HO20" s="18">
        <v>50.790700000000001</v>
      </c>
      <c r="HP20" s="18">
        <v>47.278799999999997</v>
      </c>
      <c r="HQ20" s="3">
        <f t="shared" si="25"/>
        <v>3.5119000000000042</v>
      </c>
      <c r="HR20" s="18">
        <f t="shared" si="26"/>
        <v>1.0742806501011024</v>
      </c>
      <c r="HS20" s="18">
        <v>59.945799999999998</v>
      </c>
      <c r="HT20" s="18">
        <v>59.255000000000003</v>
      </c>
      <c r="HU20" s="3">
        <f t="shared" si="27"/>
        <v>0.69079999999999586</v>
      </c>
      <c r="HV20" s="18">
        <f t="shared" si="28"/>
        <v>1.0116580879250696</v>
      </c>
      <c r="HW20" s="18">
        <v>57.593000000000004</v>
      </c>
      <c r="HX20" s="18">
        <v>59.89</v>
      </c>
      <c r="HY20" s="3">
        <f t="shared" si="29"/>
        <v>-2.296999999999997</v>
      </c>
      <c r="HZ20" s="18">
        <f t="shared" si="30"/>
        <v>0.96164635164468193</v>
      </c>
      <c r="IA20" s="18">
        <v>52.031199999999998</v>
      </c>
      <c r="IB20" s="18">
        <v>51.788600000000002</v>
      </c>
      <c r="IC20" s="3">
        <f t="shared" si="31"/>
        <v>0.24259999999999593</v>
      </c>
      <c r="ID20" s="18">
        <f t="shared" si="32"/>
        <v>1.0046844286194259</v>
      </c>
      <c r="IE20" s="18">
        <v>38.2151</v>
      </c>
      <c r="IF20" s="18">
        <v>44.575499999999998</v>
      </c>
      <c r="IG20" s="3">
        <f t="shared" si="33"/>
        <v>-6.3603999999999985</v>
      </c>
      <c r="IH20" s="18">
        <f t="shared" si="34"/>
        <v>0.85731175197137444</v>
      </c>
      <c r="II20" s="18">
        <v>63.398699999999998</v>
      </c>
      <c r="IJ20" s="18">
        <v>61.514000000000003</v>
      </c>
      <c r="IK20" s="3">
        <f t="shared" si="35"/>
        <v>1.8846999999999952</v>
      </c>
      <c r="IL20" s="18">
        <f t="shared" si="36"/>
        <v>1.0306385538251455</v>
      </c>
      <c r="IM20" s="18">
        <v>74.222499999999997</v>
      </c>
      <c r="IN20" s="18">
        <v>74.251499999999993</v>
      </c>
      <c r="IO20" s="3">
        <f t="shared" si="37"/>
        <v>-2.8999999999996362E-2</v>
      </c>
      <c r="IP20" s="18">
        <f t="shared" si="38"/>
        <v>0.99960943549961956</v>
      </c>
      <c r="IQ20" s="18">
        <v>45.265700000000002</v>
      </c>
      <c r="IR20" s="18">
        <v>41.523200000000003</v>
      </c>
      <c r="IS20" s="3">
        <f t="shared" si="39"/>
        <v>3.7424999999999997</v>
      </c>
      <c r="IT20" s="18">
        <f t="shared" si="40"/>
        <v>1.0901303367755857</v>
      </c>
      <c r="IU20" s="18">
        <v>56.184800000000003</v>
      </c>
      <c r="IV20" s="18">
        <v>51.091900000000003</v>
      </c>
      <c r="IW20" s="3">
        <f t="shared" si="41"/>
        <v>5.0929000000000002</v>
      </c>
      <c r="IX20" s="18">
        <f t="shared" si="42"/>
        <v>1.0996811627674836</v>
      </c>
      <c r="IY20" s="18">
        <v>63.649000000000001</v>
      </c>
      <c r="IZ20" s="18">
        <v>56.201300000000003</v>
      </c>
      <c r="JA20" s="3">
        <f t="shared" si="43"/>
        <v>7.4476999999999975</v>
      </c>
      <c r="JB20" s="18">
        <f t="shared" si="44"/>
        <v>1.1325182869435404</v>
      </c>
      <c r="JC20" s="18">
        <f>LOG(HN20)</f>
        <v>0.10434079898165996</v>
      </c>
      <c r="JD20" s="18">
        <v>63.695776702917954</v>
      </c>
      <c r="JE20" s="18">
        <f t="shared" si="45"/>
        <v>0.6369577670291795</v>
      </c>
      <c r="JG20" s="336" t="s">
        <v>604</v>
      </c>
      <c r="JH20" s="18">
        <v>0.19695361423139099</v>
      </c>
      <c r="JJ20" s="336" t="s">
        <v>604</v>
      </c>
      <c r="JK20" s="18">
        <v>0.157230308866532</v>
      </c>
      <c r="JM20" s="336" t="s">
        <v>604</v>
      </c>
      <c r="JN20" s="18">
        <v>0.79413752294812201</v>
      </c>
      <c r="JO20" s="18">
        <f t="shared" si="46"/>
        <v>0.20586247705187799</v>
      </c>
      <c r="JP20" s="336" t="s">
        <v>604</v>
      </c>
      <c r="JQ20" s="18">
        <v>0.673082614690381</v>
      </c>
      <c r="JT20" s="336" t="s">
        <v>604</v>
      </c>
      <c r="JU20" s="18">
        <v>0.30878736467243101</v>
      </c>
      <c r="JW20" s="336" t="s">
        <v>604</v>
      </c>
      <c r="JX20" s="18">
        <v>0.22748157795488699</v>
      </c>
      <c r="JZ20" s="336" t="s">
        <v>604</v>
      </c>
      <c r="KA20" s="18">
        <v>0.63102400439150796</v>
      </c>
      <c r="KC20" s="336" t="s">
        <v>604</v>
      </c>
      <c r="KD20" s="18">
        <v>0.64455929134841505</v>
      </c>
      <c r="KE20" s="68" t="s">
        <v>536</v>
      </c>
      <c r="KF20" s="347">
        <v>2.4799999999999999E-2</v>
      </c>
      <c r="KG20" s="347">
        <v>2.1999999999999999E-2</v>
      </c>
      <c r="KH20" s="347">
        <f t="shared" si="47"/>
        <v>2.3399999999999997E-2</v>
      </c>
      <c r="KI20" s="348">
        <v>1.7899999999999999E-2</v>
      </c>
      <c r="KJ20" s="348">
        <v>3.2099999999999997E-2</v>
      </c>
      <c r="KK20" s="348">
        <f t="shared" si="48"/>
        <v>2.4999999999999998E-2</v>
      </c>
      <c r="KL20" s="347">
        <f t="shared" si="49"/>
        <v>1.6000000000000007E-3</v>
      </c>
      <c r="KM20" s="347">
        <f t="shared" si="50"/>
        <v>1.0683760683760684</v>
      </c>
      <c r="KN20" s="354">
        <f t="shared" si="64"/>
        <v>4.9463760683760682</v>
      </c>
      <c r="KO20" s="18">
        <f t="shared" si="51"/>
        <v>0.69428713228643613</v>
      </c>
      <c r="KP20" s="18">
        <v>0.69428713228643613</v>
      </c>
      <c r="KQ20" s="340">
        <v>14.5</v>
      </c>
      <c r="KR20" s="18">
        <v>0.35599999840000002</v>
      </c>
      <c r="KS20" s="18">
        <v>0.3066666726666667</v>
      </c>
      <c r="KT20" s="18">
        <v>0.30666666766666667</v>
      </c>
      <c r="KU20" s="18">
        <v>0.18333333366666668</v>
      </c>
      <c r="KV20" s="18">
        <v>0.33000000666666662</v>
      </c>
      <c r="KW20" s="18">
        <v>0.15857143057142856</v>
      </c>
      <c r="KX20" s="18">
        <v>3.3333333333333331E-3</v>
      </c>
      <c r="KY20" s="18">
        <v>0.176666667</v>
      </c>
      <c r="KZ20" s="18">
        <v>0.46333332566666663</v>
      </c>
      <c r="LA20" s="18">
        <v>0.57999998333333336</v>
      </c>
      <c r="LB20" s="18">
        <v>0.51000001033333331</v>
      </c>
      <c r="LC20" s="358" t="s">
        <v>640</v>
      </c>
      <c r="LD20" s="358">
        <v>14.5</v>
      </c>
      <c r="LE20" s="358">
        <v>10</v>
      </c>
      <c r="LF20" s="358">
        <v>3.5</v>
      </c>
      <c r="LG20" s="358">
        <v>14.5</v>
      </c>
      <c r="LH20" s="358">
        <v>5</v>
      </c>
      <c r="LI20" s="358">
        <v>10.5</v>
      </c>
      <c r="LJ20" s="144">
        <v>0.83999997377400004</v>
      </c>
      <c r="LK20" s="158" t="s">
        <v>536</v>
      </c>
      <c r="LL20" s="68">
        <v>0.50939999999999996</v>
      </c>
      <c r="LM20" s="5">
        <v>0.5141</v>
      </c>
      <c r="LN20" s="5">
        <f t="shared" si="52"/>
        <v>0.51174999999999993</v>
      </c>
      <c r="LO20" s="5">
        <v>0.57140000000000002</v>
      </c>
      <c r="LP20" s="5">
        <v>0.57340000000000002</v>
      </c>
      <c r="LQ20" s="80">
        <f t="shared" si="53"/>
        <v>0.57240000000000002</v>
      </c>
      <c r="LR20" s="77">
        <f t="shared" si="54"/>
        <v>-6.0650000000000093E-2</v>
      </c>
      <c r="LS20" s="68">
        <v>6.9946000000000002</v>
      </c>
      <c r="LT20" s="5">
        <v>6.6611000000000002</v>
      </c>
      <c r="LU20" s="5">
        <f t="shared" si="55"/>
        <v>6.8278499999999998</v>
      </c>
      <c r="LV20" s="5">
        <v>17.649999999999999</v>
      </c>
      <c r="LW20" s="5">
        <v>14.700200000000001</v>
      </c>
      <c r="LX20" s="80">
        <f t="shared" si="56"/>
        <v>16.1751</v>
      </c>
      <c r="LY20" s="77">
        <f t="shared" si="57"/>
        <v>-9.3472500000000007</v>
      </c>
      <c r="LZ20" s="68">
        <v>1.0385</v>
      </c>
      <c r="MA20" s="5">
        <v>1.0306999999999999</v>
      </c>
      <c r="MB20" s="5">
        <f>AVERAGE(LZ20:MA20)</f>
        <v>1.0346</v>
      </c>
      <c r="MC20" s="5">
        <v>0.9294</v>
      </c>
      <c r="MD20" s="5">
        <v>0.94899999999999995</v>
      </c>
      <c r="ME20" s="80">
        <f>AVERAGE(MC20:MD20)</f>
        <v>0.93920000000000003</v>
      </c>
      <c r="MF20" s="77">
        <f t="shared" si="58"/>
        <v>9.5399999999999929E-2</v>
      </c>
      <c r="MG20" s="68">
        <v>0.34010000000000001</v>
      </c>
      <c r="MH20" s="5">
        <v>0.36530000000000001</v>
      </c>
      <c r="MI20" s="5">
        <f>AVERAGE(MG20:MH20)</f>
        <v>0.35270000000000001</v>
      </c>
      <c r="MJ20" s="5">
        <v>0.50249999999999995</v>
      </c>
      <c r="MK20" s="5">
        <v>0.51190000000000002</v>
      </c>
      <c r="ML20" s="80">
        <f>AVERAGE(MJ20:MK20)</f>
        <v>0.50719999999999998</v>
      </c>
      <c r="MM20" s="77">
        <f t="shared" si="59"/>
        <v>-0.15449999999999997</v>
      </c>
      <c r="MO20" s="5">
        <v>-7.1444880209999999</v>
      </c>
      <c r="MP20" s="5">
        <v>1.0504301069999999</v>
      </c>
      <c r="MQ20" s="5">
        <v>0.49872189989999999</v>
      </c>
      <c r="MR20" s="5">
        <v>1.466247241</v>
      </c>
      <c r="MS20" s="292">
        <v>1.211425822</v>
      </c>
      <c r="MT20" s="18">
        <v>-4.1567060470000001</v>
      </c>
      <c r="MU20" s="18">
        <v>0.92444985769999999</v>
      </c>
      <c r="MV20" s="18">
        <v>1.1726799939999999</v>
      </c>
      <c r="MW20" s="18">
        <v>1.0329022210000001</v>
      </c>
    </row>
    <row r="21" spans="1:361" ht="16" x14ac:dyDescent="0.2">
      <c r="A21" s="3" t="s">
        <v>18</v>
      </c>
      <c r="B21" s="5">
        <v>0</v>
      </c>
      <c r="C21" s="5">
        <v>8</v>
      </c>
      <c r="D21" s="5">
        <v>27</v>
      </c>
      <c r="E21" s="5">
        <v>18</v>
      </c>
      <c r="F21" s="5">
        <v>41</v>
      </c>
      <c r="G21" s="18">
        <v>33</v>
      </c>
      <c r="H21" s="24">
        <v>88</v>
      </c>
      <c r="I21" s="5">
        <v>15</v>
      </c>
      <c r="J21" s="5">
        <v>104</v>
      </c>
      <c r="K21" s="5">
        <v>127</v>
      </c>
      <c r="L21" s="5">
        <v>106</v>
      </c>
      <c r="M21" s="5">
        <v>58</v>
      </c>
      <c r="N21" s="5">
        <v>89</v>
      </c>
      <c r="O21" s="5">
        <v>13</v>
      </c>
      <c r="P21" s="5">
        <v>-8</v>
      </c>
      <c r="Q21" s="5">
        <v>3</v>
      </c>
      <c r="R21" s="5">
        <v>-12</v>
      </c>
      <c r="S21" s="5">
        <v>9</v>
      </c>
      <c r="T21" s="18">
        <v>4</v>
      </c>
      <c r="U21" s="5">
        <v>12</v>
      </c>
      <c r="V21" s="5">
        <v>10</v>
      </c>
      <c r="W21" s="5">
        <v>5</v>
      </c>
      <c r="X21" s="5">
        <v>-7</v>
      </c>
      <c r="Y21" s="5">
        <v>8</v>
      </c>
      <c r="Z21" s="92">
        <v>5.7188526315789792E-3</v>
      </c>
      <c r="AA21" s="88">
        <v>18.5</v>
      </c>
      <c r="AB21" s="68">
        <v>107</v>
      </c>
      <c r="AC21" s="5">
        <v>97</v>
      </c>
      <c r="AD21" s="5">
        <v>118</v>
      </c>
      <c r="AE21" s="80">
        <v>107</v>
      </c>
      <c r="AF21" s="179">
        <v>-8</v>
      </c>
      <c r="AG21" s="154">
        <v>1</v>
      </c>
      <c r="AH21" s="154">
        <v>-4</v>
      </c>
      <c r="AI21" s="154">
        <v>-3</v>
      </c>
      <c r="AJ21" s="68">
        <v>99</v>
      </c>
      <c r="AK21" s="5">
        <v>98</v>
      </c>
      <c r="AL21" s="5">
        <v>114</v>
      </c>
      <c r="AM21" s="80">
        <v>104</v>
      </c>
      <c r="AN21" s="68">
        <v>107</v>
      </c>
      <c r="AO21" s="5">
        <v>97</v>
      </c>
      <c r="AP21" s="5">
        <v>118</v>
      </c>
      <c r="AQ21" s="80">
        <v>107</v>
      </c>
      <c r="AR21" s="68">
        <v>99</v>
      </c>
      <c r="AS21" s="5">
        <v>98</v>
      </c>
      <c r="AT21" s="5">
        <v>114</v>
      </c>
      <c r="AU21" s="80">
        <v>104</v>
      </c>
      <c r="AV21" s="179">
        <f t="shared" si="11"/>
        <v>-8</v>
      </c>
      <c r="AW21" s="154">
        <f t="shared" si="11"/>
        <v>1</v>
      </c>
      <c r="AX21" s="154">
        <f t="shared" si="11"/>
        <v>-4</v>
      </c>
      <c r="AY21" s="185">
        <f t="shared" si="11"/>
        <v>-3</v>
      </c>
      <c r="AZ21" s="9">
        <v>1.1028037383177569</v>
      </c>
      <c r="BA21" s="77">
        <v>-4.8711413197394693E-2</v>
      </c>
      <c r="BB21" s="18">
        <v>0.90654205607476634</v>
      </c>
      <c r="BC21" s="77">
        <v>-8.33569338242236E-2</v>
      </c>
      <c r="BD21" s="154">
        <v>1</v>
      </c>
      <c r="BE21" s="144">
        <v>0.94</v>
      </c>
      <c r="BF21" s="5">
        <v>3</v>
      </c>
      <c r="BG21" s="5">
        <v>-8</v>
      </c>
      <c r="BK21" s="18" t="s">
        <v>18</v>
      </c>
      <c r="BL21" s="18">
        <v>-1</v>
      </c>
      <c r="BM21" s="18">
        <v>-2</v>
      </c>
      <c r="BN21" s="18">
        <v>-1</v>
      </c>
      <c r="BO21" s="18" t="s">
        <v>464</v>
      </c>
      <c r="BP21" s="18">
        <v>-2</v>
      </c>
      <c r="BQ21" s="138" t="s">
        <v>492</v>
      </c>
      <c r="BR21" s="138">
        <v>-9.5479527085217599E-27</v>
      </c>
      <c r="BS21" s="138" t="s">
        <v>493</v>
      </c>
      <c r="BT21" s="138">
        <v>-6.1842943333621997E-27</v>
      </c>
      <c r="BU21" s="138">
        <f t="shared" si="12"/>
        <v>-7.8661235209419795E-27</v>
      </c>
      <c r="BW21" s="18">
        <v>0.98</v>
      </c>
      <c r="BX21" s="18">
        <v>0</v>
      </c>
      <c r="BY21" s="18">
        <f t="shared" si="13"/>
        <v>0.98</v>
      </c>
      <c r="BZ21" s="3">
        <v>0.37200000000000005</v>
      </c>
      <c r="CA21" s="18">
        <v>0.25666666666666665</v>
      </c>
      <c r="CB21" s="18">
        <v>0.35000000000000003</v>
      </c>
      <c r="CC21" s="18">
        <v>0.30333333333333329</v>
      </c>
      <c r="CD21" s="18">
        <v>0.46666666666666662</v>
      </c>
      <c r="CE21" s="18">
        <v>0.48999999999999994</v>
      </c>
      <c r="CF21" s="18">
        <v>0.22166666666666668</v>
      </c>
      <c r="CG21" s="18">
        <v>0.96333333333333337</v>
      </c>
      <c r="CH21" s="18">
        <v>1</v>
      </c>
      <c r="CI21" s="18">
        <v>1</v>
      </c>
      <c r="CJ21" s="18">
        <v>0.92666666666666664</v>
      </c>
      <c r="CK21" s="296" t="s">
        <v>537</v>
      </c>
      <c r="CL21" s="18">
        <v>2.4828542040000001</v>
      </c>
      <c r="CM21" s="18">
        <v>-4.8432809280000004</v>
      </c>
      <c r="CN21" s="18">
        <v>-0.39722959629999999</v>
      </c>
      <c r="CO21" s="18">
        <v>-0.29031800009999997</v>
      </c>
      <c r="CP21" s="18">
        <v>-0.25623491679999999</v>
      </c>
      <c r="CQ21" s="18">
        <v>-0.82528387999999997</v>
      </c>
      <c r="CR21" s="18">
        <v>-0.2251880869</v>
      </c>
      <c r="CS21" s="18">
        <v>-0.1112616293</v>
      </c>
      <c r="CT21" s="18">
        <v>-0.54346753859999997</v>
      </c>
      <c r="CZ21" s="296" t="s">
        <v>537</v>
      </c>
      <c r="DA21" s="68">
        <v>11.66663857</v>
      </c>
      <c r="DB21" s="5">
        <v>14.43422086</v>
      </c>
      <c r="DC21" s="5">
        <v>16.559401170000001</v>
      </c>
      <c r="DD21" s="80">
        <f>AVERAGE(DA21,DC21)</f>
        <v>14.11301987</v>
      </c>
      <c r="DE21" s="68">
        <v>9.4100835669999991</v>
      </c>
      <c r="DF21" s="5">
        <v>9.8063255609999995</v>
      </c>
      <c r="DG21" s="5">
        <v>9.5482687310000003</v>
      </c>
      <c r="DH21" s="80">
        <f>AVERAGE(DE21,DG21)</f>
        <v>9.4791761490000006</v>
      </c>
      <c r="DI21" s="151">
        <f t="shared" si="65"/>
        <v>-2.2565550030000008</v>
      </c>
      <c r="DJ21" s="24">
        <f t="shared" si="65"/>
        <v>-4.6278952990000004</v>
      </c>
      <c r="DK21" s="294">
        <f t="shared" si="65"/>
        <v>-7.0111324390000007</v>
      </c>
      <c r="DL21" s="244">
        <f t="shared" si="65"/>
        <v>-4.6338437209999999</v>
      </c>
      <c r="DM21" s="297" t="s">
        <v>537</v>
      </c>
      <c r="DN21" s="68">
        <v>4.3731607950000004</v>
      </c>
      <c r="DO21" s="5">
        <v>4.5552137779999997</v>
      </c>
      <c r="DP21" s="5">
        <v>4.851935675</v>
      </c>
      <c r="DQ21" s="3">
        <f>AVERAGE(DN21,DP21)</f>
        <v>4.6125482350000002</v>
      </c>
      <c r="DR21" s="68">
        <v>4.9944964030000003</v>
      </c>
      <c r="DS21" s="5">
        <v>4.4875176760000004</v>
      </c>
      <c r="DT21" s="5">
        <v>5.7322021559999996</v>
      </c>
      <c r="DU21" s="3">
        <f>AVERAGE(DR21,DT21)</f>
        <v>5.3633492794999995</v>
      </c>
      <c r="DV21" s="24">
        <f t="shared" si="66"/>
        <v>0.62133560799999987</v>
      </c>
      <c r="DW21" s="24">
        <f t="shared" si="66"/>
        <v>-6.7696101999999314E-2</v>
      </c>
      <c r="DX21" s="24">
        <f t="shared" si="66"/>
        <v>0.8802664809999996</v>
      </c>
      <c r="DY21" s="188">
        <f t="shared" si="66"/>
        <v>0.75080104449999929</v>
      </c>
      <c r="DZ21" s="297" t="s">
        <v>537</v>
      </c>
      <c r="EA21" s="18">
        <v>26.215618509999999</v>
      </c>
      <c r="EB21" s="18">
        <v>33.648569680000001</v>
      </c>
      <c r="EC21" s="18">
        <v>7.6932284849999997</v>
      </c>
      <c r="ED21" s="3">
        <f>AVERAGE(EA21,EC21)</f>
        <v>16.954423497499999</v>
      </c>
      <c r="EE21" s="18">
        <v>5.6682492299999998</v>
      </c>
      <c r="EF21" s="18">
        <v>5.4094926149999996</v>
      </c>
      <c r="EG21" s="18">
        <v>5.6699870130000001</v>
      </c>
      <c r="EH21" s="3">
        <f>AVERAGE(EE21,EG21)</f>
        <v>5.6691181215000004</v>
      </c>
      <c r="EI21" s="24">
        <f t="shared" si="67"/>
        <v>-20.547369279999998</v>
      </c>
      <c r="EJ21" s="24">
        <f t="shared" si="67"/>
        <v>-28.239077065000004</v>
      </c>
      <c r="EK21" s="24">
        <f t="shared" si="67"/>
        <v>-2.0232414719999996</v>
      </c>
      <c r="EL21" s="188">
        <f t="shared" si="67"/>
        <v>-11.285305375999998</v>
      </c>
      <c r="EM21" s="297" t="s">
        <v>537</v>
      </c>
      <c r="EN21" s="151" t="s">
        <v>492</v>
      </c>
      <c r="EO21" s="244">
        <v>19.182420940002299</v>
      </c>
      <c r="EP21" s="151" t="s">
        <v>493</v>
      </c>
      <c r="EQ21" s="244">
        <v>21.0115488131744</v>
      </c>
      <c r="ER21" s="244">
        <f t="shared" si="14"/>
        <v>20.096984876588351</v>
      </c>
      <c r="ES21" s="18">
        <v>3</v>
      </c>
      <c r="ET21" s="18">
        <v>15</v>
      </c>
      <c r="EU21" s="18">
        <v>17</v>
      </c>
      <c r="EV21" s="18">
        <v>0</v>
      </c>
      <c r="EW21" s="18">
        <v>4</v>
      </c>
      <c r="EX21" s="18">
        <v>1</v>
      </c>
      <c r="EY21" s="18">
        <v>40</v>
      </c>
      <c r="EZ21" s="5">
        <v>-4.8432809280000004</v>
      </c>
      <c r="FA21" s="18">
        <v>-29.784019266137442</v>
      </c>
      <c r="FB21" s="310">
        <v>19</v>
      </c>
      <c r="FC21" s="5">
        <v>18</v>
      </c>
      <c r="FD21" s="18">
        <v>33</v>
      </c>
      <c r="FE21" s="340">
        <v>18.5</v>
      </c>
      <c r="FF21" s="18">
        <v>0.37200000000000005</v>
      </c>
      <c r="FG21" s="18">
        <v>0.25666666666666665</v>
      </c>
      <c r="FH21" s="18">
        <v>0.31333333353200005</v>
      </c>
      <c r="FI21" s="18">
        <v>0.30333333333333329</v>
      </c>
      <c r="FJ21" s="18">
        <v>0.46666666666666662</v>
      </c>
      <c r="FK21" s="18">
        <v>0.48999999999999994</v>
      </c>
      <c r="FL21" s="18">
        <v>0.22166666666666668</v>
      </c>
      <c r="FM21" s="18">
        <v>0.96333333333333337</v>
      </c>
      <c r="FN21" s="18">
        <v>1</v>
      </c>
      <c r="FO21" s="18">
        <v>1</v>
      </c>
      <c r="FP21" s="18">
        <v>0.92666666666666664</v>
      </c>
      <c r="FQ21" s="322">
        <v>3</v>
      </c>
      <c r="FR21" s="5">
        <v>12</v>
      </c>
      <c r="FS21" s="5">
        <v>8</v>
      </c>
      <c r="FT21" s="259">
        <v>0.37200000000000005</v>
      </c>
      <c r="FU21" s="72">
        <v>0.25666666666666665</v>
      </c>
      <c r="FV21" s="260">
        <v>0.35000000000000003</v>
      </c>
      <c r="FW21" s="261">
        <v>0.30333333333333329</v>
      </c>
      <c r="FX21" s="154">
        <v>0.46666666666666662</v>
      </c>
      <c r="FY21" s="262">
        <v>0.48999999999999994</v>
      </c>
      <c r="FZ21" s="263">
        <v>0.22166666666666668</v>
      </c>
      <c r="GA21" s="264">
        <v>0.96333333333333337</v>
      </c>
      <c r="GB21" s="265">
        <v>1</v>
      </c>
      <c r="GC21" s="266">
        <v>1</v>
      </c>
      <c r="GD21" s="267">
        <v>0.92666666666666664</v>
      </c>
      <c r="GE21" s="5">
        <v>-4.8432809280000004</v>
      </c>
      <c r="GF21" s="18">
        <v>3</v>
      </c>
      <c r="GG21" s="18">
        <v>15</v>
      </c>
      <c r="GH21" s="18">
        <v>17</v>
      </c>
      <c r="GI21" s="18">
        <v>0</v>
      </c>
      <c r="GJ21" s="18">
        <v>4</v>
      </c>
      <c r="GK21" s="18">
        <v>1</v>
      </c>
      <c r="GL21" s="18">
        <v>40</v>
      </c>
      <c r="GN21" s="5">
        <v>104</v>
      </c>
      <c r="GO21" s="5">
        <v>127</v>
      </c>
      <c r="GP21" s="5">
        <v>106</v>
      </c>
      <c r="GQ21" s="5">
        <v>58</v>
      </c>
      <c r="GR21" s="5">
        <v>89</v>
      </c>
      <c r="GS21" s="144">
        <v>0.94</v>
      </c>
      <c r="GT21" s="18">
        <v>96.25</v>
      </c>
      <c r="GU21" s="18">
        <v>78.217299999999994</v>
      </c>
      <c r="GV21" s="3">
        <f t="shared" si="15"/>
        <v>18.032700000000006</v>
      </c>
      <c r="GW21" s="5">
        <f t="shared" si="16"/>
        <v>1.2305461835169458</v>
      </c>
      <c r="GX21" s="18">
        <f t="shared" si="17"/>
        <v>9.0097917811414893E-2</v>
      </c>
      <c r="GY21" s="18">
        <v>74.531999999999996</v>
      </c>
      <c r="GZ21" s="18">
        <v>75.663300000000007</v>
      </c>
      <c r="HA21" s="3">
        <f t="shared" si="18"/>
        <v>-1.1313000000000102</v>
      </c>
      <c r="HB21" s="18">
        <f t="shared" si="19"/>
        <v>0.98504823342360148</v>
      </c>
      <c r="HC21" s="18">
        <v>84.143199999999993</v>
      </c>
      <c r="HD21" s="18">
        <v>84.613799999999998</v>
      </c>
      <c r="HE21" s="3">
        <f t="shared" si="20"/>
        <v>-0.47060000000000457</v>
      </c>
      <c r="HF21" s="18">
        <f>HC21/HD21</f>
        <v>0.99443825948013198</v>
      </c>
      <c r="HG21" s="18">
        <v>48.055500000000002</v>
      </c>
      <c r="HH21" s="18">
        <v>53.511800000000001</v>
      </c>
      <c r="HI21" s="3">
        <f t="shared" si="22"/>
        <v>-5.4562999999999988</v>
      </c>
      <c r="HJ21" s="18">
        <f t="shared" si="23"/>
        <v>0.89803557346230178</v>
      </c>
      <c r="HK21" s="5">
        <v>136.88200000000001</v>
      </c>
      <c r="HL21" s="5">
        <v>92.906000000000006</v>
      </c>
      <c r="HM21" s="3">
        <f t="shared" si="24"/>
        <v>43.975999999999999</v>
      </c>
      <c r="HN21" s="5">
        <f t="shared" si="60"/>
        <v>1.4733386433599551</v>
      </c>
      <c r="HO21" s="18">
        <v>64.930300000000003</v>
      </c>
      <c r="HP21" s="18">
        <v>59.137300000000003</v>
      </c>
      <c r="HQ21" s="3">
        <f t="shared" si="25"/>
        <v>5.7929999999999993</v>
      </c>
      <c r="HR21" s="18">
        <f t="shared" si="26"/>
        <v>1.0979584796735731</v>
      </c>
      <c r="HS21" s="18">
        <v>66.112300000000005</v>
      </c>
      <c r="HT21" s="18">
        <v>56.940800000000003</v>
      </c>
      <c r="HU21" s="3">
        <f t="shared" si="27"/>
        <v>9.1715000000000018</v>
      </c>
      <c r="HV21" s="18">
        <f t="shared" si="28"/>
        <v>1.1610707963358435</v>
      </c>
      <c r="HW21" s="18">
        <v>58.527500000000003</v>
      </c>
      <c r="HX21" s="18">
        <v>53.664200000000001</v>
      </c>
      <c r="HY21" s="3">
        <f t="shared" si="29"/>
        <v>4.8633000000000024</v>
      </c>
      <c r="HZ21" s="18">
        <f t="shared" si="30"/>
        <v>1.090624662251557</v>
      </c>
      <c r="IA21" s="18">
        <v>47.276699999999998</v>
      </c>
      <c r="IB21" s="18">
        <v>44.889800000000001</v>
      </c>
      <c r="IC21" s="3">
        <f t="shared" si="31"/>
        <v>2.3868999999999971</v>
      </c>
      <c r="ID21" s="18">
        <f t="shared" si="32"/>
        <v>1.0531724356089802</v>
      </c>
      <c r="IE21" s="18">
        <v>42.258400000000002</v>
      </c>
      <c r="IF21" s="18">
        <v>46.477499999999999</v>
      </c>
      <c r="IG21" s="3">
        <f t="shared" si="33"/>
        <v>-4.2190999999999974</v>
      </c>
      <c r="IH21" s="18">
        <f t="shared" si="34"/>
        <v>0.90922274218707977</v>
      </c>
      <c r="II21" s="18">
        <v>66.638199999999998</v>
      </c>
      <c r="IJ21" s="18">
        <v>54.582000000000001</v>
      </c>
      <c r="IK21" s="3">
        <f t="shared" si="35"/>
        <v>12.056199999999997</v>
      </c>
      <c r="IL21" s="18">
        <f t="shared" si="36"/>
        <v>1.2208823421640833</v>
      </c>
      <c r="IM21" s="18">
        <v>93.421300000000002</v>
      </c>
      <c r="IN21" s="18">
        <v>68.029300000000006</v>
      </c>
      <c r="IO21" s="3">
        <f t="shared" si="37"/>
        <v>25.391999999999996</v>
      </c>
      <c r="IP21" s="18">
        <f t="shared" si="38"/>
        <v>1.3732509374637103</v>
      </c>
      <c r="IQ21" s="18">
        <v>47.841500000000003</v>
      </c>
      <c r="IR21" s="18">
        <v>53.352499999999999</v>
      </c>
      <c r="IS21" s="3">
        <f t="shared" si="39"/>
        <v>-5.5109999999999957</v>
      </c>
      <c r="IT21" s="18">
        <f t="shared" si="40"/>
        <v>0.8967058713274918</v>
      </c>
      <c r="IU21" s="18">
        <v>60.413499999999999</v>
      </c>
      <c r="IV21" s="18">
        <v>49.149900000000002</v>
      </c>
      <c r="IW21" s="3">
        <f t="shared" si="41"/>
        <v>11.263599999999997</v>
      </c>
      <c r="IX21" s="18">
        <f t="shared" si="42"/>
        <v>1.2291683197727767</v>
      </c>
      <c r="IY21" s="18">
        <v>67.734700000000004</v>
      </c>
      <c r="IZ21" s="18">
        <v>54.532299999999999</v>
      </c>
      <c r="JA21" s="3">
        <f t="shared" si="43"/>
        <v>13.202400000000004</v>
      </c>
      <c r="JB21" s="18">
        <f t="shared" si="44"/>
        <v>1.2421023870256711</v>
      </c>
      <c r="JC21" s="18">
        <f>LOG(HN21)</f>
        <v>0.16830257986321107</v>
      </c>
      <c r="JD21" s="18">
        <v>20.096984876588351</v>
      </c>
      <c r="JE21" s="18">
        <f t="shared" si="45"/>
        <v>0.2009698487658835</v>
      </c>
      <c r="JG21" s="336" t="s">
        <v>605</v>
      </c>
      <c r="JH21" s="18">
        <v>0.44796232515779399</v>
      </c>
      <c r="JJ21" s="336" t="s">
        <v>605</v>
      </c>
      <c r="JK21" s="18">
        <v>0.28631265039656201</v>
      </c>
      <c r="JM21" s="336" t="s">
        <v>605</v>
      </c>
      <c r="JN21" s="18">
        <v>0.176825948678836</v>
      </c>
      <c r="JO21" s="18">
        <f t="shared" si="46"/>
        <v>0.82317405132116406</v>
      </c>
      <c r="JP21" s="336" t="s">
        <v>605</v>
      </c>
      <c r="JQ21" s="18">
        <v>0.60241614212663896</v>
      </c>
      <c r="JT21" s="336" t="s">
        <v>605</v>
      </c>
      <c r="JU21" s="18">
        <v>0.43533691058215102</v>
      </c>
      <c r="JW21" s="336" t="s">
        <v>605</v>
      </c>
      <c r="JX21" s="18">
        <v>0.33849860050182201</v>
      </c>
      <c r="JZ21" s="336" t="s">
        <v>605</v>
      </c>
      <c r="KA21" s="18">
        <v>0.199369558979761</v>
      </c>
      <c r="KC21" s="336" t="s">
        <v>605</v>
      </c>
      <c r="KD21" s="18">
        <v>0.47804415016652202</v>
      </c>
      <c r="KE21" s="68" t="s">
        <v>537</v>
      </c>
      <c r="KF21" s="347">
        <v>3.04E-2</v>
      </c>
      <c r="KG21" s="347">
        <v>4.2599999999999999E-2</v>
      </c>
      <c r="KH21" s="347">
        <f t="shared" si="47"/>
        <v>3.6499999999999998E-2</v>
      </c>
      <c r="KI21" s="348">
        <v>9.0300000000000005E-2</v>
      </c>
      <c r="KJ21" s="348">
        <v>5.9799999999999999E-2</v>
      </c>
      <c r="KK21" s="348">
        <f t="shared" si="48"/>
        <v>7.5050000000000006E-2</v>
      </c>
      <c r="KL21" s="347">
        <f t="shared" si="49"/>
        <v>3.8550000000000008E-2</v>
      </c>
      <c r="KM21" s="347">
        <f t="shared" si="50"/>
        <v>2.0561643835616441</v>
      </c>
      <c r="KN21" s="354">
        <f t="shared" si="64"/>
        <v>5.9341643835616438</v>
      </c>
      <c r="KO21" s="18">
        <f t="shared" si="51"/>
        <v>0.77335957263214106</v>
      </c>
      <c r="KP21" s="18">
        <v>0.77335957263214106</v>
      </c>
      <c r="KQ21" s="340">
        <v>18.5</v>
      </c>
      <c r="KR21" s="18">
        <v>0.37200000000000005</v>
      </c>
      <c r="KS21" s="18">
        <v>0.25666666666666665</v>
      </c>
      <c r="KT21" s="18">
        <v>0.31333333353200005</v>
      </c>
      <c r="KU21" s="18">
        <v>0.30333333333333329</v>
      </c>
      <c r="KV21" s="18">
        <v>0.46666666666666662</v>
      </c>
      <c r="KW21" s="18">
        <v>0.48999999999999994</v>
      </c>
      <c r="KX21" s="18">
        <v>0.22166666666666668</v>
      </c>
      <c r="KY21" s="18">
        <v>0.96333333333333337</v>
      </c>
      <c r="KZ21" s="18">
        <v>1</v>
      </c>
      <c r="LA21" s="18">
        <v>1</v>
      </c>
      <c r="LB21" s="18">
        <v>0.92666666666666664</v>
      </c>
      <c r="LC21" s="358" t="s">
        <v>641</v>
      </c>
      <c r="LD21" s="358">
        <v>18.5</v>
      </c>
      <c r="LE21" s="358">
        <v>18.5</v>
      </c>
      <c r="LF21" s="358">
        <v>18.5</v>
      </c>
      <c r="LG21" s="358">
        <v>17.5</v>
      </c>
      <c r="LH21" s="358">
        <v>16.5</v>
      </c>
      <c r="LI21" s="358">
        <v>16.5</v>
      </c>
      <c r="LJ21" s="144">
        <v>0.94</v>
      </c>
      <c r="LK21" s="158" t="s">
        <v>537</v>
      </c>
      <c r="LL21" s="68">
        <v>0.47389999999999999</v>
      </c>
      <c r="LM21" s="5">
        <v>0.47939999999999999</v>
      </c>
      <c r="LN21" s="5">
        <f t="shared" si="52"/>
        <v>0.47665000000000002</v>
      </c>
      <c r="LO21" s="5">
        <v>0.53090000000000004</v>
      </c>
      <c r="LP21" s="5">
        <v>0.52629999999999999</v>
      </c>
      <c r="LQ21" s="80">
        <f t="shared" si="53"/>
        <v>0.52859999999999996</v>
      </c>
      <c r="LR21" s="77">
        <f t="shared" si="54"/>
        <v>-5.1949999999999941E-2</v>
      </c>
      <c r="LS21" s="68">
        <v>7.5693999999999999</v>
      </c>
      <c r="LT21" s="5">
        <v>9.0744000000000007</v>
      </c>
      <c r="LU21" s="5">
        <f t="shared" si="55"/>
        <v>8.3218999999999994</v>
      </c>
      <c r="LV21" s="5">
        <v>14.7941</v>
      </c>
      <c r="LW21" s="5">
        <v>14.2841</v>
      </c>
      <c r="LX21" s="80">
        <f t="shared" si="56"/>
        <v>14.539100000000001</v>
      </c>
      <c r="LY21" s="77">
        <f t="shared" si="57"/>
        <v>-6.2172000000000018</v>
      </c>
      <c r="LZ21" s="68">
        <v>1.06</v>
      </c>
      <c r="MA21" s="5">
        <v>1.0311999999999999</v>
      </c>
      <c r="MB21" s="5">
        <f>AVERAGE(LZ21:MA21)</f>
        <v>1.0455999999999999</v>
      </c>
      <c r="MC21" s="5">
        <v>0.94730000000000003</v>
      </c>
      <c r="MD21" s="5">
        <v>0.9597</v>
      </c>
      <c r="ME21" s="80">
        <f>AVERAGE(MC21:MD21)</f>
        <v>0.95350000000000001</v>
      </c>
      <c r="MF21" s="77">
        <f t="shared" si="58"/>
        <v>9.2099999999999849E-2</v>
      </c>
      <c r="MG21" s="68">
        <v>0.23980000000000001</v>
      </c>
      <c r="MH21" s="5">
        <v>0.28179999999999999</v>
      </c>
      <c r="MI21" s="5">
        <f>AVERAGE(MG21:MH21)</f>
        <v>0.26080000000000003</v>
      </c>
      <c r="MJ21" s="5">
        <v>0.37430000000000002</v>
      </c>
      <c r="MK21" s="5">
        <v>0.38840000000000002</v>
      </c>
      <c r="ML21" s="80">
        <f>AVERAGE(MJ21:MK21)</f>
        <v>0.38135000000000002</v>
      </c>
      <c r="MM21" s="77">
        <f t="shared" si="59"/>
        <v>-0.12054999999999999</v>
      </c>
      <c r="MO21" s="5">
        <v>-1.5982152970000001</v>
      </c>
      <c r="MP21" s="5">
        <v>1.8016283500000001</v>
      </c>
      <c r="MQ21" s="5">
        <v>-0.53966555849999998</v>
      </c>
      <c r="MR21" s="5">
        <v>1.579680585</v>
      </c>
      <c r="MS21" s="292">
        <v>1.3049201159999999</v>
      </c>
      <c r="MT21" s="18">
        <v>-4.8432809280000004</v>
      </c>
      <c r="MU21" s="18">
        <v>1.534404648</v>
      </c>
      <c r="MV21" s="18">
        <v>1.3942105890000001</v>
      </c>
      <c r="MW21" s="18">
        <v>1.4731535149999999</v>
      </c>
    </row>
    <row r="22" spans="1:361" ht="17" thickBot="1" x14ac:dyDescent="0.25">
      <c r="A22" s="3" t="s">
        <v>19</v>
      </c>
      <c r="B22" s="5">
        <v>1</v>
      </c>
      <c r="C22" s="5">
        <v>5</v>
      </c>
      <c r="D22" s="5">
        <v>29</v>
      </c>
      <c r="E22" s="5">
        <v>65</v>
      </c>
      <c r="F22" s="5">
        <v>39</v>
      </c>
      <c r="G22" s="18">
        <v>41</v>
      </c>
      <c r="H22" s="24">
        <v>120</v>
      </c>
      <c r="I22" s="5">
        <v>17</v>
      </c>
      <c r="J22" s="5">
        <v>115</v>
      </c>
      <c r="K22" s="5">
        <v>148</v>
      </c>
      <c r="L22" s="5">
        <v>126</v>
      </c>
      <c r="M22" s="5">
        <v>53</v>
      </c>
      <c r="N22" s="5">
        <v>132</v>
      </c>
      <c r="O22" s="5">
        <v>3.5</v>
      </c>
      <c r="P22" s="5">
        <v>-5</v>
      </c>
      <c r="Q22" s="5">
        <v>3</v>
      </c>
      <c r="R22" s="5">
        <v>-14</v>
      </c>
      <c r="S22" s="5">
        <v>13</v>
      </c>
      <c r="T22" s="5">
        <v>8</v>
      </c>
      <c r="U22" s="5">
        <v>14</v>
      </c>
      <c r="V22" s="5">
        <v>-18</v>
      </c>
      <c r="W22" s="5">
        <v>-13</v>
      </c>
      <c r="X22" s="5">
        <v>11</v>
      </c>
      <c r="Y22" s="5">
        <v>5</v>
      </c>
      <c r="Z22" s="92">
        <v>-4.0302947368421001E-2</v>
      </c>
      <c r="AA22" s="88">
        <v>15.5</v>
      </c>
      <c r="AB22" s="68">
        <v>97</v>
      </c>
      <c r="AC22" s="5">
        <v>98</v>
      </c>
      <c r="AD22" s="5">
        <v>112</v>
      </c>
      <c r="AE22" s="80">
        <v>102</v>
      </c>
      <c r="AF22" s="179">
        <v>3</v>
      </c>
      <c r="AG22" s="154">
        <v>0</v>
      </c>
      <c r="AH22" s="154">
        <v>-4</v>
      </c>
      <c r="AI22" s="154">
        <v>0</v>
      </c>
      <c r="AJ22" s="68">
        <v>100</v>
      </c>
      <c r="AK22" s="5">
        <v>98</v>
      </c>
      <c r="AL22" s="5">
        <v>108</v>
      </c>
      <c r="AM22" s="80">
        <v>102</v>
      </c>
      <c r="AN22" s="68">
        <v>97</v>
      </c>
      <c r="AO22" s="5">
        <v>98</v>
      </c>
      <c r="AP22" s="5">
        <v>112</v>
      </c>
      <c r="AQ22" s="80">
        <v>102</v>
      </c>
      <c r="AR22" s="68">
        <v>100</v>
      </c>
      <c r="AS22" s="5">
        <v>98</v>
      </c>
      <c r="AT22" s="5">
        <v>108</v>
      </c>
      <c r="AU22" s="80">
        <v>102</v>
      </c>
      <c r="AV22" s="179">
        <f t="shared" si="11"/>
        <v>3</v>
      </c>
      <c r="AW22" s="154">
        <f t="shared" si="11"/>
        <v>0</v>
      </c>
      <c r="AX22" s="154">
        <f t="shared" si="11"/>
        <v>-4</v>
      </c>
      <c r="AY22" s="185">
        <f t="shared" si="11"/>
        <v>0</v>
      </c>
      <c r="AZ22" s="9">
        <v>1.1546391752577319</v>
      </c>
      <c r="BA22" s="77">
        <v>7.4639175257731782E-2</v>
      </c>
      <c r="BB22" s="18">
        <v>1.0103092783505154</v>
      </c>
      <c r="BC22" s="77">
        <v>3.0309278350515445E-2</v>
      </c>
      <c r="BD22" s="154">
        <v>0.88999998569500005</v>
      </c>
      <c r="BE22" s="144">
        <v>0.58999997377400004</v>
      </c>
      <c r="BF22" s="5">
        <v>3</v>
      </c>
      <c r="BG22" s="5">
        <v>-5</v>
      </c>
      <c r="BK22" s="18" t="s">
        <v>19</v>
      </c>
      <c r="BL22" s="18">
        <v>-5</v>
      </c>
      <c r="BM22" s="18">
        <v>-5</v>
      </c>
      <c r="BN22" s="18">
        <v>-8</v>
      </c>
      <c r="BO22" s="18">
        <v>-9</v>
      </c>
      <c r="BP22" s="18">
        <v>-22</v>
      </c>
      <c r="BQ22" s="138" t="s">
        <v>494</v>
      </c>
      <c r="BR22" s="138">
        <v>-2.4215087851312799E-27</v>
      </c>
      <c r="BS22" s="138" t="s">
        <v>495</v>
      </c>
      <c r="BT22" s="138">
        <v>-2.0138982010566E-27</v>
      </c>
      <c r="BU22" s="138">
        <f t="shared" si="12"/>
        <v>-2.2177034930939399E-27</v>
      </c>
      <c r="BW22" s="18">
        <v>0.56999999284699998</v>
      </c>
      <c r="BX22" s="18">
        <v>2.99999993294E-2</v>
      </c>
      <c r="BY22" s="18">
        <f t="shared" si="13"/>
        <v>0.53999999351759997</v>
      </c>
      <c r="BZ22" s="32">
        <v>0.48000000119199998</v>
      </c>
      <c r="CA22" s="18">
        <v>0.48666666944833326</v>
      </c>
      <c r="CB22" s="18">
        <v>0.58999999364199995</v>
      </c>
      <c r="CC22" s="18">
        <v>0.5466666718326666</v>
      </c>
      <c r="CD22" s="18">
        <v>0.41999999682100003</v>
      </c>
      <c r="CE22" s="18">
        <v>0.37857142756035428</v>
      </c>
      <c r="CF22" s="18">
        <v>9.8333332066699988E-2</v>
      </c>
      <c r="CG22" s="18">
        <v>0.52000000079499997</v>
      </c>
      <c r="CH22" s="18">
        <v>0.4133333315453333</v>
      </c>
      <c r="CI22" s="18">
        <v>0.91666668653466665</v>
      </c>
      <c r="CJ22" s="18">
        <v>0.68000000715266662</v>
      </c>
      <c r="CK22" s="302" t="s">
        <v>538</v>
      </c>
      <c r="CL22" s="5">
        <v>0.89118661769999996</v>
      </c>
      <c r="CM22" s="5">
        <v>-3.2443840150000001</v>
      </c>
      <c r="CN22" s="5">
        <v>-0.38145985230000001</v>
      </c>
      <c r="CO22" s="5">
        <v>3.9731007719999998E-4</v>
      </c>
      <c r="CP22" s="5">
        <v>4.3821065079999999E-2</v>
      </c>
      <c r="CQ22" s="5">
        <v>-4.1918429829999999E-2</v>
      </c>
      <c r="CR22" s="5">
        <v>-0.13935687499999999</v>
      </c>
      <c r="CS22" s="5">
        <v>-7.0307903290000001E-2</v>
      </c>
      <c r="CT22" s="5">
        <v>1.096258074E-2</v>
      </c>
      <c r="CZ22" s="302" t="s">
        <v>538</v>
      </c>
      <c r="DA22" s="68">
        <v>22.808162400000001</v>
      </c>
      <c r="DB22" s="5">
        <v>25.804270349999999</v>
      </c>
      <c r="DC22" s="5">
        <v>20.811243390000001</v>
      </c>
      <c r="DD22" s="80">
        <f>AVERAGE(DA22,DC22)</f>
        <v>21.809702895000001</v>
      </c>
      <c r="DE22" s="68">
        <v>17.320772080000001</v>
      </c>
      <c r="DF22" s="5">
        <v>16.922087179999998</v>
      </c>
      <c r="DG22" s="5">
        <v>19.782613550000001</v>
      </c>
      <c r="DH22" s="80">
        <f>AVERAGE(DE22,DG22)</f>
        <v>18.551692815000003</v>
      </c>
      <c r="DI22" s="151">
        <f t="shared" si="65"/>
        <v>-5.4873903199999994</v>
      </c>
      <c r="DJ22" s="24">
        <f t="shared" si="65"/>
        <v>-8.8821831700000011</v>
      </c>
      <c r="DK22" s="294">
        <f t="shared" si="65"/>
        <v>-1.0286298400000007</v>
      </c>
      <c r="DL22" s="244">
        <f t="shared" si="65"/>
        <v>-3.2580100799999983</v>
      </c>
      <c r="DM22" s="303" t="s">
        <v>538</v>
      </c>
      <c r="DN22" s="68">
        <v>13.8431844</v>
      </c>
      <c r="DO22" s="5">
        <v>10.518221179999999</v>
      </c>
      <c r="DP22" s="5">
        <v>11.63398183</v>
      </c>
      <c r="DQ22" s="3">
        <f>AVERAGE(DN22,DP22)</f>
        <v>12.738583115000001</v>
      </c>
      <c r="DR22" s="68">
        <v>11.40620103</v>
      </c>
      <c r="DS22" s="5">
        <v>7.7425146910000002</v>
      </c>
      <c r="DT22" s="5">
        <v>6.7082883190000002</v>
      </c>
      <c r="DU22" s="3">
        <f>AVERAGE(DR22,DT22)</f>
        <v>9.0572446744999997</v>
      </c>
      <c r="DV22" s="24">
        <f t="shared" si="66"/>
        <v>-2.4369833700000001</v>
      </c>
      <c r="DW22" s="24">
        <f t="shared" si="66"/>
        <v>-2.7757064889999992</v>
      </c>
      <c r="DX22" s="24">
        <f t="shared" si="66"/>
        <v>-4.9256935109999995</v>
      </c>
      <c r="DY22" s="188">
        <f t="shared" si="66"/>
        <v>-3.6813384405000011</v>
      </c>
      <c r="DZ22" s="303" t="s">
        <v>538</v>
      </c>
      <c r="EA22" s="5">
        <v>7.3308301079999998</v>
      </c>
      <c r="EB22" s="5">
        <v>7.2743262580000003</v>
      </c>
      <c r="EC22" s="5">
        <v>6.7980196490000004</v>
      </c>
      <c r="ED22" s="3">
        <f>AVERAGE(EA22,EC22)</f>
        <v>7.0644248785000006</v>
      </c>
      <c r="EE22" s="5">
        <v>7.9150840569999996</v>
      </c>
      <c r="EF22" s="5">
        <v>7.9987494000000003</v>
      </c>
      <c r="EG22" s="5">
        <v>8.5536987940000007</v>
      </c>
      <c r="EH22" s="3">
        <f>AVERAGE(EE22,EG22)</f>
        <v>8.2343914255000001</v>
      </c>
      <c r="EI22" s="24">
        <f t="shared" si="67"/>
        <v>0.58425394899999983</v>
      </c>
      <c r="EJ22" s="24">
        <f t="shared" si="67"/>
        <v>0.72442314200000002</v>
      </c>
      <c r="EK22" s="24">
        <f t="shared" si="67"/>
        <v>1.7556791450000002</v>
      </c>
      <c r="EL22" s="188">
        <f t="shared" si="67"/>
        <v>1.1699665469999996</v>
      </c>
      <c r="EM22" s="303" t="s">
        <v>538</v>
      </c>
      <c r="EN22" s="151" t="s">
        <v>494</v>
      </c>
      <c r="EO22" s="244">
        <v>79.535345828256098</v>
      </c>
      <c r="EP22" s="151" t="s">
        <v>495</v>
      </c>
      <c r="EQ22" s="244">
        <v>82.701264871827206</v>
      </c>
      <c r="ER22" s="248">
        <f t="shared" si="14"/>
        <v>81.118305350041652</v>
      </c>
      <c r="ES22" s="18">
        <v>6</v>
      </c>
      <c r="ET22" s="18">
        <v>11</v>
      </c>
      <c r="EU22" s="18">
        <v>14</v>
      </c>
      <c r="EV22" s="18">
        <v>-3</v>
      </c>
      <c r="EW22" s="18">
        <v>6</v>
      </c>
      <c r="EX22" s="18">
        <v>2</v>
      </c>
      <c r="EY22" s="18">
        <v>36</v>
      </c>
      <c r="EZ22" s="5">
        <v>-3.2443840150000001</v>
      </c>
      <c r="FA22" s="18">
        <v>-20.856505662224723</v>
      </c>
      <c r="FB22" s="311">
        <v>20</v>
      </c>
      <c r="FC22" s="83">
        <v>65</v>
      </c>
      <c r="FD22" s="18">
        <v>41</v>
      </c>
      <c r="FE22" s="340">
        <v>15.5</v>
      </c>
      <c r="FF22" s="18">
        <v>0.47800000119199998</v>
      </c>
      <c r="FG22" s="18">
        <v>0.4833333361149999</v>
      </c>
      <c r="FH22" s="18">
        <v>0.5733333273086666</v>
      </c>
      <c r="FI22" s="18">
        <v>0.53333333883266665</v>
      </c>
      <c r="FJ22" s="18">
        <v>0.34666666515433336</v>
      </c>
      <c r="FK22" s="18">
        <v>0.37285714198892572</v>
      </c>
      <c r="FL22" s="18">
        <v>9.8333332066699988E-2</v>
      </c>
      <c r="FM22" s="18">
        <v>0.51000000112833332</v>
      </c>
      <c r="FN22" s="18">
        <v>0.37666666487866662</v>
      </c>
      <c r="FO22" s="18">
        <v>0.91666668653466665</v>
      </c>
      <c r="FP22" s="18">
        <v>0.66333334081933326</v>
      </c>
      <c r="FQ22" s="322">
        <v>3</v>
      </c>
      <c r="FR22" s="5">
        <v>14</v>
      </c>
      <c r="FS22" s="5">
        <v>5</v>
      </c>
      <c r="FT22" s="268">
        <v>0.48000000119199998</v>
      </c>
      <c r="FU22" s="269">
        <v>0.48666666944833326</v>
      </c>
      <c r="FV22" s="270">
        <v>0.58999999364199995</v>
      </c>
      <c r="FW22" s="271">
        <v>0.5466666718326666</v>
      </c>
      <c r="FX22" s="162">
        <v>0.41999999682100003</v>
      </c>
      <c r="FY22" s="272">
        <v>0.37857142756035428</v>
      </c>
      <c r="FZ22" s="273">
        <v>9.8333332066699988E-2</v>
      </c>
      <c r="GA22" s="274">
        <v>0.52000000079499997</v>
      </c>
      <c r="GB22" s="275">
        <v>0.4133333315453333</v>
      </c>
      <c r="GC22" s="276">
        <v>0.91666668653466665</v>
      </c>
      <c r="GD22" s="277">
        <v>0.68000000715266662</v>
      </c>
      <c r="GE22" s="5">
        <v>-3.2443840150000001</v>
      </c>
      <c r="GF22" s="18">
        <v>6</v>
      </c>
      <c r="GG22" s="18">
        <v>11</v>
      </c>
      <c r="GH22" s="18">
        <v>14</v>
      </c>
      <c r="GI22" s="18">
        <v>-3</v>
      </c>
      <c r="GJ22" s="18">
        <v>6</v>
      </c>
      <c r="GK22" s="18">
        <v>2</v>
      </c>
      <c r="GL22" s="18">
        <v>36</v>
      </c>
      <c r="GN22" s="5">
        <v>115</v>
      </c>
      <c r="GO22" s="5">
        <v>148</v>
      </c>
      <c r="GP22" s="5">
        <v>126</v>
      </c>
      <c r="GQ22" s="5">
        <v>53</v>
      </c>
      <c r="GR22" s="5">
        <v>132</v>
      </c>
      <c r="GS22" s="144">
        <v>0.58999997377400004</v>
      </c>
      <c r="GT22" s="18">
        <v>86.590699999999998</v>
      </c>
      <c r="GU22" s="18">
        <v>83.135000000000005</v>
      </c>
      <c r="GV22" s="3">
        <f t="shared" si="15"/>
        <v>3.4556999999999931</v>
      </c>
      <c r="GW22" s="5">
        <f t="shared" si="16"/>
        <v>1.0415673302459854</v>
      </c>
      <c r="GX22" s="18">
        <f t="shared" si="17"/>
        <v>1.7687349376568663E-2</v>
      </c>
      <c r="GY22" s="18">
        <v>77.093800000000002</v>
      </c>
      <c r="GZ22" s="18">
        <v>75.493799999999993</v>
      </c>
      <c r="HA22" s="3">
        <f t="shared" si="18"/>
        <v>1.6000000000000085</v>
      </c>
      <c r="HB22" s="18">
        <f t="shared" si="19"/>
        <v>1.0211937933976036</v>
      </c>
      <c r="HC22" s="18">
        <v>90.555999999999997</v>
      </c>
      <c r="HD22" s="18">
        <v>85.713999999999999</v>
      </c>
      <c r="HE22" s="3">
        <f t="shared" si="20"/>
        <v>4.8419999999999987</v>
      </c>
      <c r="HF22" s="18">
        <f>HC22/HD22</f>
        <v>1.0564901883006277</v>
      </c>
      <c r="HG22" s="18">
        <v>28.489899999999999</v>
      </c>
      <c r="HH22" s="18">
        <v>54.240299999999998</v>
      </c>
      <c r="HI22" s="3">
        <f t="shared" si="22"/>
        <v>-25.750399999999999</v>
      </c>
      <c r="HJ22" s="18">
        <f t="shared" si="23"/>
        <v>0.52525336327417071</v>
      </c>
      <c r="HK22" s="5">
        <v>110.657</v>
      </c>
      <c r="HL22" s="5">
        <v>94.802999999999997</v>
      </c>
      <c r="HM22" s="3">
        <f t="shared" si="24"/>
        <v>15.853999999999999</v>
      </c>
      <c r="HN22" s="5">
        <f t="shared" si="60"/>
        <v>1.1672309947997426</v>
      </c>
      <c r="HO22" s="18">
        <v>58.139800000000001</v>
      </c>
      <c r="HP22" s="18">
        <v>56.127499999999998</v>
      </c>
      <c r="HQ22" s="3">
        <f t="shared" si="25"/>
        <v>2.0123000000000033</v>
      </c>
      <c r="HR22" s="18">
        <f t="shared" si="26"/>
        <v>1.0358523005656763</v>
      </c>
      <c r="HS22" s="18">
        <v>60.100499999999997</v>
      </c>
      <c r="HT22" s="18">
        <v>60.767299999999999</v>
      </c>
      <c r="HU22" s="3">
        <f t="shared" si="27"/>
        <v>-0.66680000000000206</v>
      </c>
      <c r="HV22" s="18">
        <f t="shared" si="28"/>
        <v>0.98902699313611098</v>
      </c>
      <c r="HW22" s="18">
        <v>54.412799999999997</v>
      </c>
      <c r="HX22" s="18">
        <v>58.171999999999997</v>
      </c>
      <c r="HY22" s="3">
        <f t="shared" si="29"/>
        <v>-3.7591999999999999</v>
      </c>
      <c r="HZ22" s="18">
        <f t="shared" si="30"/>
        <v>0.93537784501134569</v>
      </c>
      <c r="IA22" s="18">
        <v>50.8127</v>
      </c>
      <c r="IB22" s="18">
        <v>53.4435</v>
      </c>
      <c r="IC22" s="3">
        <f t="shared" si="31"/>
        <v>-2.6308000000000007</v>
      </c>
      <c r="ID22" s="18">
        <f t="shared" si="32"/>
        <v>0.95077418208014075</v>
      </c>
      <c r="IE22" s="18">
        <v>40.618499999999997</v>
      </c>
      <c r="IF22" s="18">
        <v>46.707099999999997</v>
      </c>
      <c r="IG22" s="3">
        <f t="shared" si="33"/>
        <v>-6.0885999999999996</v>
      </c>
      <c r="IH22" s="18">
        <f t="shared" si="34"/>
        <v>0.86964294507687268</v>
      </c>
      <c r="II22" s="18">
        <v>64.3185</v>
      </c>
      <c r="IJ22" s="18">
        <v>64.872299999999996</v>
      </c>
      <c r="IK22" s="3">
        <f t="shared" si="35"/>
        <v>-0.55379999999999541</v>
      </c>
      <c r="IL22" s="18">
        <f t="shared" si="36"/>
        <v>0.99146322852743007</v>
      </c>
      <c r="IM22" s="18">
        <v>83.366299999999995</v>
      </c>
      <c r="IN22" s="18">
        <v>84.864000000000004</v>
      </c>
      <c r="IO22" s="3">
        <f t="shared" si="37"/>
        <v>-1.4977000000000089</v>
      </c>
      <c r="IP22" s="18">
        <f t="shared" si="38"/>
        <v>0.98235176282051273</v>
      </c>
      <c r="IQ22" s="18">
        <v>53.889200000000002</v>
      </c>
      <c r="IR22" s="18">
        <v>56.525199999999998</v>
      </c>
      <c r="IS22" s="3">
        <f>IQ22-IR22</f>
        <v>-2.6359999999999957</v>
      </c>
      <c r="IT22" s="18">
        <f t="shared" si="40"/>
        <v>0.95336593236291078</v>
      </c>
      <c r="IU22" s="18">
        <v>57.169699999999999</v>
      </c>
      <c r="IV22" s="18">
        <v>54.939500000000002</v>
      </c>
      <c r="IW22" s="3">
        <f t="shared" si="41"/>
        <v>2.2301999999999964</v>
      </c>
      <c r="IX22" s="18">
        <f t="shared" si="42"/>
        <v>1.040593744027521</v>
      </c>
      <c r="IY22" s="18">
        <v>68.670500000000004</v>
      </c>
      <c r="IZ22" s="18">
        <v>61.613500000000002</v>
      </c>
      <c r="JA22" s="3">
        <f t="shared" si="43"/>
        <v>7.0570000000000022</v>
      </c>
      <c r="JB22" s="18">
        <f t="shared" si="44"/>
        <v>1.1145365869492887</v>
      </c>
      <c r="JC22" s="18">
        <f>LOG(HN22)</f>
        <v>6.7156811349217582E-2</v>
      </c>
      <c r="JD22" s="18">
        <v>81.118305350041652</v>
      </c>
      <c r="JE22" s="18">
        <f t="shared" si="45"/>
        <v>0.81118305350041653</v>
      </c>
      <c r="JG22" s="336" t="s">
        <v>606</v>
      </c>
      <c r="JH22" s="18">
        <v>0.44944826643297803</v>
      </c>
      <c r="JJ22" s="336" t="s">
        <v>606</v>
      </c>
      <c r="JK22" s="18">
        <v>0.350487799181396</v>
      </c>
      <c r="JM22" s="336" t="s">
        <v>606</v>
      </c>
      <c r="JN22" s="18">
        <v>0.63935512278022</v>
      </c>
      <c r="JO22" s="18">
        <f t="shared" si="46"/>
        <v>0.36064487721978</v>
      </c>
      <c r="JP22" s="336" t="s">
        <v>606</v>
      </c>
      <c r="JQ22" s="18">
        <v>0.836055724512347</v>
      </c>
      <c r="JT22" s="336" t="s">
        <v>606</v>
      </c>
      <c r="JU22" s="18">
        <v>0.58051872461172005</v>
      </c>
      <c r="JW22" s="336" t="s">
        <v>606</v>
      </c>
      <c r="JX22" s="18">
        <v>0.50084647637234803</v>
      </c>
      <c r="JZ22" s="336" t="s">
        <v>606</v>
      </c>
      <c r="KA22" s="18">
        <v>0.80894441432143305</v>
      </c>
      <c r="KC22" s="336" t="s">
        <v>606</v>
      </c>
      <c r="KD22" s="18">
        <v>0.86416329336960795</v>
      </c>
      <c r="KE22" s="68" t="s">
        <v>538</v>
      </c>
      <c r="KF22" s="347">
        <v>3.7100000000000001E-2</v>
      </c>
      <c r="KG22" s="347">
        <v>4.4900000000000002E-2</v>
      </c>
      <c r="KH22" s="347">
        <f t="shared" si="47"/>
        <v>4.1000000000000002E-2</v>
      </c>
      <c r="KI22" s="348">
        <v>6.6699999999999995E-2</v>
      </c>
      <c r="KJ22" s="348">
        <v>6.4899999999999999E-2</v>
      </c>
      <c r="KK22" s="348">
        <f t="shared" si="48"/>
        <v>6.5799999999999997E-2</v>
      </c>
      <c r="KL22" s="347">
        <f t="shared" si="49"/>
        <v>2.4799999999999996E-2</v>
      </c>
      <c r="KM22" s="347">
        <f t="shared" si="50"/>
        <v>1.6048780487804877</v>
      </c>
      <c r="KN22" s="354">
        <f t="shared" si="64"/>
        <v>5.4828780487804876</v>
      </c>
      <c r="KO22" s="18">
        <f t="shared" si="51"/>
        <v>0.73900858633018984</v>
      </c>
      <c r="KP22" s="18">
        <v>0.73900858633018984</v>
      </c>
      <c r="KQ22" s="340">
        <v>15.5</v>
      </c>
      <c r="KR22" s="18">
        <v>0.47800000119199998</v>
      </c>
      <c r="KS22" s="18">
        <v>0.4833333361149999</v>
      </c>
      <c r="KT22" s="18">
        <v>0.5733333273086666</v>
      </c>
      <c r="KU22" s="18">
        <v>0.53333333883266665</v>
      </c>
      <c r="KV22" s="18">
        <v>0.34666666515433336</v>
      </c>
      <c r="KW22" s="18">
        <v>0.37285714198892572</v>
      </c>
      <c r="KX22" s="18">
        <v>9.8333332066699988E-2</v>
      </c>
      <c r="KY22" s="18">
        <v>0.51000000112833332</v>
      </c>
      <c r="KZ22" s="18">
        <v>0.37666666487866662</v>
      </c>
      <c r="LA22" s="18">
        <v>0.91666668653466665</v>
      </c>
      <c r="LB22" s="18">
        <v>0.66333334081933326</v>
      </c>
      <c r="LC22" s="358" t="s">
        <v>642</v>
      </c>
      <c r="LD22" s="358">
        <v>15</v>
      </c>
      <c r="LE22" s="358">
        <v>5</v>
      </c>
      <c r="LF22" s="358">
        <v>5.5</v>
      </c>
      <c r="LG22" s="358">
        <v>13.5</v>
      </c>
      <c r="LH22" s="358">
        <v>7.5</v>
      </c>
      <c r="LI22" s="358">
        <v>11</v>
      </c>
      <c r="LJ22" s="144">
        <v>0.58999997377400004</v>
      </c>
      <c r="LK22" s="158" t="s">
        <v>538</v>
      </c>
      <c r="LL22" s="68">
        <v>0.5181</v>
      </c>
      <c r="LM22" s="5">
        <v>0.52529999999999999</v>
      </c>
      <c r="LN22" s="5">
        <f t="shared" si="52"/>
        <v>0.52170000000000005</v>
      </c>
      <c r="LO22" s="5">
        <v>0.5665</v>
      </c>
      <c r="LP22" s="5">
        <v>0.55840000000000001</v>
      </c>
      <c r="LQ22" s="80">
        <f t="shared" si="53"/>
        <v>0.56245000000000001</v>
      </c>
      <c r="LR22" s="77">
        <f t="shared" si="54"/>
        <v>-4.0749999999999953E-2</v>
      </c>
      <c r="LS22" s="68">
        <v>15.070600000000001</v>
      </c>
      <c r="LT22" s="5">
        <v>14.793200000000001</v>
      </c>
      <c r="LU22" s="5">
        <f t="shared" si="55"/>
        <v>14.931900000000001</v>
      </c>
      <c r="LV22" s="5">
        <v>18.700500000000002</v>
      </c>
      <c r="LW22" s="5">
        <v>17.694400000000002</v>
      </c>
      <c r="LX22" s="80">
        <f t="shared" si="56"/>
        <v>18.197450000000003</v>
      </c>
      <c r="LY22" s="77">
        <f t="shared" si="57"/>
        <v>-3.2655500000000028</v>
      </c>
      <c r="LZ22" s="68">
        <v>1.008</v>
      </c>
      <c r="MA22" s="5">
        <v>1.0101</v>
      </c>
      <c r="MB22" s="5">
        <f>AVERAGE(LZ22:MA22)</f>
        <v>1.00905</v>
      </c>
      <c r="MC22" s="5">
        <v>0.93869999999999998</v>
      </c>
      <c r="MD22" s="5">
        <v>0.96799999999999997</v>
      </c>
      <c r="ME22" s="80">
        <f>AVERAGE(MC22:MD22)</f>
        <v>0.95334999999999992</v>
      </c>
      <c r="MF22" s="77">
        <f t="shared" si="58"/>
        <v>5.5700000000000083E-2</v>
      </c>
      <c r="MG22" s="68">
        <v>0.39489999999999997</v>
      </c>
      <c r="MH22" s="5">
        <v>0.39119999999999999</v>
      </c>
      <c r="MI22" s="5">
        <f>AVERAGE(MG22:MH22)</f>
        <v>0.39305000000000001</v>
      </c>
      <c r="MJ22" s="5">
        <v>0.505</v>
      </c>
      <c r="MK22" s="5">
        <v>0.47410000000000002</v>
      </c>
      <c r="ML22" s="80">
        <f>AVERAGE(MJ22:MK22)</f>
        <v>0.48955000000000004</v>
      </c>
      <c r="MM22" s="77">
        <f t="shared" si="59"/>
        <v>-9.650000000000003E-2</v>
      </c>
      <c r="MO22" s="5">
        <v>0.9573498668</v>
      </c>
      <c r="MP22" s="5">
        <v>2.9541788000000002</v>
      </c>
      <c r="MQ22" s="5">
        <v>0.74740942519999998</v>
      </c>
      <c r="MR22" s="5">
        <v>2.5046256969999998</v>
      </c>
      <c r="MS22" s="292">
        <v>2.3432480600000001</v>
      </c>
      <c r="MT22" s="83">
        <v>-3.2443840150000001</v>
      </c>
      <c r="MU22" s="18">
        <v>2.3553048529999998</v>
      </c>
      <c r="MV22" s="18">
        <v>0.59519228530000001</v>
      </c>
      <c r="MW22" s="18">
        <v>1.5863072970000001</v>
      </c>
    </row>
    <row r="23" spans="1:361" s="6" customFormat="1" ht="16" thickBot="1" x14ac:dyDescent="0.25">
      <c r="A23" s="67"/>
      <c r="C23" s="6" t="s">
        <v>217</v>
      </c>
      <c r="U23" s="6">
        <f>AVERAGE(U3:U22)</f>
        <v>3.1</v>
      </c>
      <c r="V23" s="6">
        <f t="shared" ref="V23:Y23" si="68">AVERAGE(V3:V22)</f>
        <v>0.8</v>
      </c>
      <c r="W23" s="6">
        <f t="shared" si="68"/>
        <v>0.55000000000000004</v>
      </c>
      <c r="X23" s="6">
        <f t="shared" si="68"/>
        <v>-0.85</v>
      </c>
      <c r="Y23" s="6">
        <f t="shared" si="68"/>
        <v>2.95</v>
      </c>
      <c r="CK23" s="6" t="s">
        <v>499</v>
      </c>
      <c r="CL23" s="6">
        <f t="shared" ref="CL23:CT23" si="69">AVERAGE(CL3:CL22)</f>
        <v>1.4639803461400001</v>
      </c>
      <c r="CM23" s="6">
        <f t="shared" si="69"/>
        <v>-2.4042056269000001</v>
      </c>
      <c r="CN23" s="6">
        <f t="shared" si="69"/>
        <v>-0.37686010071466663</v>
      </c>
      <c r="CO23" s="6">
        <f t="shared" si="69"/>
        <v>-0.2481890504329867</v>
      </c>
      <c r="CP23" s="6">
        <f t="shared" si="69"/>
        <v>-0.26514099841333327</v>
      </c>
      <c r="CQ23" s="6">
        <f t="shared" si="69"/>
        <v>-0.4310436288086667</v>
      </c>
      <c r="CR23" s="6">
        <f t="shared" si="69"/>
        <v>-0.30209760825333337</v>
      </c>
      <c r="CS23" s="6">
        <f t="shared" si="69"/>
        <v>-0.16283138676246664</v>
      </c>
      <c r="CT23" s="6">
        <f t="shared" si="69"/>
        <v>-0.42615136118399999</v>
      </c>
      <c r="CZ23" s="6" t="s">
        <v>238</v>
      </c>
      <c r="DA23" s="67">
        <f t="shared" ref="DA23:DL23" si="70">AVERAGE(DA3:DA22)</f>
        <v>16.13083597293333</v>
      </c>
      <c r="DB23" s="6">
        <f t="shared" si="70"/>
        <v>16.965880404733333</v>
      </c>
      <c r="DC23" s="6">
        <f t="shared" si="70"/>
        <v>16.894401850933335</v>
      </c>
      <c r="DD23" s="7">
        <f t="shared" si="70"/>
        <v>16.51261891193333</v>
      </c>
      <c r="DE23" s="67">
        <f t="shared" si="70"/>
        <v>12.546637470533334</v>
      </c>
      <c r="DF23" s="6">
        <f t="shared" si="70"/>
        <v>12.774199741199999</v>
      </c>
      <c r="DG23" s="6">
        <f t="shared" si="70"/>
        <v>12.549080821266667</v>
      </c>
      <c r="DH23" s="7">
        <f t="shared" si="70"/>
        <v>12.5478591459</v>
      </c>
      <c r="DI23" s="67">
        <f t="shared" si="70"/>
        <v>-3.5841985023999996</v>
      </c>
      <c r="DJ23" s="6">
        <f t="shared" si="70"/>
        <v>-4.191680663533333</v>
      </c>
      <c r="DK23" s="6">
        <f t="shared" si="70"/>
        <v>-4.3453210296666667</v>
      </c>
      <c r="DL23" s="7">
        <f t="shared" si="70"/>
        <v>-3.9647597660333336</v>
      </c>
      <c r="DM23" s="6" t="s">
        <v>238</v>
      </c>
      <c r="DN23" s="67">
        <f t="shared" ref="DN23:DY23" si="71">AVERAGE(DN3:DN22)</f>
        <v>4.7277549383333337</v>
      </c>
      <c r="DO23" s="6">
        <f t="shared" si="71"/>
        <v>4.6956628868666668</v>
      </c>
      <c r="DP23" s="6">
        <f t="shared" si="71"/>
        <v>4.9272389394666662</v>
      </c>
      <c r="DQ23" s="4">
        <f t="shared" si="71"/>
        <v>4.8274969389000004</v>
      </c>
      <c r="DR23" s="67">
        <f t="shared" si="71"/>
        <v>5.6736238743333338</v>
      </c>
      <c r="DS23" s="6">
        <f t="shared" si="71"/>
        <v>5.4842697468666666</v>
      </c>
      <c r="DT23" s="6">
        <f t="shared" si="71"/>
        <v>5.1664899332000003</v>
      </c>
      <c r="DU23" s="4">
        <f t="shared" si="71"/>
        <v>5.4200569037666666</v>
      </c>
      <c r="DV23" s="6">
        <f t="shared" si="71"/>
        <v>0.94586893599999966</v>
      </c>
      <c r="DW23" s="6">
        <f t="shared" si="71"/>
        <v>0.78860686000000024</v>
      </c>
      <c r="DX23" s="6">
        <f t="shared" si="71"/>
        <v>0.23925099373333339</v>
      </c>
      <c r="DY23" s="4">
        <f t="shared" si="71"/>
        <v>0.59255996486666629</v>
      </c>
      <c r="DZ23" s="6" t="s">
        <v>238</v>
      </c>
      <c r="EA23" s="6">
        <f t="shared" ref="EA23:EL23" si="72">AVERAGE(EA3:EA22)</f>
        <v>17.916009292666665</v>
      </c>
      <c r="EB23" s="6">
        <f t="shared" si="72"/>
        <v>16.756755451800004</v>
      </c>
      <c r="EC23" s="6">
        <f t="shared" si="72"/>
        <v>13.462571183933333</v>
      </c>
      <c r="ED23" s="4">
        <f t="shared" si="72"/>
        <v>15.689290238299998</v>
      </c>
      <c r="EE23" s="6">
        <f t="shared" si="72"/>
        <v>7.1891143543333333</v>
      </c>
      <c r="EF23" s="6">
        <f t="shared" si="72"/>
        <v>8.3233059826666675</v>
      </c>
      <c r="EG23" s="6">
        <f t="shared" si="72"/>
        <v>7.1648269625333318</v>
      </c>
      <c r="EH23" s="4">
        <f t="shared" si="72"/>
        <v>7.1769706584333335</v>
      </c>
      <c r="EI23" s="6">
        <f t="shared" si="72"/>
        <v>-10.726894938333336</v>
      </c>
      <c r="EJ23" s="6">
        <f t="shared" si="72"/>
        <v>-8.4334494691333308</v>
      </c>
      <c r="EK23" s="6">
        <f t="shared" si="72"/>
        <v>-6.2977442213999995</v>
      </c>
      <c r="EL23" s="328">
        <f t="shared" si="72"/>
        <v>-8.5123195798666664</v>
      </c>
      <c r="EM23" s="191" t="s">
        <v>238</v>
      </c>
      <c r="EN23" s="334"/>
      <c r="EO23" s="313">
        <f>AVERAGE(EO3:EO22)</f>
        <v>49.858991227152963</v>
      </c>
      <c r="EP23" s="334"/>
      <c r="EQ23" s="313">
        <f t="shared" ref="EQ23" si="73">AVERAGE(EQ3:EQ22)</f>
        <v>47.240683998478339</v>
      </c>
      <c r="ER23" s="237">
        <f>AVERAGE(ER3:ER22)</f>
        <v>48.549837612815651</v>
      </c>
      <c r="ES23" s="6">
        <v>4.5999999999999996</v>
      </c>
      <c r="ET23" s="6">
        <v>9.35</v>
      </c>
      <c r="EU23" s="6">
        <v>13.75</v>
      </c>
      <c r="EV23" s="6">
        <v>-0.85</v>
      </c>
      <c r="EW23" s="6">
        <v>4.2</v>
      </c>
      <c r="EX23" s="6">
        <v>3.15</v>
      </c>
      <c r="EY23" s="6">
        <v>34.200000000000003</v>
      </c>
      <c r="FD23" s="242">
        <f>AVERAGE(FF3:FF22)</f>
        <v>0.36429999968149673</v>
      </c>
      <c r="FE23" s="242">
        <f t="shared" ref="FE23:GR23" si="74">AVERAGE(FG3:FG22)</f>
        <v>0.26049999968024135</v>
      </c>
      <c r="FF23" s="242">
        <f t="shared" si="74"/>
        <v>0.37183333141565833</v>
      </c>
      <c r="FG23" s="242">
        <f t="shared" si="74"/>
        <v>0.3383333316968013</v>
      </c>
      <c r="FH23" s="242">
        <f t="shared" si="74"/>
        <v>0.35399999998119436</v>
      </c>
      <c r="FI23" s="242">
        <f t="shared" si="74"/>
        <v>0.22571428630308316</v>
      </c>
      <c r="FJ23" s="242">
        <f t="shared" si="74"/>
        <v>0.14908333292178166</v>
      </c>
      <c r="FK23" s="242">
        <f t="shared" si="74"/>
        <v>0.50050000095762548</v>
      </c>
      <c r="FL23" s="242">
        <f t="shared" si="74"/>
        <v>0.67233333438838405</v>
      </c>
      <c r="FM23" s="242">
        <f t="shared" si="74"/>
        <v>0.53266666665663898</v>
      </c>
      <c r="FN23" s="242">
        <f t="shared" si="74"/>
        <v>0.35183333376408366</v>
      </c>
      <c r="FO23" s="242">
        <f t="shared" si="74"/>
        <v>1.6842105263157894</v>
      </c>
      <c r="FP23" s="242">
        <f t="shared" si="74"/>
        <v>3.1</v>
      </c>
      <c r="FQ23" s="242">
        <f t="shared" si="74"/>
        <v>2.95</v>
      </c>
      <c r="FR23" s="242">
        <f t="shared" si="74"/>
        <v>0.37479999955691007</v>
      </c>
      <c r="FS23" s="242">
        <f t="shared" si="74"/>
        <v>0.27616666635416476</v>
      </c>
      <c r="FT23" s="242">
        <f t="shared" si="74"/>
        <v>0.4051666646721962</v>
      </c>
      <c r="FU23" s="242">
        <f t="shared" si="74"/>
        <v>0.35566666503190003</v>
      </c>
      <c r="FV23" s="242">
        <f t="shared" si="74"/>
        <v>0.37850000000681666</v>
      </c>
      <c r="FW23" s="242">
        <f t="shared" si="74"/>
        <v>0.25357142921892117</v>
      </c>
      <c r="FX23" s="242">
        <f t="shared" si="74"/>
        <v>0.16166666638923402</v>
      </c>
      <c r="FY23" s="242">
        <f t="shared" si="74"/>
        <v>0.53166666780702287</v>
      </c>
      <c r="FZ23" s="242">
        <f t="shared" si="74"/>
        <v>0.75233333478093323</v>
      </c>
      <c r="GA23" s="242">
        <f t="shared" si="74"/>
        <v>0.59650000006402182</v>
      </c>
      <c r="GB23" s="242">
        <f t="shared" si="74"/>
        <v>0.35433333372506504</v>
      </c>
      <c r="GC23" s="242">
        <f t="shared" si="74"/>
        <v>-2.4042056269000001</v>
      </c>
      <c r="GD23" s="242">
        <f t="shared" si="74"/>
        <v>4.5999999999999996</v>
      </c>
      <c r="GE23" s="242">
        <f>AVERAGE(GE3:GE22)</f>
        <v>-2.4042056269000001</v>
      </c>
      <c r="GF23" s="242">
        <f t="shared" ref="GF23:GL23" si="75">AVERAGE(GF3:GF22)</f>
        <v>4.5999999999999996</v>
      </c>
      <c r="GG23" s="242">
        <f t="shared" si="75"/>
        <v>9.35</v>
      </c>
      <c r="GH23" s="242">
        <f t="shared" si="75"/>
        <v>13.75</v>
      </c>
      <c r="GI23" s="242">
        <f t="shared" si="75"/>
        <v>-0.85</v>
      </c>
      <c r="GJ23" s="242">
        <f t="shared" si="75"/>
        <v>4.2</v>
      </c>
      <c r="GK23" s="242">
        <f t="shared" si="75"/>
        <v>3.15</v>
      </c>
      <c r="GL23" s="242">
        <f t="shared" si="75"/>
        <v>34.200000000000003</v>
      </c>
      <c r="GM23" s="242">
        <f t="shared" si="74"/>
        <v>110.9</v>
      </c>
      <c r="GN23" s="242">
        <f t="shared" si="74"/>
        <v>120.15</v>
      </c>
      <c r="GO23" s="242">
        <f t="shared" si="74"/>
        <v>71.5</v>
      </c>
      <c r="GP23" s="240">
        <f t="shared" si="74"/>
        <v>136.5</v>
      </c>
      <c r="GQ23" s="103" t="s">
        <v>238</v>
      </c>
      <c r="GR23" s="242">
        <f t="shared" si="74"/>
        <v>80.490326666666661</v>
      </c>
      <c r="GS23" s="242" t="s">
        <v>52</v>
      </c>
      <c r="GT23" s="242">
        <f>AVERAGE(GT3:GT22)</f>
        <v>80.490326666666661</v>
      </c>
      <c r="GU23" s="240">
        <f t="shared" ref="GU23:JB23" si="76">AVERAGE(GU3:GU22)</f>
        <v>72.888373333333348</v>
      </c>
      <c r="GV23" s="103">
        <f t="shared" si="76"/>
        <v>7.6019533333333333</v>
      </c>
      <c r="GW23" s="24">
        <f t="shared" si="76"/>
        <v>1.1125965190504379</v>
      </c>
      <c r="GX23" s="242">
        <f t="shared" si="76"/>
        <v>4.4447484878671693E-2</v>
      </c>
      <c r="GY23" s="242">
        <f t="shared" si="76"/>
        <v>69.274086666666662</v>
      </c>
      <c r="GZ23" s="242">
        <f t="shared" si="76"/>
        <v>65.300659999999993</v>
      </c>
      <c r="HA23" s="242">
        <f t="shared" si="76"/>
        <v>3.973426666666668</v>
      </c>
      <c r="HB23" s="242">
        <f t="shared" si="76"/>
        <v>1.0657475895533302</v>
      </c>
      <c r="HC23" s="242">
        <f t="shared" si="76"/>
        <v>78.531273333333331</v>
      </c>
      <c r="HD23" s="242">
        <f t="shared" si="76"/>
        <v>71.86363333333334</v>
      </c>
      <c r="HE23" s="242">
        <f t="shared" si="76"/>
        <v>6.6676399999999978</v>
      </c>
      <c r="HF23" s="242">
        <f t="shared" si="76"/>
        <v>1.100733244240826</v>
      </c>
      <c r="HG23" s="242">
        <f t="shared" si="76"/>
        <v>37.287013333333334</v>
      </c>
      <c r="HH23" s="242">
        <f t="shared" si="76"/>
        <v>54.655640000000012</v>
      </c>
      <c r="HI23" s="242">
        <f t="shared" si="76"/>
        <v>-17.368626666666668</v>
      </c>
      <c r="HJ23" s="242">
        <f t="shared" si="76"/>
        <v>0.68900821596201822</v>
      </c>
      <c r="HK23" s="242">
        <f t="shared" si="76"/>
        <v>98.730826666666673</v>
      </c>
      <c r="HL23" s="242">
        <f t="shared" si="76"/>
        <v>78.522626666666653</v>
      </c>
      <c r="HM23" s="242">
        <f t="shared" si="76"/>
        <v>20.208199999999998</v>
      </c>
      <c r="HN23" s="242">
        <f t="shared" si="76"/>
        <v>1.2901038394296394</v>
      </c>
      <c r="HO23" s="242">
        <f t="shared" si="76"/>
        <v>57.212206666666674</v>
      </c>
      <c r="HP23" s="242">
        <f t="shared" si="76"/>
        <v>54.576266666666669</v>
      </c>
      <c r="HQ23" s="242">
        <f t="shared" si="76"/>
        <v>2.6359400000000006</v>
      </c>
      <c r="HR23" s="242">
        <f t="shared" si="76"/>
        <v>1.0524983843281537</v>
      </c>
      <c r="HS23" s="242">
        <f t="shared" si="76"/>
        <v>58.944486666666656</v>
      </c>
      <c r="HT23" s="242">
        <f t="shared" si="76"/>
        <v>58.396253333333334</v>
      </c>
      <c r="HU23" s="242">
        <f t="shared" si="76"/>
        <v>0.54823333333333246</v>
      </c>
      <c r="HV23" s="242">
        <f t="shared" si="76"/>
        <v>1.0130651179730219</v>
      </c>
      <c r="HW23" s="242">
        <f t="shared" si="76"/>
        <v>57.419886666666656</v>
      </c>
      <c r="HX23" s="242">
        <f t="shared" si="76"/>
        <v>57.213906666666666</v>
      </c>
      <c r="HY23" s="242">
        <f t="shared" si="76"/>
        <v>0.20598000000000002</v>
      </c>
      <c r="HZ23" s="242">
        <f t="shared" si="76"/>
        <v>1.0047192532867342</v>
      </c>
      <c r="IA23" s="242">
        <f t="shared" si="76"/>
        <v>48.36422666666666</v>
      </c>
      <c r="IB23" s="242">
        <f t="shared" si="76"/>
        <v>49.423439999999999</v>
      </c>
      <c r="IC23" s="242">
        <f t="shared" si="76"/>
        <v>-0.79441000000000095</v>
      </c>
      <c r="ID23" s="242">
        <f t="shared" si="76"/>
        <v>0.9796278750109304</v>
      </c>
      <c r="IE23" s="242">
        <f t="shared" si="76"/>
        <v>43.948313333333346</v>
      </c>
      <c r="IF23" s="242">
        <f t="shared" si="76"/>
        <v>45.020566666666667</v>
      </c>
      <c r="IG23" s="242">
        <f t="shared" si="76"/>
        <v>-1.0722533333333326</v>
      </c>
      <c r="IH23" s="242">
        <f t="shared" si="76"/>
        <v>0.97704217521598091</v>
      </c>
      <c r="II23" s="242">
        <f t="shared" si="76"/>
        <v>61.606646666666656</v>
      </c>
      <c r="IJ23" s="242">
        <f t="shared" si="76"/>
        <v>60.215786666666673</v>
      </c>
      <c r="IK23" s="242">
        <f t="shared" si="76"/>
        <v>1.3908600000000007</v>
      </c>
      <c r="IL23" s="242">
        <f t="shared" si="76"/>
        <v>1.0260996650560865</v>
      </c>
      <c r="IM23" s="242">
        <f t="shared" si="76"/>
        <v>78.337066666666658</v>
      </c>
      <c r="IN23" s="242">
        <f t="shared" si="76"/>
        <v>76.31859333333334</v>
      </c>
      <c r="IO23" s="242">
        <f t="shared" si="76"/>
        <v>2.0184733333333318</v>
      </c>
      <c r="IP23" s="242">
        <f t="shared" si="76"/>
        <v>1.0322270441939225</v>
      </c>
      <c r="IQ23" s="242">
        <f t="shared" si="76"/>
        <v>50.989513333333342</v>
      </c>
      <c r="IR23" s="242">
        <f t="shared" si="76"/>
        <v>50.323479999999996</v>
      </c>
      <c r="IS23" s="242">
        <f t="shared" si="76"/>
        <v>0.6660333333333327</v>
      </c>
      <c r="IT23" s="242">
        <f t="shared" si="76"/>
        <v>1.0168514311559049</v>
      </c>
      <c r="IU23" s="242">
        <f t="shared" si="76"/>
        <v>55.025553333333342</v>
      </c>
      <c r="IV23" s="242">
        <f t="shared" si="76"/>
        <v>54.180286666666667</v>
      </c>
      <c r="IW23" s="242">
        <f t="shared" si="76"/>
        <v>0.84526666666666683</v>
      </c>
      <c r="IX23" s="242">
        <f t="shared" si="76"/>
        <v>1.0189587975985417</v>
      </c>
      <c r="IY23" s="242">
        <f t="shared" si="76"/>
        <v>62.881393333333335</v>
      </c>
      <c r="IZ23" s="242">
        <f t="shared" si="76"/>
        <v>61.147953333333334</v>
      </c>
      <c r="JA23" s="242">
        <f t="shared" si="76"/>
        <v>1.7334399999999988</v>
      </c>
      <c r="JB23" s="242">
        <f t="shared" si="76"/>
        <v>1.0330048036989452</v>
      </c>
      <c r="KE23" s="67" t="s">
        <v>238</v>
      </c>
      <c r="KF23" s="343">
        <f>AVERAGE(KF3:KF22)</f>
        <v>2.3293333333333333E-2</v>
      </c>
      <c r="KG23" s="343">
        <f t="shared" ref="KG23:KN23" si="77">AVERAGE(KG3:KG22)</f>
        <v>2.6726666666666673E-2</v>
      </c>
      <c r="KH23" s="343">
        <f t="shared" si="77"/>
        <v>2.5009999999999994E-2</v>
      </c>
      <c r="KI23" s="343">
        <f t="shared" si="77"/>
        <v>6.2506666666666669E-2</v>
      </c>
      <c r="KJ23" s="343">
        <f t="shared" si="77"/>
        <v>4.9866666666666656E-2</v>
      </c>
      <c r="KK23" s="343">
        <f t="shared" si="77"/>
        <v>5.6186666666666676E-2</v>
      </c>
      <c r="KL23" s="345">
        <f t="shared" si="77"/>
        <v>3.1176666666666668E-2</v>
      </c>
      <c r="KM23" s="343">
        <f t="shared" si="77"/>
        <v>2.2839257531692563</v>
      </c>
      <c r="KN23" s="346">
        <f t="shared" si="77"/>
        <v>6.1619257531692559</v>
      </c>
      <c r="LC23" s="359" t="s">
        <v>238</v>
      </c>
      <c r="LD23" s="359">
        <v>12.210526315789474</v>
      </c>
      <c r="LE23" s="359">
        <v>10.026315789473685</v>
      </c>
      <c r="LF23" s="359">
        <v>7.8684210526315788</v>
      </c>
      <c r="LG23" s="359">
        <v>11.184210526315789</v>
      </c>
      <c r="LH23" s="359">
        <v>6.8947368421052628</v>
      </c>
      <c r="LI23" s="360">
        <v>6.5263157894736796</v>
      </c>
      <c r="LK23" s="6" t="s">
        <v>238</v>
      </c>
      <c r="LL23" s="67">
        <f>AVERAGE(LL3:LL22)</f>
        <v>0.49388000000000004</v>
      </c>
      <c r="LM23" s="6">
        <f t="shared" ref="LM23" si="78">AVERAGE(LM3:LM22)</f>
        <v>0.49810000000000004</v>
      </c>
      <c r="LN23" s="6">
        <f>AVERAGE(LN3:LN22)</f>
        <v>0.49598999999999999</v>
      </c>
      <c r="LO23" s="6">
        <f>AVERAGE(LO3:LO22)</f>
        <v>0.54964000000000002</v>
      </c>
      <c r="LP23" s="6">
        <f>AVERAGE(LP3:LP22)</f>
        <v>0.54610000000000014</v>
      </c>
      <c r="LQ23" s="6">
        <f t="shared" ref="LQ23:LR23" si="79">AVERAGE(LQ3:LQ22)</f>
        <v>0.54786999999999997</v>
      </c>
      <c r="LR23" s="6">
        <f t="shared" si="79"/>
        <v>-5.1879999999999975E-2</v>
      </c>
      <c r="LS23" s="67">
        <f>AVERAGE(LS3:LS22)</f>
        <v>9.9451599999999996</v>
      </c>
      <c r="LT23" s="67">
        <f t="shared" ref="LT23:MM23" si="80">AVERAGE(LT3:LT22)</f>
        <v>10.174673333333335</v>
      </c>
      <c r="LU23" s="67">
        <f t="shared" si="80"/>
        <v>10.059916666666668</v>
      </c>
      <c r="LV23" s="67">
        <f t="shared" si="80"/>
        <v>16.843386666666664</v>
      </c>
      <c r="LW23" s="67">
        <f t="shared" si="80"/>
        <v>16.180926666666668</v>
      </c>
      <c r="LX23" s="67">
        <f t="shared" si="80"/>
        <v>16.512156666666662</v>
      </c>
      <c r="LY23" s="67">
        <f t="shared" si="80"/>
        <v>-6.4522399999999998</v>
      </c>
      <c r="LZ23" s="67">
        <f t="shared" si="80"/>
        <v>1.0399333333333334</v>
      </c>
      <c r="MA23" s="67">
        <f t="shared" si="80"/>
        <v>1.0275466666666666</v>
      </c>
      <c r="MB23" s="67">
        <f t="shared" si="80"/>
        <v>1.0337399999999999</v>
      </c>
      <c r="MC23" s="67">
        <f t="shared" si="80"/>
        <v>0.94576666666666687</v>
      </c>
      <c r="MD23" s="67">
        <f t="shared" si="80"/>
        <v>0.9609466666666665</v>
      </c>
      <c r="ME23" s="67">
        <f t="shared" si="80"/>
        <v>0.95335666666666674</v>
      </c>
      <c r="MF23" s="67">
        <f t="shared" si="80"/>
        <v>8.0383333333333265E-2</v>
      </c>
      <c r="MG23" s="67">
        <f t="shared" si="80"/>
        <v>0.30248666666666668</v>
      </c>
      <c r="MH23" s="67">
        <f t="shared" si="80"/>
        <v>0.31936666666666663</v>
      </c>
      <c r="MI23" s="67">
        <f t="shared" si="80"/>
        <v>0.31092666666666668</v>
      </c>
      <c r="MJ23" s="67">
        <f t="shared" si="80"/>
        <v>0.44501333333333343</v>
      </c>
      <c r="MK23" s="67">
        <f t="shared" si="80"/>
        <v>0.43550666666666665</v>
      </c>
      <c r="ML23" s="67">
        <f t="shared" si="80"/>
        <v>0.44026000000000004</v>
      </c>
      <c r="MM23" s="67">
        <f t="shared" si="80"/>
        <v>-0.12933333333333333</v>
      </c>
    </row>
    <row r="24" spans="1:361" ht="17" thickBot="1" x14ac:dyDescent="0.25">
      <c r="A24" s="3"/>
      <c r="B24" s="6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7"/>
      <c r="CK24" s="18" t="s">
        <v>53</v>
      </c>
      <c r="CL24" s="18">
        <f>STDEV(CL3:CL22)</f>
        <v>0.89233026380329517</v>
      </c>
      <c r="CM24" s="18">
        <f t="shared" ref="CM24:CT24" si="81">STDEV(CM3:CM22)</f>
        <v>1.1973660383988749</v>
      </c>
      <c r="CN24" s="18">
        <f t="shared" si="81"/>
        <v>0.21763037620113287</v>
      </c>
      <c r="CO24" s="18">
        <f t="shared" si="81"/>
        <v>0.19461980160837741</v>
      </c>
      <c r="CP24" s="18">
        <f t="shared" si="81"/>
        <v>0.2181163458473297</v>
      </c>
      <c r="CQ24" s="18">
        <f t="shared" si="81"/>
        <v>0.30099148681858173</v>
      </c>
      <c r="CR24" s="18">
        <f t="shared" si="81"/>
        <v>0.15781774349771019</v>
      </c>
      <c r="CS24" s="18">
        <f t="shared" si="81"/>
        <v>0.16000924499618149</v>
      </c>
      <c r="CT24" s="18">
        <f t="shared" si="81"/>
        <v>0.27150695167918176</v>
      </c>
      <c r="GS24" s="3" t="s">
        <v>53</v>
      </c>
      <c r="GT24" s="18">
        <f>STDEV(GT3:GT22)</f>
        <v>10.591380973661545</v>
      </c>
      <c r="GU24" s="18">
        <f t="shared" ref="GU24:JB24" si="82">STDEV(GU3:GU22)</f>
        <v>10.956953482310805</v>
      </c>
      <c r="GV24" s="32">
        <f t="shared" si="82"/>
        <v>7.263855553636458</v>
      </c>
      <c r="GW24" s="18">
        <f t="shared" si="82"/>
        <v>0.10721575112744365</v>
      </c>
      <c r="GX24" s="18">
        <f t="shared" si="82"/>
        <v>4.2001801169243791E-2</v>
      </c>
      <c r="GY24" s="18">
        <f t="shared" si="82"/>
        <v>8.4221105114425416</v>
      </c>
      <c r="GZ24" s="18">
        <f t="shared" si="82"/>
        <v>9.210300121975239</v>
      </c>
      <c r="HA24" s="18">
        <f t="shared" si="82"/>
        <v>4.0665041528261572</v>
      </c>
      <c r="HB24" s="18">
        <f t="shared" si="82"/>
        <v>6.6931881667329843E-2</v>
      </c>
      <c r="HC24" s="18">
        <f t="shared" si="82"/>
        <v>12.68490435069898</v>
      </c>
      <c r="HD24" s="18">
        <f t="shared" si="82"/>
        <v>12.911384317872695</v>
      </c>
      <c r="HE24" s="18">
        <f t="shared" si="82"/>
        <v>7.0721584703479534</v>
      </c>
      <c r="HF24" s="18">
        <f t="shared" si="82"/>
        <v>0.10780702792135421</v>
      </c>
      <c r="HG24" s="18">
        <f t="shared" si="82"/>
        <v>14.227220738272246</v>
      </c>
      <c r="HH24" s="18">
        <f t="shared" si="82"/>
        <v>17.54283704042356</v>
      </c>
      <c r="HI24" s="18">
        <f t="shared" si="82"/>
        <v>11.492403551381647</v>
      </c>
      <c r="HJ24" s="18">
        <f t="shared" si="82"/>
        <v>0.18697651377554664</v>
      </c>
      <c r="HK24" s="18">
        <f t="shared" si="82"/>
        <v>19.420261931346182</v>
      </c>
      <c r="HL24" s="18">
        <f t="shared" si="82"/>
        <v>19.497975693443092</v>
      </c>
      <c r="HM24" s="18">
        <f t="shared" si="82"/>
        <v>12.314821757018771</v>
      </c>
      <c r="HN24" s="18">
        <f t="shared" si="82"/>
        <v>0.20556296092986331</v>
      </c>
      <c r="HO24" s="18">
        <f t="shared" si="82"/>
        <v>4.3619749415450189</v>
      </c>
      <c r="HP24" s="18">
        <f t="shared" si="82"/>
        <v>5.1531811032003301</v>
      </c>
      <c r="HQ24" s="18">
        <f t="shared" si="82"/>
        <v>3.8208686437211408</v>
      </c>
      <c r="HR24" s="18">
        <f t="shared" si="82"/>
        <v>7.4156351046887004E-2</v>
      </c>
      <c r="HS24" s="18">
        <f t="shared" si="82"/>
        <v>5.083342946592003</v>
      </c>
      <c r="HT24" s="18">
        <f t="shared" si="82"/>
        <v>4.651308202287467</v>
      </c>
      <c r="HU24" s="18">
        <f t="shared" si="82"/>
        <v>5.3574144423095245</v>
      </c>
      <c r="HV24" s="18">
        <f t="shared" si="82"/>
        <v>9.4516118119361087E-2</v>
      </c>
      <c r="HW24" s="18">
        <f t="shared" si="82"/>
        <v>4.4856430999143857</v>
      </c>
      <c r="HX24" s="18">
        <f t="shared" si="82"/>
        <v>3.3358264089527596</v>
      </c>
      <c r="HY24" s="18">
        <f t="shared" si="82"/>
        <v>4.0616698921924801</v>
      </c>
      <c r="HZ24" s="18">
        <f t="shared" si="82"/>
        <v>6.9562418840649176E-2</v>
      </c>
      <c r="IA24" s="18">
        <f t="shared" si="82"/>
        <v>4.4585914246648848</v>
      </c>
      <c r="IB24" s="18">
        <f t="shared" si="82"/>
        <v>3.8589561089940974</v>
      </c>
      <c r="IC24" s="18">
        <f t="shared" si="82"/>
        <v>2.9029243320812674</v>
      </c>
      <c r="ID24" s="18">
        <f t="shared" si="82"/>
        <v>6.8911947125818565E-2</v>
      </c>
      <c r="IE24" s="18">
        <f t="shared" si="82"/>
        <v>4.9721713534812615</v>
      </c>
      <c r="IF24" s="18">
        <f t="shared" si="82"/>
        <v>3.5930633678294748</v>
      </c>
      <c r="IG24" s="18">
        <f t="shared" si="82"/>
        <v>4.0823057511073095</v>
      </c>
      <c r="IH24" s="18">
        <f t="shared" si="82"/>
        <v>8.9781473666180403E-2</v>
      </c>
      <c r="II24" s="18">
        <f t="shared" si="82"/>
        <v>5.0606265334677776</v>
      </c>
      <c r="IJ24" s="18">
        <f t="shared" si="82"/>
        <v>4.9899643464037835</v>
      </c>
      <c r="IK24" s="18">
        <f t="shared" si="82"/>
        <v>4.7445609016761781</v>
      </c>
      <c r="IL24" s="18">
        <f t="shared" si="82"/>
        <v>8.0846680844662427E-2</v>
      </c>
      <c r="IM24" s="18">
        <f t="shared" si="82"/>
        <v>8.157016392710899</v>
      </c>
      <c r="IN24" s="18">
        <f t="shared" si="82"/>
        <v>6.8905441049379581</v>
      </c>
      <c r="IO24" s="18">
        <f t="shared" si="82"/>
        <v>9.2202350735811098</v>
      </c>
      <c r="IP24" s="18">
        <f t="shared" si="82"/>
        <v>0.12702192303341434</v>
      </c>
      <c r="IQ24" s="18">
        <f t="shared" si="82"/>
        <v>3.7705442123057478</v>
      </c>
      <c r="IR24" s="18">
        <f t="shared" si="82"/>
        <v>4.6970190959190878</v>
      </c>
      <c r="IS24" s="18">
        <f t="shared" si="82"/>
        <v>3.2679511153597356</v>
      </c>
      <c r="IT24" s="18">
        <f t="shared" si="82"/>
        <v>6.455814931666648E-2</v>
      </c>
      <c r="IU24" s="18">
        <f t="shared" si="82"/>
        <v>5.8504570317034821</v>
      </c>
      <c r="IV24" s="18">
        <f t="shared" si="82"/>
        <v>5.2593891663069261</v>
      </c>
      <c r="IW24" s="18">
        <f t="shared" si="82"/>
        <v>5.2229297448389831</v>
      </c>
      <c r="IX24" s="18">
        <f t="shared" si="82"/>
        <v>9.8816930564510005E-2</v>
      </c>
      <c r="IY24" s="18">
        <f t="shared" si="82"/>
        <v>6.0748711114448062</v>
      </c>
      <c r="IZ24" s="18">
        <f t="shared" si="82"/>
        <v>6.0941195953695129</v>
      </c>
      <c r="JA24" s="18">
        <f t="shared" si="82"/>
        <v>5.9627136358013555</v>
      </c>
      <c r="JB24" s="18">
        <f t="shared" si="82"/>
        <v>9.9708506974291802E-2</v>
      </c>
      <c r="KE24" s="106" t="s">
        <v>53</v>
      </c>
      <c r="KF24" s="83">
        <f>STDEV(KF3:KF22)</f>
        <v>1.5865347083982694E-2</v>
      </c>
      <c r="KG24" s="83">
        <f t="shared" ref="KG24:KN24" si="83">STDEV(KG3:KG22)</f>
        <v>1.8495113897871448E-2</v>
      </c>
      <c r="KH24" s="83">
        <f t="shared" si="83"/>
        <v>1.5866926518480425E-2</v>
      </c>
      <c r="KI24" s="83">
        <f t="shared" si="83"/>
        <v>2.694090004506337E-2</v>
      </c>
      <c r="KJ24" s="83">
        <f t="shared" si="83"/>
        <v>2.0097891384302968E-2</v>
      </c>
      <c r="KK24" s="83">
        <f t="shared" si="83"/>
        <v>2.0308869162675349E-2</v>
      </c>
      <c r="KL24" s="86">
        <f t="shared" si="83"/>
        <v>1.5065652357345192E-2</v>
      </c>
      <c r="KM24" s="83">
        <f t="shared" si="83"/>
        <v>2.1775920472507653</v>
      </c>
      <c r="KN24" s="84">
        <f t="shared" si="83"/>
        <v>2.1775920472507644</v>
      </c>
      <c r="LB24" s="18" t="s">
        <v>620</v>
      </c>
      <c r="LC24" s="358" t="s">
        <v>53</v>
      </c>
      <c r="LD24" s="358">
        <v>3.4573423860342505</v>
      </c>
      <c r="LE24" s="358">
        <v>6.2193106178581807</v>
      </c>
      <c r="LF24" s="358">
        <v>6.8533084169114948</v>
      </c>
      <c r="LG24" s="358">
        <v>4.7264343099793207</v>
      </c>
      <c r="LH24" s="358">
        <v>6.2150778742068979</v>
      </c>
      <c r="LI24" s="361">
        <v>6.97111836279303</v>
      </c>
      <c r="LK24" s="158" t="s">
        <v>53</v>
      </c>
      <c r="LL24" s="68">
        <f>STDEV(LL3:LL22)</f>
        <v>2.4702695052506791E-2</v>
      </c>
      <c r="LM24" s="5">
        <f t="shared" ref="LM24" si="84">STDEV(LM3:LM22)</f>
        <v>2.4040085571513981E-2</v>
      </c>
      <c r="LN24" s="5">
        <f>STDEV(LN3:LN22)</f>
        <v>2.3982070683861198E-2</v>
      </c>
      <c r="LO24" s="5">
        <f>STDEV(LO3:LO22)</f>
        <v>2.0799890109599831E-2</v>
      </c>
      <c r="LP24" s="5">
        <f>STDEV(LP3:LP22)</f>
        <v>2.2786211369409979E-2</v>
      </c>
      <c r="LQ24" s="5">
        <f t="shared" ref="LQ24:LR24" si="85">STDEV(LQ3:LQ22)</f>
        <v>2.1142355930352564E-2</v>
      </c>
      <c r="LR24" s="5">
        <f t="shared" si="85"/>
        <v>2.2031599060051397E-2</v>
      </c>
      <c r="LS24" s="68">
        <f>STDEV(LS3:LS22)</f>
        <v>3.0205977809036377</v>
      </c>
      <c r="LT24" s="68">
        <f t="shared" ref="LT24:MM24" si="86">STDEV(LT3:LT22)</f>
        <v>3.0435606005529254</v>
      </c>
      <c r="LU24" s="68">
        <f t="shared" si="86"/>
        <v>2.9827967684149481</v>
      </c>
      <c r="LV24" s="68">
        <f t="shared" si="86"/>
        <v>4.7386168111239728</v>
      </c>
      <c r="LW24" s="68">
        <f t="shared" si="86"/>
        <v>3.7584676392051488</v>
      </c>
      <c r="LX24" s="68">
        <f t="shared" si="86"/>
        <v>4.086309551804268</v>
      </c>
      <c r="LY24" s="68">
        <f t="shared" si="86"/>
        <v>2.8974271953875608</v>
      </c>
      <c r="LZ24" s="68">
        <f t="shared" si="86"/>
        <v>2.6195792101204405E-2</v>
      </c>
      <c r="MA24" s="68">
        <f t="shared" si="86"/>
        <v>2.3351655391509376E-2</v>
      </c>
      <c r="MB24" s="68">
        <f t="shared" si="86"/>
        <v>2.4312571703897182E-2</v>
      </c>
      <c r="MC24" s="68">
        <f t="shared" si="86"/>
        <v>2.9987179800390576E-2</v>
      </c>
      <c r="MD24" s="68">
        <f t="shared" si="86"/>
        <v>2.8514454145890569E-2</v>
      </c>
      <c r="ME24" s="68">
        <f t="shared" si="86"/>
        <v>2.7788929364732561E-2</v>
      </c>
      <c r="MF24" s="68">
        <f t="shared" si="86"/>
        <v>2.9705685282370407E-2</v>
      </c>
      <c r="MG24" s="68">
        <f t="shared" si="86"/>
        <v>6.3552934816651169E-2</v>
      </c>
      <c r="MH24" s="68">
        <f t="shared" si="86"/>
        <v>6.0223709933009184E-2</v>
      </c>
      <c r="MI24" s="68">
        <f t="shared" si="86"/>
        <v>6.0577010805215825E-2</v>
      </c>
      <c r="MJ24" s="68">
        <f t="shared" si="86"/>
        <v>5.8711739720027134E-2</v>
      </c>
      <c r="MK24" s="68">
        <f t="shared" si="86"/>
        <v>5.8815868445108659E-2</v>
      </c>
      <c r="ML24" s="68">
        <f t="shared" si="86"/>
        <v>5.6781238098512501E-2</v>
      </c>
      <c r="MM24" s="68">
        <f t="shared" si="86"/>
        <v>5.2716050912502151E-2</v>
      </c>
    </row>
    <row r="25" spans="1:361" ht="17" thickBot="1" x14ac:dyDescent="0.25">
      <c r="A25" s="32"/>
      <c r="CK25" s="18" t="s">
        <v>54</v>
      </c>
      <c r="CL25" s="18">
        <f>CL24/SQRT(15)</f>
        <v>0.2303986834018022</v>
      </c>
      <c r="CM25" s="18">
        <f t="shared" ref="CM25:CT25" si="87">CM24/SQRT(15)</f>
        <v>0.30915858173554617</v>
      </c>
      <c r="CN25" s="18">
        <f t="shared" si="87"/>
        <v>5.61919215103895E-2</v>
      </c>
      <c r="CO25" s="18">
        <f t="shared" si="87"/>
        <v>5.0250616698095808E-2</v>
      </c>
      <c r="CP25" s="18">
        <f t="shared" si="87"/>
        <v>5.6317398333488346E-2</v>
      </c>
      <c r="CQ25" s="18">
        <f t="shared" si="87"/>
        <v>7.7715667719905082E-2</v>
      </c>
      <c r="CR25" s="18">
        <f t="shared" si="87"/>
        <v>4.0748366153511024E-2</v>
      </c>
      <c r="CS25" s="18">
        <f t="shared" si="87"/>
        <v>4.1314209407295556E-2</v>
      </c>
      <c r="CT25" s="18">
        <f t="shared" si="87"/>
        <v>7.0102793482200859E-2</v>
      </c>
      <c r="GK25" s="18" t="s">
        <v>217</v>
      </c>
      <c r="GS25" s="32" t="s">
        <v>54</v>
      </c>
      <c r="HA25" s="18" t="s">
        <v>217</v>
      </c>
      <c r="HB25" s="18" t="s">
        <v>217</v>
      </c>
      <c r="HE25" s="18" t="s">
        <v>217</v>
      </c>
      <c r="HI25" s="32" t="s">
        <v>217</v>
      </c>
      <c r="HJ25" s="18" t="s">
        <v>217</v>
      </c>
      <c r="HK25" s="5"/>
      <c r="HL25" s="5"/>
      <c r="HM25" s="32"/>
      <c r="HN25" s="5" t="s">
        <v>217</v>
      </c>
      <c r="LC25" s="362" t="s">
        <v>54</v>
      </c>
      <c r="LD25" s="362">
        <v>0.79316874073384658</v>
      </c>
      <c r="LE25" s="362">
        <v>1.4268077095649112</v>
      </c>
      <c r="LF25" s="362">
        <v>1.5722567799070484</v>
      </c>
      <c r="LG25" s="362">
        <v>1.0843183958149079</v>
      </c>
      <c r="LH25" s="362">
        <v>1.4258366515738663</v>
      </c>
      <c r="LI25" s="363">
        <v>1.5992842350987118</v>
      </c>
      <c r="LK25" s="158" t="s">
        <v>418</v>
      </c>
      <c r="LL25" s="86"/>
      <c r="LM25" s="83"/>
      <c r="LN25" s="83"/>
      <c r="LO25" s="83"/>
      <c r="LP25" s="83"/>
      <c r="LQ25" s="84"/>
      <c r="LR25" s="77"/>
      <c r="LS25" s="86"/>
      <c r="LT25" s="83"/>
      <c r="LU25" s="83"/>
      <c r="LV25" s="83"/>
      <c r="LW25" s="83"/>
      <c r="LX25" s="84"/>
      <c r="LY25" s="77"/>
      <c r="LZ25" s="86"/>
      <c r="MA25" s="83"/>
      <c r="MB25" s="83"/>
      <c r="MC25" s="83"/>
      <c r="MD25" s="83"/>
      <c r="ME25" s="84"/>
      <c r="MF25" s="77"/>
      <c r="MG25" s="86"/>
      <c r="MH25" s="83"/>
      <c r="MI25" s="83"/>
      <c r="MJ25" s="83"/>
      <c r="MK25" s="83"/>
      <c r="ML25" s="84"/>
      <c r="MM25" s="77"/>
    </row>
    <row r="26" spans="1:361" ht="16" x14ac:dyDescent="0.2">
      <c r="GS26" s="24" t="s">
        <v>441</v>
      </c>
      <c r="GV26" s="18">
        <f>TTEST(GT3:GT22,GU3:GU22,2,1)</f>
        <v>1.1856829946318285E-3</v>
      </c>
      <c r="GW26" s="21">
        <v>11.3</v>
      </c>
      <c r="HA26" s="18">
        <f>TTEST(GY3:GY22,GZ3:GZ22,2,1)</f>
        <v>2.0121055651056404E-3</v>
      </c>
      <c r="HB26" s="21">
        <v>6.6</v>
      </c>
      <c r="HE26" s="18">
        <f t="shared" ref="HE26:JA26" si="88">TTEST(HC3:HC22,HD3:HD22,2,1)</f>
        <v>2.6173063009851311E-3</v>
      </c>
      <c r="HF26" s="21">
        <v>10.1</v>
      </c>
      <c r="HI26" s="375">
        <f t="shared" si="88"/>
        <v>4.1948260018663182E-5</v>
      </c>
      <c r="HJ26" s="21">
        <v>6.9</v>
      </c>
      <c r="HM26" s="375">
        <f t="shared" si="88"/>
        <v>1.7820736975094428E-5</v>
      </c>
      <c r="HN26" s="21">
        <v>29</v>
      </c>
      <c r="HQ26" s="18">
        <f t="shared" si="88"/>
        <v>1.8232313277018325E-2</v>
      </c>
      <c r="HR26" s="21">
        <v>5.3</v>
      </c>
      <c r="HU26" s="18">
        <f t="shared" si="88"/>
        <v>0.69783725558316734</v>
      </c>
      <c r="HV26" s="21">
        <v>1.3</v>
      </c>
      <c r="HY26" s="18">
        <f t="shared" si="88"/>
        <v>0.84711096848787015</v>
      </c>
      <c r="HZ26" s="21">
        <f>0.5</f>
        <v>0.5</v>
      </c>
      <c r="IC26" s="18">
        <f t="shared" si="88"/>
        <v>0.23921540354834753</v>
      </c>
      <c r="ID26" s="21">
        <v>-0.2</v>
      </c>
      <c r="IG26" s="18">
        <f t="shared" si="88"/>
        <v>0.32628230669866531</v>
      </c>
      <c r="IH26" s="21">
        <v>-0.23</v>
      </c>
      <c r="IK26" s="18">
        <f t="shared" si="88"/>
        <v>0.27528928780675127</v>
      </c>
      <c r="IL26" s="21">
        <v>0.26</v>
      </c>
      <c r="IO26" s="18">
        <f t="shared" si="88"/>
        <v>0.41077497688049114</v>
      </c>
      <c r="IP26" s="21">
        <v>3.2</v>
      </c>
      <c r="IS26" s="18">
        <f t="shared" si="88"/>
        <v>0.44307487180611682</v>
      </c>
      <c r="IT26" s="376">
        <v>1.7</v>
      </c>
      <c r="IW26" s="18">
        <f>TTEST(IU3:IU22,IV3:IV22,2,1)</f>
        <v>0.54088098432447751</v>
      </c>
      <c r="IX26" s="21">
        <v>1.9</v>
      </c>
      <c r="JA26" s="18">
        <f t="shared" si="88"/>
        <v>0.27912749841240536</v>
      </c>
      <c r="JB26" s="21">
        <v>3.3</v>
      </c>
      <c r="JU26" s="158"/>
      <c r="JY26" s="18" t="s">
        <v>217</v>
      </c>
    </row>
    <row r="27" spans="1:361" ht="16" thickBot="1" x14ac:dyDescent="0.25">
      <c r="FQ27" s="18" t="s">
        <v>564</v>
      </c>
      <c r="GK27" s="18" t="s">
        <v>217</v>
      </c>
      <c r="GS27" s="24" t="s">
        <v>557</v>
      </c>
      <c r="GV27" s="18">
        <f>GV26*12</f>
        <v>1.4228195935581941E-2</v>
      </c>
      <c r="GW27" s="21">
        <v>10.7</v>
      </c>
      <c r="HA27" s="18">
        <f>HA26*12</f>
        <v>2.4145266781267685E-2</v>
      </c>
      <c r="HB27" s="21">
        <v>6.7</v>
      </c>
      <c r="HE27" s="18">
        <f>HE26*12</f>
        <v>3.1407675611821576E-2</v>
      </c>
      <c r="HF27" s="21">
        <v>10.8</v>
      </c>
      <c r="HI27" s="18" t="s">
        <v>217</v>
      </c>
      <c r="HJ27" s="21">
        <v>19</v>
      </c>
      <c r="HN27" s="21">
        <v>21</v>
      </c>
      <c r="HQ27" s="18">
        <f>HQ26*12</f>
        <v>0.2187877593242199</v>
      </c>
      <c r="HR27" s="21">
        <v>7.4</v>
      </c>
      <c r="HU27" s="18" t="s">
        <v>217</v>
      </c>
      <c r="HV27" s="21">
        <v>9.5</v>
      </c>
      <c r="HZ27" s="21">
        <v>7</v>
      </c>
      <c r="ID27" s="21">
        <v>6.9</v>
      </c>
      <c r="IE27" s="18" t="s">
        <v>217</v>
      </c>
      <c r="IH27" s="21">
        <v>9</v>
      </c>
      <c r="IL27" s="21">
        <v>8.1</v>
      </c>
      <c r="IN27" s="338"/>
      <c r="IO27" s="138"/>
      <c r="IP27" s="21">
        <v>1.3</v>
      </c>
      <c r="IQ27" s="338"/>
      <c r="IR27" s="138"/>
      <c r="IS27" s="138"/>
      <c r="IT27" s="377">
        <v>6.5</v>
      </c>
      <c r="IU27" s="138"/>
      <c r="IV27" s="138"/>
      <c r="IW27" s="338"/>
      <c r="IX27" s="21">
        <v>9.9</v>
      </c>
      <c r="IY27" s="138"/>
      <c r="IZ27" s="138"/>
      <c r="JA27" s="338"/>
      <c r="JB27" s="21">
        <v>10</v>
      </c>
      <c r="JC27" s="138"/>
      <c r="JD27" s="338"/>
      <c r="JE27" s="138"/>
      <c r="JF27" s="138"/>
      <c r="JG27" s="338"/>
      <c r="JH27" s="138"/>
      <c r="JI27" s="138"/>
      <c r="JJ27" s="338"/>
      <c r="JK27" s="138"/>
      <c r="JY27" s="18" t="s">
        <v>217</v>
      </c>
      <c r="KT27" s="18" t="s">
        <v>217</v>
      </c>
      <c r="KU27" s="18" t="s">
        <v>217</v>
      </c>
    </row>
    <row r="28" spans="1:361" ht="16" thickBot="1" x14ac:dyDescent="0.25">
      <c r="FP28" s="18" t="s">
        <v>257</v>
      </c>
      <c r="FQ28" s="18" t="s">
        <v>563</v>
      </c>
      <c r="FR28" s="146" t="s">
        <v>547</v>
      </c>
      <c r="FS28" s="71" t="s">
        <v>548</v>
      </c>
      <c r="FT28" s="142" t="s">
        <v>549</v>
      </c>
      <c r="FU28" s="147" t="s">
        <v>550</v>
      </c>
      <c r="FV28" s="136" t="s">
        <v>551</v>
      </c>
      <c r="FW28" s="135" t="s">
        <v>552</v>
      </c>
      <c r="FX28" s="148" t="s">
        <v>237</v>
      </c>
      <c r="FY28" s="149" t="s">
        <v>553</v>
      </c>
      <c r="FZ28" s="150" t="s">
        <v>558</v>
      </c>
      <c r="GA28" s="141" t="s">
        <v>556</v>
      </c>
      <c r="GB28" s="143" t="s">
        <v>554</v>
      </c>
      <c r="GC28" s="18" t="s">
        <v>241</v>
      </c>
      <c r="GD28" s="18" t="s">
        <v>242</v>
      </c>
      <c r="GE28" s="18" t="s">
        <v>243</v>
      </c>
      <c r="GF28" s="18" t="s">
        <v>244</v>
      </c>
      <c r="GG28" s="18" t="s">
        <v>245</v>
      </c>
      <c r="GH28" s="18" t="s">
        <v>246</v>
      </c>
      <c r="GI28" s="18" t="s">
        <v>216</v>
      </c>
      <c r="GJ28" s="18" t="s">
        <v>565</v>
      </c>
      <c r="GK28" s="95" t="s">
        <v>256</v>
      </c>
      <c r="GL28" s="95" t="s">
        <v>255</v>
      </c>
      <c r="GM28" s="95" t="s">
        <v>259</v>
      </c>
      <c r="GN28" s="95" t="s">
        <v>258</v>
      </c>
      <c r="GO28" s="95" t="s">
        <v>257</v>
      </c>
      <c r="GP28" s="95" t="s">
        <v>269</v>
      </c>
      <c r="GQ28" s="96"/>
      <c r="GR28" s="95"/>
      <c r="GS28" s="413"/>
      <c r="GT28" s="5"/>
      <c r="GU28" s="5"/>
      <c r="GW28" s="21">
        <f>GW27/SQRT(15)</f>
        <v>2.7627281202946237</v>
      </c>
      <c r="HB28" s="21">
        <f>HB27/SQRT(15)</f>
        <v>1.7299325613059795</v>
      </c>
      <c r="HF28" s="21">
        <f>HF27/SQRT(15)</f>
        <v>2.7885480092693404</v>
      </c>
      <c r="HJ28" s="21">
        <f>HJ27/SQRT(15)</f>
        <v>4.905778905196061</v>
      </c>
      <c r="HN28" s="21">
        <f>HN27/SQRT(15)</f>
        <v>5.4221766846903838</v>
      </c>
      <c r="HQ28" s="18" t="s">
        <v>217</v>
      </c>
      <c r="HR28" s="21">
        <f>HR27/SQRT(15)</f>
        <v>1.9106717841289924</v>
      </c>
      <c r="HV28" s="21">
        <f>HV27/SQRT(15)</f>
        <v>2.4528894525980305</v>
      </c>
      <c r="HZ28" s="21">
        <f>HZ27/SQRT(15)</f>
        <v>1.8073922282301278</v>
      </c>
      <c r="ID28" s="21">
        <f>ID27/SQRT(15)</f>
        <v>1.7815723392554117</v>
      </c>
      <c r="IH28" s="21">
        <f>IH27/SQRT(15)</f>
        <v>2.3237900077244502</v>
      </c>
      <c r="IL28" s="21">
        <f>IL27/SQRT(15)</f>
        <v>2.0914110069520051</v>
      </c>
      <c r="IP28" s="21">
        <f>IP27/SQRT(15)</f>
        <v>0.33565855667130945</v>
      </c>
      <c r="IT28" s="376">
        <f>IT27/SQRT(15)</f>
        <v>1.6782927833565473</v>
      </c>
      <c r="IX28" s="21">
        <f>IX27/SQRT(15)</f>
        <v>2.5561690084968953</v>
      </c>
      <c r="IY28" s="18" t="s">
        <v>217</v>
      </c>
      <c r="JB28" s="21">
        <f>10/SQRT(15)</f>
        <v>2.5819888974716112</v>
      </c>
      <c r="KX28" s="18" t="s">
        <v>217</v>
      </c>
    </row>
    <row r="29" spans="1:361" x14ac:dyDescent="0.2">
      <c r="FP29" s="5">
        <v>6</v>
      </c>
      <c r="FQ29" s="322">
        <v>0</v>
      </c>
      <c r="FR29" s="249">
        <v>0</v>
      </c>
      <c r="FS29" s="250">
        <v>0</v>
      </c>
      <c r="FT29" s="251">
        <v>3.333333445092667E-2</v>
      </c>
      <c r="FU29" s="252">
        <v>4.3333331744000003E-2</v>
      </c>
      <c r="FV29" s="160">
        <v>7.9999998212000004E-2</v>
      </c>
      <c r="FW29" s="253">
        <v>0</v>
      </c>
      <c r="FX29" s="254">
        <v>0</v>
      </c>
      <c r="FY29" s="255">
        <v>7.6666668057299991E-2</v>
      </c>
      <c r="FZ29" s="256">
        <v>0.98666667938233321</v>
      </c>
      <c r="GA29" s="257">
        <v>0.27666666110376664</v>
      </c>
      <c r="GB29" s="258">
        <v>0</v>
      </c>
      <c r="GC29" s="18">
        <v>0</v>
      </c>
      <c r="GD29" s="18">
        <v>9</v>
      </c>
      <c r="GE29" s="18">
        <v>9</v>
      </c>
      <c r="GF29" s="18">
        <v>0</v>
      </c>
      <c r="GG29" s="18">
        <v>1</v>
      </c>
      <c r="GH29" s="18">
        <v>0</v>
      </c>
      <c r="GI29" s="18">
        <v>19</v>
      </c>
      <c r="GJ29" s="101">
        <v>58</v>
      </c>
      <c r="GK29" s="5">
        <v>131</v>
      </c>
      <c r="GL29" s="5">
        <v>80</v>
      </c>
      <c r="GM29" s="5">
        <v>159</v>
      </c>
      <c r="GN29" s="5">
        <v>50</v>
      </c>
      <c r="GO29" s="5">
        <v>161</v>
      </c>
      <c r="GP29" s="5">
        <v>3</v>
      </c>
      <c r="GQ29" s="5"/>
      <c r="GR29" s="5"/>
      <c r="GS29" s="5"/>
      <c r="GU29" s="24"/>
    </row>
    <row r="30" spans="1:361" x14ac:dyDescent="0.2">
      <c r="FP30" s="5">
        <v>-2</v>
      </c>
      <c r="FQ30" s="322">
        <v>2</v>
      </c>
      <c r="FR30" s="259">
        <v>0.40600000000000003</v>
      </c>
      <c r="FS30" s="72">
        <v>0.22666666666666666</v>
      </c>
      <c r="FT30" s="260">
        <v>0.41333333333333327</v>
      </c>
      <c r="FU30" s="261">
        <v>0.37666666666666665</v>
      </c>
      <c r="FV30" s="154">
        <v>0.48333333333333339</v>
      </c>
      <c r="FW30" s="262">
        <v>0.20142857142857146</v>
      </c>
      <c r="FX30" s="263">
        <v>3.8333333333333337E-2</v>
      </c>
      <c r="FY30" s="264">
        <v>0.62</v>
      </c>
      <c r="FZ30" s="265">
        <v>0.55000000000000004</v>
      </c>
      <c r="GA30" s="266">
        <v>0.69</v>
      </c>
      <c r="GB30" s="267">
        <v>0.34</v>
      </c>
      <c r="GC30" s="18">
        <v>6</v>
      </c>
      <c r="GD30" s="18">
        <v>14</v>
      </c>
      <c r="GE30" s="18">
        <v>5</v>
      </c>
      <c r="GF30" s="18">
        <v>-1</v>
      </c>
      <c r="GG30" s="18">
        <v>4</v>
      </c>
      <c r="GH30" s="18">
        <v>1</v>
      </c>
      <c r="GI30" s="18">
        <v>29</v>
      </c>
      <c r="GJ30" s="5">
        <v>42</v>
      </c>
      <c r="GK30" s="5">
        <v>130</v>
      </c>
      <c r="GL30" s="5">
        <v>124</v>
      </c>
      <c r="GM30" s="5">
        <v>125</v>
      </c>
      <c r="GN30" s="5">
        <v>86</v>
      </c>
      <c r="GO30" s="5">
        <v>123</v>
      </c>
      <c r="GP30" s="5">
        <v>1</v>
      </c>
      <c r="GQ30" s="5"/>
      <c r="GR30" s="5"/>
      <c r="GS30" s="5"/>
      <c r="GU30" s="24"/>
    </row>
    <row r="31" spans="1:361" x14ac:dyDescent="0.2">
      <c r="CL31" s="18" t="s">
        <v>217</v>
      </c>
      <c r="FK31" s="5">
        <v>8</v>
      </c>
      <c r="FL31" s="322">
        <v>5</v>
      </c>
      <c r="FM31" s="259">
        <v>0.04</v>
      </c>
      <c r="FN31" s="72">
        <v>0.20000000000000004</v>
      </c>
      <c r="FO31" s="260">
        <v>0.14666666666666667</v>
      </c>
      <c r="FP31" s="261">
        <v>0.28666666666666668</v>
      </c>
      <c r="FQ31" s="154">
        <v>3.3333333333333335E-3</v>
      </c>
      <c r="FR31" s="262">
        <v>0.19285714285714287</v>
      </c>
      <c r="FS31" s="263">
        <v>6.6666666666666666E-2</v>
      </c>
      <c r="FT31" s="264">
        <v>0.06</v>
      </c>
      <c r="FU31" s="265">
        <v>0.21</v>
      </c>
      <c r="FV31" s="266">
        <v>0.20666666666666667</v>
      </c>
      <c r="FW31" s="267">
        <v>0.20333333333333334</v>
      </c>
      <c r="FX31" s="18">
        <v>3</v>
      </c>
      <c r="FY31" s="18">
        <v>8</v>
      </c>
      <c r="FZ31" s="18">
        <v>15</v>
      </c>
      <c r="GA31" s="18">
        <v>0</v>
      </c>
      <c r="GB31" s="18">
        <v>6</v>
      </c>
      <c r="GC31" s="18">
        <v>5</v>
      </c>
      <c r="GD31" s="18">
        <v>37</v>
      </c>
      <c r="GE31" s="5">
        <v>71</v>
      </c>
      <c r="GF31" s="5">
        <v>114</v>
      </c>
      <c r="GG31" s="5">
        <v>117</v>
      </c>
      <c r="GH31" s="5">
        <v>123</v>
      </c>
      <c r="GI31" s="5">
        <v>88</v>
      </c>
      <c r="GJ31" s="5">
        <v>136</v>
      </c>
      <c r="GK31" s="5">
        <v>0</v>
      </c>
      <c r="GL31" s="5">
        <v>35</v>
      </c>
      <c r="GM31" s="5">
        <v>71</v>
      </c>
      <c r="GN31" s="5">
        <v>52</v>
      </c>
      <c r="GO31" s="18">
        <v>28</v>
      </c>
      <c r="GP31" s="24">
        <v>146</v>
      </c>
    </row>
    <row r="32" spans="1:361" ht="16" thickBot="1" x14ac:dyDescent="0.25">
      <c r="FK32" s="5">
        <v>13</v>
      </c>
      <c r="FL32" s="322">
        <v>-4</v>
      </c>
      <c r="FM32" s="259">
        <v>0.83600000441059996</v>
      </c>
      <c r="FN32" s="72">
        <v>0.33333333333333331</v>
      </c>
      <c r="FO32" s="260">
        <v>1</v>
      </c>
      <c r="FP32" s="261">
        <v>0.76333332061766657</v>
      </c>
      <c r="FQ32" s="154">
        <v>0.99333333969100002</v>
      </c>
      <c r="FR32" s="262">
        <v>0.5714285714285714</v>
      </c>
      <c r="FS32" s="263">
        <v>0.48833332614341335</v>
      </c>
      <c r="FT32" s="264">
        <v>0.66999999992549331</v>
      </c>
      <c r="FU32" s="265">
        <v>1</v>
      </c>
      <c r="FV32" s="266">
        <v>0.85999999443700004</v>
      </c>
      <c r="FW32" s="267">
        <v>0.5499999920526667</v>
      </c>
      <c r="FX32" s="18">
        <v>7</v>
      </c>
      <c r="FY32" s="18">
        <v>15</v>
      </c>
      <c r="FZ32" s="18">
        <v>29</v>
      </c>
      <c r="GA32" s="18">
        <v>-1</v>
      </c>
      <c r="GB32" s="18">
        <v>6</v>
      </c>
      <c r="GC32" s="18">
        <v>3</v>
      </c>
      <c r="GD32" s="18">
        <v>59</v>
      </c>
      <c r="GE32" s="5">
        <v>79</v>
      </c>
      <c r="GF32" s="5">
        <v>144</v>
      </c>
      <c r="GG32" s="5">
        <v>81</v>
      </c>
      <c r="GH32" s="5">
        <v>148</v>
      </c>
      <c r="GI32" s="5">
        <v>84</v>
      </c>
      <c r="GJ32" s="5">
        <v>147</v>
      </c>
      <c r="GK32" s="5">
        <v>7</v>
      </c>
      <c r="GL32" s="5">
        <v>35</v>
      </c>
      <c r="GM32" s="5">
        <v>79</v>
      </c>
      <c r="GN32" s="5">
        <v>56</v>
      </c>
      <c r="GO32" s="18">
        <v>39</v>
      </c>
      <c r="GP32" s="24">
        <v>112</v>
      </c>
      <c r="HW32" s="139" t="s">
        <v>521</v>
      </c>
      <c r="HX32" s="139" t="s">
        <v>522</v>
      </c>
      <c r="HY32" s="139" t="s">
        <v>523</v>
      </c>
      <c r="HZ32" s="139" t="s">
        <v>655</v>
      </c>
      <c r="IA32" s="139" t="s">
        <v>310</v>
      </c>
      <c r="IB32" s="139" t="s">
        <v>518</v>
      </c>
      <c r="IC32" s="139" t="s">
        <v>519</v>
      </c>
      <c r="ID32" s="139" t="s">
        <v>656</v>
      </c>
      <c r="IE32" s="139" t="s">
        <v>659</v>
      </c>
      <c r="IF32" s="139" t="s">
        <v>660</v>
      </c>
      <c r="IG32" s="139" t="s">
        <v>520</v>
      </c>
      <c r="IH32" s="139" t="s">
        <v>653</v>
      </c>
      <c r="II32" s="139" t="s">
        <v>654</v>
      </c>
    </row>
    <row r="33" spans="167:272" x14ac:dyDescent="0.2">
      <c r="FK33" s="5">
        <v>2</v>
      </c>
      <c r="FL33" s="322">
        <v>-1</v>
      </c>
      <c r="FM33" s="259">
        <v>0.45199999362238003</v>
      </c>
      <c r="FN33" s="72">
        <v>0.37999999957780001</v>
      </c>
      <c r="FO33" s="260">
        <v>0.48999999463566662</v>
      </c>
      <c r="FP33" s="261">
        <v>0.530000006159</v>
      </c>
      <c r="FQ33" s="154">
        <v>0.69999998807899999</v>
      </c>
      <c r="FR33" s="262">
        <v>0.62571428929071427</v>
      </c>
      <c r="FS33" s="263">
        <v>0.50166667004416665</v>
      </c>
      <c r="FT33" s="264">
        <v>0.93000000715266662</v>
      </c>
      <c r="FU33" s="265">
        <v>0.98333332935966666</v>
      </c>
      <c r="FV33" s="266">
        <v>1</v>
      </c>
      <c r="FW33" s="267">
        <v>0.29666666686533333</v>
      </c>
      <c r="FX33" s="18">
        <v>4</v>
      </c>
      <c r="FY33" s="18">
        <v>15</v>
      </c>
      <c r="FZ33" s="18">
        <v>21</v>
      </c>
      <c r="GA33" s="18">
        <v>1</v>
      </c>
      <c r="GB33" s="18">
        <v>5</v>
      </c>
      <c r="GC33" s="18">
        <v>9</v>
      </c>
      <c r="GD33" s="18">
        <v>55</v>
      </c>
      <c r="GE33" s="5">
        <v>33</v>
      </c>
      <c r="GF33" s="5">
        <v>136</v>
      </c>
      <c r="GG33" s="5">
        <v>137</v>
      </c>
      <c r="GH33" s="5">
        <v>110</v>
      </c>
      <c r="GI33" s="5">
        <v>52</v>
      </c>
      <c r="GJ33" s="5">
        <v>131</v>
      </c>
      <c r="GK33" s="5">
        <v>4</v>
      </c>
      <c r="GL33" s="5">
        <v>27</v>
      </c>
      <c r="GM33" s="5">
        <v>33</v>
      </c>
      <c r="GN33" s="5">
        <v>47</v>
      </c>
      <c r="GO33" s="18">
        <v>53</v>
      </c>
      <c r="GP33" s="24">
        <v>108</v>
      </c>
      <c r="HT33" s="1" t="s">
        <v>665</v>
      </c>
      <c r="HV33" s="161" t="s">
        <v>238</v>
      </c>
      <c r="HW33" s="21">
        <v>11.3</v>
      </c>
      <c r="HX33" s="21">
        <v>6.6</v>
      </c>
      <c r="HY33" s="21">
        <v>10.1</v>
      </c>
      <c r="HZ33" s="21">
        <v>3.2</v>
      </c>
      <c r="IA33" s="21">
        <v>-0.23</v>
      </c>
      <c r="IB33" s="21">
        <v>1.3</v>
      </c>
      <c r="IC33" s="21">
        <v>5.3</v>
      </c>
      <c r="ID33" s="376">
        <v>1.7</v>
      </c>
      <c r="IE33" s="21">
        <v>1.9</v>
      </c>
      <c r="IF33" s="21">
        <v>3.3</v>
      </c>
      <c r="IG33" s="21">
        <v>-0.2</v>
      </c>
      <c r="IH33" s="21">
        <f>0.5</f>
        <v>0.5</v>
      </c>
      <c r="II33" s="21">
        <v>0.26</v>
      </c>
    </row>
    <row r="34" spans="167:272" ht="16" thickBot="1" x14ac:dyDescent="0.25">
      <c r="FK34" s="5">
        <v>-1</v>
      </c>
      <c r="FL34" s="322">
        <v>-1</v>
      </c>
      <c r="FM34" s="259">
        <v>2.1999999999999999E-2</v>
      </c>
      <c r="FN34" s="72">
        <v>0.03</v>
      </c>
      <c r="FO34" s="260">
        <v>3.3333333333333333E-2</v>
      </c>
      <c r="FP34" s="261">
        <v>0.02</v>
      </c>
      <c r="FQ34" s="154">
        <v>0.02</v>
      </c>
      <c r="FR34" s="262">
        <v>0.02</v>
      </c>
      <c r="FS34" s="263">
        <v>2.3333333333333334E-2</v>
      </c>
      <c r="FT34" s="264">
        <v>4.9999999999999996E-2</v>
      </c>
      <c r="FU34" s="265">
        <v>0.02</v>
      </c>
      <c r="FV34" s="266">
        <v>0.02</v>
      </c>
      <c r="FW34" s="267">
        <v>0.02</v>
      </c>
      <c r="FX34" s="18">
        <v>-1</v>
      </c>
      <c r="FY34" s="18">
        <v>4</v>
      </c>
      <c r="FZ34" s="18">
        <v>0</v>
      </c>
      <c r="GA34" s="18">
        <v>0</v>
      </c>
      <c r="GB34" s="18">
        <v>0</v>
      </c>
      <c r="GC34" s="18">
        <v>0</v>
      </c>
      <c r="GD34" s="18">
        <v>3</v>
      </c>
      <c r="GE34" s="5">
        <v>81</v>
      </c>
      <c r="GF34" s="5">
        <v>134</v>
      </c>
      <c r="GG34" s="5">
        <v>106</v>
      </c>
      <c r="GH34" s="5">
        <v>126</v>
      </c>
      <c r="GI34" s="5">
        <v>91</v>
      </c>
      <c r="GJ34" s="5">
        <v>162</v>
      </c>
      <c r="GK34" s="81"/>
      <c r="GL34" s="81"/>
      <c r="GM34" s="5">
        <v>81</v>
      </c>
      <c r="GN34" s="5">
        <v>54</v>
      </c>
      <c r="GO34" s="18">
        <v>37</v>
      </c>
      <c r="GP34" s="24">
        <v>117</v>
      </c>
      <c r="HT34" s="32" t="s">
        <v>230</v>
      </c>
      <c r="HV34" s="161" t="s">
        <v>53</v>
      </c>
      <c r="HW34" s="21">
        <v>10.7</v>
      </c>
      <c r="HX34" s="21">
        <v>6.7</v>
      </c>
      <c r="HY34" s="21">
        <v>10.8</v>
      </c>
      <c r="HZ34" s="21">
        <v>1.3</v>
      </c>
      <c r="IA34" s="21">
        <v>9</v>
      </c>
      <c r="IB34" s="21">
        <v>9.5</v>
      </c>
      <c r="IC34" s="21">
        <v>7.4</v>
      </c>
      <c r="ID34" s="377">
        <v>6.5</v>
      </c>
      <c r="IE34" s="21">
        <v>9.9</v>
      </c>
      <c r="IF34" s="21">
        <v>10</v>
      </c>
      <c r="IG34" s="21">
        <v>6.9</v>
      </c>
      <c r="IH34" s="21">
        <v>7</v>
      </c>
      <c r="II34" s="21">
        <v>8.1</v>
      </c>
    </row>
    <row r="35" spans="167:272" ht="16" thickBot="1" x14ac:dyDescent="0.25">
      <c r="FK35" s="5">
        <v>9</v>
      </c>
      <c r="FL35" s="322">
        <v>3</v>
      </c>
      <c r="FM35" s="259">
        <v>0.79600000000000004</v>
      </c>
      <c r="FN35" s="72">
        <v>0.33666666666666667</v>
      </c>
      <c r="FO35" s="260">
        <v>0.83333333333333337</v>
      </c>
      <c r="FP35" s="261">
        <v>0.36000000000000004</v>
      </c>
      <c r="FQ35" s="154">
        <v>0.48</v>
      </c>
      <c r="FR35" s="262">
        <v>6.5714285714285711E-2</v>
      </c>
      <c r="FS35" s="263">
        <v>0.02</v>
      </c>
      <c r="FT35" s="264">
        <v>0.98999999999999988</v>
      </c>
      <c r="FU35" s="265">
        <v>0.94</v>
      </c>
      <c r="FV35" s="266">
        <v>0.18666666666666668</v>
      </c>
      <c r="FW35" s="267">
        <v>0.53333333333333333</v>
      </c>
      <c r="FX35" s="18">
        <v>6</v>
      </c>
      <c r="FY35" s="18">
        <v>2</v>
      </c>
      <c r="FZ35" s="18">
        <v>6</v>
      </c>
      <c r="GA35" s="18">
        <v>-2</v>
      </c>
      <c r="GB35" s="18">
        <v>1</v>
      </c>
      <c r="GC35" s="18">
        <v>0</v>
      </c>
      <c r="GD35" s="18">
        <v>13</v>
      </c>
      <c r="GE35" s="5">
        <v>77</v>
      </c>
      <c r="GF35" s="5">
        <v>112</v>
      </c>
      <c r="GG35" s="5">
        <v>79</v>
      </c>
      <c r="GH35" s="5">
        <v>119</v>
      </c>
      <c r="GI35" s="5">
        <v>70</v>
      </c>
      <c r="GJ35" s="5">
        <v>135</v>
      </c>
      <c r="GK35" s="5">
        <v>10</v>
      </c>
      <c r="GL35" s="5">
        <v>33</v>
      </c>
      <c r="GM35" s="5">
        <v>77</v>
      </c>
      <c r="GN35" s="5">
        <v>53</v>
      </c>
      <c r="GO35" s="18">
        <v>38</v>
      </c>
      <c r="GP35" s="18">
        <v>79</v>
      </c>
      <c r="HV35" s="163" t="s">
        <v>54</v>
      </c>
      <c r="HW35" s="21">
        <v>2.7627281202946237</v>
      </c>
      <c r="HX35" s="21">
        <v>1.7299325613059795</v>
      </c>
      <c r="HY35" s="21">
        <v>2.7885480092693404</v>
      </c>
      <c r="HZ35" s="21">
        <f>HZ34/SQRT(15)</f>
        <v>0.33565855667130945</v>
      </c>
      <c r="IA35" s="21">
        <v>2.3237900077244502</v>
      </c>
      <c r="IB35" s="21">
        <f>IB34/SQRT(15)</f>
        <v>2.4528894525980305</v>
      </c>
      <c r="IC35" s="21">
        <f>IC34/SQRT(15)</f>
        <v>1.9106717841289924</v>
      </c>
      <c r="ID35" s="376">
        <f>ID34/SQRT(15)</f>
        <v>1.6782927833565473</v>
      </c>
      <c r="IE35" s="21">
        <f>IE34/SQRT(15)</f>
        <v>2.5561690084968953</v>
      </c>
      <c r="IF35" s="21">
        <v>2.5819888974716112</v>
      </c>
      <c r="IG35" s="21">
        <f>IG34/SQRT(15)</f>
        <v>1.7815723392554117</v>
      </c>
      <c r="IH35" s="21">
        <f>IH34/SQRT(15)</f>
        <v>1.8073922282301278</v>
      </c>
      <c r="II35" s="21">
        <f>II34/SQRT(15)</f>
        <v>2.0914110069520051</v>
      </c>
    </row>
    <row r="36" spans="167:272" ht="16" thickBot="1" x14ac:dyDescent="0.25">
      <c r="FK36" s="5">
        <v>1</v>
      </c>
      <c r="FL36" s="322">
        <v>0</v>
      </c>
      <c r="FM36" s="259">
        <v>0.18800000020000002</v>
      </c>
      <c r="FN36" s="72">
        <v>6.6666666666666671E-3</v>
      </c>
      <c r="FO36" s="260">
        <v>0.29000000133333331</v>
      </c>
      <c r="FP36" s="261">
        <v>0.52999999133333331</v>
      </c>
      <c r="FQ36" s="154">
        <v>0.66666666666666663</v>
      </c>
      <c r="FR36" s="262">
        <v>2.4285714571428575E-2</v>
      </c>
      <c r="FS36" s="263">
        <v>0</v>
      </c>
      <c r="FT36" s="264">
        <v>0.45333333799999997</v>
      </c>
      <c r="FU36" s="265">
        <v>1</v>
      </c>
      <c r="FV36" s="266">
        <v>0.72999999933333337</v>
      </c>
      <c r="FW36" s="267">
        <v>0.54000000166666673</v>
      </c>
      <c r="FX36" s="18">
        <v>2</v>
      </c>
      <c r="FY36" s="18">
        <v>7</v>
      </c>
      <c r="FZ36" s="18">
        <v>9</v>
      </c>
      <c r="GA36" s="18">
        <v>1</v>
      </c>
      <c r="GB36" s="18">
        <v>2</v>
      </c>
      <c r="GC36" s="18">
        <v>0</v>
      </c>
      <c r="GD36" s="18">
        <v>21</v>
      </c>
      <c r="GE36" s="5">
        <v>59</v>
      </c>
      <c r="GF36" s="5">
        <v>160</v>
      </c>
      <c r="GG36" s="5">
        <v>72</v>
      </c>
      <c r="GH36" s="5">
        <v>92</v>
      </c>
      <c r="GI36" s="5">
        <v>61</v>
      </c>
      <c r="GJ36" s="5">
        <v>166</v>
      </c>
      <c r="GK36" s="5">
        <v>1</v>
      </c>
      <c r="GL36" s="5">
        <v>26</v>
      </c>
      <c r="GM36" s="5">
        <v>59</v>
      </c>
      <c r="GN36" s="5">
        <v>54</v>
      </c>
      <c r="GO36" s="18">
        <v>25</v>
      </c>
      <c r="GP36" s="24">
        <v>117</v>
      </c>
      <c r="IQ36" s="4"/>
      <c r="JL36" s="18" t="s">
        <v>217</v>
      </c>
    </row>
    <row r="37" spans="167:272" x14ac:dyDescent="0.2">
      <c r="FK37" s="5">
        <v>10</v>
      </c>
      <c r="FL37" s="322">
        <v>2</v>
      </c>
      <c r="FM37" s="259">
        <v>0.16200000000000001</v>
      </c>
      <c r="FN37" s="72">
        <v>0.10666666666666667</v>
      </c>
      <c r="FO37" s="260">
        <v>0.11333333333333333</v>
      </c>
      <c r="FP37" s="261">
        <v>7.0000000000000007E-2</v>
      </c>
      <c r="FQ37" s="154">
        <v>0.67333333333333334</v>
      </c>
      <c r="FR37" s="262">
        <v>0.63428571428571423</v>
      </c>
      <c r="FS37" s="263">
        <v>0.25333333333333335</v>
      </c>
      <c r="FT37" s="264">
        <v>0.42333333333333334</v>
      </c>
      <c r="FU37" s="265">
        <v>0.96333333333333326</v>
      </c>
      <c r="FV37" s="266">
        <v>0.03</v>
      </c>
      <c r="FW37" s="267">
        <v>0.15666666666666665</v>
      </c>
      <c r="FX37" s="18">
        <v>2</v>
      </c>
      <c r="FY37" s="18">
        <v>7</v>
      </c>
      <c r="FZ37" s="18">
        <v>22</v>
      </c>
      <c r="GA37" s="18">
        <v>-4</v>
      </c>
      <c r="GB37" s="18">
        <v>8</v>
      </c>
      <c r="GC37" s="18">
        <v>2</v>
      </c>
      <c r="GD37" s="18">
        <v>37</v>
      </c>
      <c r="GE37" s="5">
        <v>19</v>
      </c>
      <c r="GF37" s="5">
        <v>106</v>
      </c>
      <c r="GG37" s="5">
        <v>118</v>
      </c>
      <c r="GH37" s="5">
        <v>101</v>
      </c>
      <c r="GI37" s="5">
        <v>78</v>
      </c>
      <c r="GJ37" s="5">
        <v>109</v>
      </c>
      <c r="GK37" s="5">
        <v>5</v>
      </c>
      <c r="GL37" s="5">
        <v>29</v>
      </c>
      <c r="GM37" s="5">
        <v>19</v>
      </c>
      <c r="GN37" s="5">
        <v>44</v>
      </c>
      <c r="GO37" s="18">
        <v>40</v>
      </c>
      <c r="GP37" s="24">
        <v>118</v>
      </c>
    </row>
    <row r="38" spans="167:272" x14ac:dyDescent="0.2">
      <c r="FK38" s="5">
        <v>1</v>
      </c>
      <c r="FL38" s="322">
        <v>2</v>
      </c>
      <c r="FM38" s="259">
        <v>8.7999998400000001E-2</v>
      </c>
      <c r="FN38" s="72">
        <v>0.16999999933333335</v>
      </c>
      <c r="FO38" s="260">
        <v>0.19333333266666666</v>
      </c>
      <c r="FP38" s="261">
        <v>5.0000000999999995E-2</v>
      </c>
      <c r="FQ38" s="154">
        <v>0</v>
      </c>
      <c r="FR38" s="262">
        <v>0.11000000057142857</v>
      </c>
      <c r="FS38" s="263">
        <v>2.4999999666666672E-2</v>
      </c>
      <c r="FT38" s="264">
        <v>0.1766666733333333</v>
      </c>
      <c r="FU38" s="265">
        <v>0.56000000233333325</v>
      </c>
      <c r="FV38" s="266">
        <v>5.9999999333333331E-2</v>
      </c>
      <c r="FW38" s="267">
        <v>4.3333333666666668E-2</v>
      </c>
      <c r="FX38" s="18">
        <v>3</v>
      </c>
      <c r="FY38" s="18">
        <v>4</v>
      </c>
      <c r="FZ38" s="18">
        <v>9</v>
      </c>
      <c r="GA38" s="18">
        <v>-1</v>
      </c>
      <c r="GB38" s="18">
        <v>0</v>
      </c>
      <c r="GC38" s="18">
        <v>1</v>
      </c>
      <c r="GD38" s="18">
        <v>16</v>
      </c>
      <c r="GE38" s="5">
        <v>75</v>
      </c>
      <c r="GF38" s="5">
        <v>124</v>
      </c>
      <c r="GG38" s="5">
        <v>123</v>
      </c>
      <c r="GH38" s="5">
        <v>108</v>
      </c>
      <c r="GI38" s="5">
        <v>82</v>
      </c>
      <c r="GJ38" s="5">
        <v>135</v>
      </c>
      <c r="GK38" s="5">
        <v>8</v>
      </c>
      <c r="GL38" s="5">
        <v>28</v>
      </c>
      <c r="GM38" s="5">
        <v>75</v>
      </c>
      <c r="GN38" s="5">
        <v>49</v>
      </c>
      <c r="GO38" s="18">
        <v>52</v>
      </c>
      <c r="GP38" s="24">
        <v>145</v>
      </c>
      <c r="HT38" s="18" t="s">
        <v>661</v>
      </c>
      <c r="HV38" s="18" t="s">
        <v>662</v>
      </c>
      <c r="HW38" s="139" t="s">
        <v>521</v>
      </c>
      <c r="HX38" s="139" t="s">
        <v>522</v>
      </c>
      <c r="HY38" s="139" t="s">
        <v>523</v>
      </c>
      <c r="HZ38" s="139" t="s">
        <v>655</v>
      </c>
      <c r="IA38" s="139" t="s">
        <v>310</v>
      </c>
      <c r="IB38" s="139" t="s">
        <v>518</v>
      </c>
      <c r="IC38" s="139" t="s">
        <v>519</v>
      </c>
      <c r="ID38" s="139" t="s">
        <v>656</v>
      </c>
      <c r="IE38" s="139" t="s">
        <v>659</v>
      </c>
      <c r="IF38" s="139" t="s">
        <v>660</v>
      </c>
      <c r="IG38" s="139" t="s">
        <v>520</v>
      </c>
      <c r="IH38" s="139" t="s">
        <v>653</v>
      </c>
      <c r="II38" s="139" t="s">
        <v>654</v>
      </c>
    </row>
    <row r="39" spans="167:272" x14ac:dyDescent="0.2">
      <c r="FK39" s="5">
        <v>2</v>
      </c>
      <c r="FL39" s="322">
        <v>0</v>
      </c>
      <c r="FM39" s="259">
        <v>0.16799999999999998</v>
      </c>
      <c r="FN39" s="72">
        <v>0</v>
      </c>
      <c r="FO39" s="260">
        <v>0</v>
      </c>
      <c r="FP39" s="261">
        <v>1.3333333333333334E-2</v>
      </c>
      <c r="FQ39" s="154">
        <v>0</v>
      </c>
      <c r="FR39" s="262">
        <v>9.4285714285714278E-2</v>
      </c>
      <c r="FS39" s="263">
        <v>0</v>
      </c>
      <c r="FT39" s="264">
        <v>0.48</v>
      </c>
      <c r="FU39" s="265">
        <v>1</v>
      </c>
      <c r="FV39" s="266">
        <v>1</v>
      </c>
      <c r="FW39" s="267">
        <v>0</v>
      </c>
      <c r="FX39" s="18">
        <v>-2</v>
      </c>
      <c r="FY39" s="18">
        <v>1</v>
      </c>
      <c r="FZ39" s="18">
        <v>4</v>
      </c>
      <c r="GA39" s="18">
        <v>1</v>
      </c>
      <c r="GB39" s="18">
        <v>2</v>
      </c>
      <c r="GC39" s="18">
        <v>0</v>
      </c>
      <c r="GD39" s="18">
        <v>6</v>
      </c>
      <c r="GE39" s="5">
        <v>49</v>
      </c>
      <c r="GF39" s="5">
        <v>126</v>
      </c>
      <c r="GG39" s="5">
        <v>121</v>
      </c>
      <c r="GH39" s="5">
        <v>142</v>
      </c>
      <c r="GI39" s="5">
        <v>79</v>
      </c>
      <c r="GJ39" s="5">
        <v>148</v>
      </c>
      <c r="GK39" s="5">
        <v>3</v>
      </c>
      <c r="GL39" s="5">
        <v>23</v>
      </c>
      <c r="GM39" s="5">
        <v>49</v>
      </c>
      <c r="GN39" s="5">
        <v>56</v>
      </c>
      <c r="GO39" s="18">
        <v>30</v>
      </c>
      <c r="GP39" s="79">
        <v>103</v>
      </c>
      <c r="HW39" s="21">
        <v>-0.35529889394031439</v>
      </c>
      <c r="HX39" s="21">
        <v>-0.29211373916045386</v>
      </c>
      <c r="HY39" s="21">
        <v>-0.21518479080140895</v>
      </c>
      <c r="HZ39" s="21">
        <v>-8.699872278311585E-2</v>
      </c>
      <c r="IA39" s="21">
        <v>-0.31808036443073923</v>
      </c>
      <c r="IB39" s="21">
        <v>-0.26075867745036507</v>
      </c>
      <c r="IC39" s="21">
        <v>-0.25813865717952023</v>
      </c>
      <c r="ID39" s="21">
        <v>-0.26087848142586018</v>
      </c>
      <c r="IE39" s="21">
        <v>-0.12715449255611508</v>
      </c>
      <c r="IF39" s="21">
        <v>-0.16817898183040944</v>
      </c>
      <c r="IG39" s="21">
        <v>-0.22070171368961619</v>
      </c>
      <c r="IH39" s="21">
        <v>-0.14831486217372353</v>
      </c>
      <c r="II39" s="21">
        <v>-0.27658289021075461</v>
      </c>
      <c r="IJ39" s="18">
        <f>AVERAGE(HW39:IH39)</f>
        <v>-0.2259835314518035</v>
      </c>
    </row>
    <row r="40" spans="167:272" x14ac:dyDescent="0.2">
      <c r="FK40" s="5">
        <v>-1</v>
      </c>
      <c r="FL40" s="322">
        <v>2</v>
      </c>
      <c r="FM40" s="259">
        <v>0.22399999722841998</v>
      </c>
      <c r="FN40" s="72">
        <v>0.34333332690082669</v>
      </c>
      <c r="FO40" s="260">
        <v>0.23666665578900001</v>
      </c>
      <c r="FP40" s="261">
        <v>0.45999999841066669</v>
      </c>
      <c r="FQ40" s="154">
        <v>0</v>
      </c>
      <c r="FR40" s="262">
        <v>0.32714286313521146</v>
      </c>
      <c r="FS40" s="263">
        <v>0.26333333024150002</v>
      </c>
      <c r="FT40" s="264">
        <v>0.78666667143500002</v>
      </c>
      <c r="FU40" s="265">
        <v>0.85666666428233329</v>
      </c>
      <c r="FV40" s="266">
        <v>0.91666664679833332</v>
      </c>
      <c r="FW40" s="267">
        <v>0.26000000039733334</v>
      </c>
      <c r="FX40" s="18">
        <v>9</v>
      </c>
      <c r="FY40" s="18">
        <v>12</v>
      </c>
      <c r="FZ40" s="18">
        <v>14</v>
      </c>
      <c r="GA40" s="18">
        <v>0</v>
      </c>
      <c r="GB40" s="18">
        <v>10</v>
      </c>
      <c r="GC40" s="18">
        <v>8</v>
      </c>
      <c r="GD40" s="18">
        <v>53</v>
      </c>
      <c r="GE40" s="5">
        <v>56</v>
      </c>
      <c r="GF40" s="5">
        <v>110</v>
      </c>
      <c r="GG40" s="5">
        <v>106</v>
      </c>
      <c r="GH40" s="5">
        <v>110</v>
      </c>
      <c r="GI40" s="5">
        <v>94</v>
      </c>
      <c r="GJ40" s="5">
        <v>130</v>
      </c>
      <c r="GK40" s="5">
        <v>6</v>
      </c>
      <c r="GL40" s="5">
        <v>29</v>
      </c>
      <c r="GM40" s="5">
        <v>56</v>
      </c>
      <c r="GN40" s="5">
        <v>48</v>
      </c>
      <c r="GO40" s="18">
        <v>32</v>
      </c>
      <c r="GP40" s="24">
        <v>123</v>
      </c>
      <c r="HW40" s="18">
        <v>0.17107982432297858</v>
      </c>
      <c r="HX40" s="18">
        <v>0.13303820659874332</v>
      </c>
      <c r="HY40" s="18">
        <v>0.18980335174083621</v>
      </c>
      <c r="HZ40" s="18">
        <v>0.19906037068424953</v>
      </c>
      <c r="IA40" s="18">
        <v>0.19814481970533399</v>
      </c>
      <c r="IB40" s="18">
        <v>0.13231735442185522</v>
      </c>
      <c r="IC40" s="18">
        <v>0.17718560829347796</v>
      </c>
      <c r="ID40" s="18">
        <v>0.12322286173249333</v>
      </c>
      <c r="IE40" s="18">
        <v>0.16607899972969012</v>
      </c>
      <c r="IF40" s="18">
        <v>0.2380334141166888</v>
      </c>
      <c r="IG40" s="18">
        <v>0.17555826339042233</v>
      </c>
      <c r="IH40" s="18">
        <v>0.12787750193833866</v>
      </c>
      <c r="II40" s="18">
        <v>0.15640026672116597</v>
      </c>
    </row>
    <row r="41" spans="167:272" ht="16" thickBot="1" x14ac:dyDescent="0.25">
      <c r="FK41" s="5">
        <v>-6</v>
      </c>
      <c r="FL41" s="322">
        <v>1</v>
      </c>
      <c r="FM41" s="259">
        <v>0.83199999928480006</v>
      </c>
      <c r="FN41" s="72">
        <v>0.82666665315633336</v>
      </c>
      <c r="FO41" s="260">
        <v>0.85333331425966674</v>
      </c>
      <c r="FP41" s="261">
        <v>0.71999998887399996</v>
      </c>
      <c r="FQ41" s="154">
        <v>0.41666666666666669</v>
      </c>
      <c r="FR41" s="262">
        <v>0.11428571439214287</v>
      </c>
      <c r="FS41" s="263">
        <v>0.1899999997889</v>
      </c>
      <c r="FT41" s="264">
        <v>0.47000000377500001</v>
      </c>
      <c r="FU41" s="265">
        <v>0.98666667938233343</v>
      </c>
      <c r="FV41" s="266">
        <v>0.98000001907333323</v>
      </c>
      <c r="FW41" s="267">
        <v>0.44000001003329997</v>
      </c>
      <c r="FX41" s="18">
        <v>9</v>
      </c>
      <c r="FY41" s="18">
        <v>18</v>
      </c>
      <c r="FZ41" s="18">
        <v>11</v>
      </c>
      <c r="GA41" s="18">
        <v>-1</v>
      </c>
      <c r="GB41" s="18">
        <v>8</v>
      </c>
      <c r="GC41" s="18">
        <v>1</v>
      </c>
      <c r="GD41" s="18">
        <v>46</v>
      </c>
      <c r="GE41" s="5">
        <v>44</v>
      </c>
      <c r="GF41" s="5">
        <v>121</v>
      </c>
      <c r="GG41" s="5">
        <v>109</v>
      </c>
      <c r="GH41" s="5">
        <v>111</v>
      </c>
      <c r="GI41" s="5">
        <v>49</v>
      </c>
      <c r="GJ41" s="5">
        <v>156</v>
      </c>
      <c r="GK41" s="5">
        <v>1</v>
      </c>
      <c r="GL41" s="5">
        <v>26</v>
      </c>
      <c r="GM41" s="5">
        <v>44</v>
      </c>
      <c r="GN41" s="5">
        <v>43</v>
      </c>
      <c r="GO41" s="18">
        <v>34</v>
      </c>
      <c r="GP41" s="24">
        <v>111</v>
      </c>
      <c r="HW41" s="18">
        <v>4.4172620698332436E-2</v>
      </c>
      <c r="HX41" s="18">
        <v>3.4350317237748972E-2</v>
      </c>
      <c r="HY41" s="18">
        <v>4.9007014689773809E-2</v>
      </c>
      <c r="HZ41" s="18">
        <v>5.1397166703331568E-2</v>
      </c>
      <c r="IA41" s="18">
        <v>5.1160772457068647E-2</v>
      </c>
      <c r="IB41" s="18">
        <v>3.4164194006004636E-2</v>
      </c>
      <c r="IC41" s="18">
        <v>4.5749127340551393E-2</v>
      </c>
      <c r="ID41" s="18">
        <v>3.1816006090797724E-2</v>
      </c>
      <c r="IE41" s="18">
        <v>4.288141334052506E-2</v>
      </c>
      <c r="IF41" s="18">
        <v>6.1459963247655278E-2</v>
      </c>
      <c r="IG41" s="18">
        <v>4.5328948693346728E-2</v>
      </c>
      <c r="IH41" s="18">
        <v>3.3017829024119483E-2</v>
      </c>
      <c r="II41" s="18">
        <v>4.0382375223564922E-2</v>
      </c>
    </row>
    <row r="42" spans="167:272" x14ac:dyDescent="0.2">
      <c r="FK42" s="5">
        <v>12</v>
      </c>
      <c r="FL42" s="322">
        <v>4</v>
      </c>
      <c r="FM42" s="259">
        <v>0.24000000159999998</v>
      </c>
      <c r="FN42" s="72">
        <v>9.6666668999999997E-2</v>
      </c>
      <c r="FO42" s="260">
        <v>0.249999999</v>
      </c>
      <c r="FP42" s="261">
        <v>0.24666666733333331</v>
      </c>
      <c r="FQ42" s="154">
        <v>0.50333332999999991</v>
      </c>
      <c r="FR42" s="262">
        <v>0.34571428385714287</v>
      </c>
      <c r="FS42" s="263">
        <v>0.14166666983333334</v>
      </c>
      <c r="FT42" s="264">
        <v>0.45000000299999998</v>
      </c>
      <c r="FU42" s="265">
        <v>0.61333334433333331</v>
      </c>
      <c r="FV42" s="266">
        <v>0.34000000866666663</v>
      </c>
      <c r="FW42" s="267">
        <v>0.15666666600000001</v>
      </c>
      <c r="FX42" s="18">
        <v>7</v>
      </c>
      <c r="FY42" s="18">
        <v>6</v>
      </c>
      <c r="FZ42" s="18">
        <v>22</v>
      </c>
      <c r="GA42" s="18">
        <v>1</v>
      </c>
      <c r="GB42" s="18">
        <v>3</v>
      </c>
      <c r="GC42" s="18">
        <v>14</v>
      </c>
      <c r="GD42" s="18">
        <v>53</v>
      </c>
      <c r="GE42" s="5">
        <v>63</v>
      </c>
      <c r="GF42" s="5">
        <v>127</v>
      </c>
      <c r="GG42" s="5">
        <v>128</v>
      </c>
      <c r="GH42" s="5">
        <v>115</v>
      </c>
      <c r="GI42" s="5">
        <v>93</v>
      </c>
      <c r="GJ42" s="5">
        <v>130</v>
      </c>
      <c r="GK42" s="5">
        <v>6</v>
      </c>
      <c r="GL42" s="5">
        <v>38</v>
      </c>
      <c r="GM42" s="5">
        <v>63</v>
      </c>
      <c r="GN42" s="5">
        <v>44</v>
      </c>
      <c r="GO42" s="18">
        <v>35</v>
      </c>
      <c r="GP42" s="24">
        <v>124</v>
      </c>
      <c r="HT42" s="100" t="s">
        <v>661</v>
      </c>
      <c r="HU42" s="101" t="b">
        <v>1</v>
      </c>
      <c r="HV42" s="101" t="s">
        <v>230</v>
      </c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2"/>
      <c r="IM42" s="18" t="s">
        <v>217</v>
      </c>
    </row>
    <row r="43" spans="167:272" x14ac:dyDescent="0.2">
      <c r="FK43" s="5">
        <v>-16</v>
      </c>
      <c r="FL43" s="322">
        <v>0</v>
      </c>
      <c r="FM43" s="259">
        <v>0.28999999459999998</v>
      </c>
      <c r="FN43" s="72">
        <v>0.25</v>
      </c>
      <c r="FO43" s="260">
        <v>0.33333333333333331</v>
      </c>
      <c r="FP43" s="261">
        <v>0.52333333133333337</v>
      </c>
      <c r="FQ43" s="154">
        <v>0.21333334100000001</v>
      </c>
      <c r="FR43" s="262">
        <v>0.13714286042857141</v>
      </c>
      <c r="FS43" s="263">
        <v>0.141666667</v>
      </c>
      <c r="FT43" s="264">
        <v>0.60333332433333331</v>
      </c>
      <c r="FU43" s="265">
        <v>0.5666666726666667</v>
      </c>
      <c r="FV43" s="266">
        <v>0.42333333333333334</v>
      </c>
      <c r="FW43" s="267">
        <v>0.36999999499999997</v>
      </c>
      <c r="FX43" s="18">
        <v>2</v>
      </c>
      <c r="FY43" s="18">
        <v>7</v>
      </c>
      <c r="FZ43" s="18">
        <v>9</v>
      </c>
      <c r="GA43" s="18">
        <v>-4</v>
      </c>
      <c r="GB43" s="18">
        <v>1</v>
      </c>
      <c r="GC43" s="18">
        <v>0</v>
      </c>
      <c r="GD43" s="18">
        <v>15</v>
      </c>
      <c r="GE43" s="5">
        <v>55</v>
      </c>
      <c r="GF43" s="5">
        <v>103</v>
      </c>
      <c r="GG43" s="5">
        <v>90</v>
      </c>
      <c r="GH43" s="5">
        <v>127</v>
      </c>
      <c r="GI43" s="5">
        <v>52</v>
      </c>
      <c r="GJ43" s="5">
        <v>128</v>
      </c>
      <c r="GK43" s="5">
        <v>0</v>
      </c>
      <c r="GL43" s="5">
        <v>24</v>
      </c>
      <c r="GM43" s="5">
        <v>55</v>
      </c>
      <c r="GN43" s="5">
        <v>42</v>
      </c>
      <c r="GO43" s="18">
        <v>27</v>
      </c>
      <c r="GP43" s="24">
        <v>83</v>
      </c>
      <c r="HT43" s="68"/>
      <c r="HU43" s="5"/>
      <c r="HV43" s="5" t="s">
        <v>238</v>
      </c>
      <c r="HW43" s="5">
        <f>HW39*100</f>
        <v>-35.529889394031436</v>
      </c>
      <c r="HX43" s="5">
        <f t="shared" ref="HX43:II43" si="89">HX39*100</f>
        <v>-29.211373916045385</v>
      </c>
      <c r="HY43" s="5">
        <f t="shared" si="89"/>
        <v>-21.518479080140896</v>
      </c>
      <c r="HZ43" s="5">
        <f t="shared" si="89"/>
        <v>-8.6998722783115845</v>
      </c>
      <c r="IA43" s="5">
        <f t="shared" si="89"/>
        <v>-31.808036443073924</v>
      </c>
      <c r="IB43" s="5">
        <f t="shared" si="89"/>
        <v>-26.075867745036508</v>
      </c>
      <c r="IC43" s="5">
        <f t="shared" si="89"/>
        <v>-25.813865717952023</v>
      </c>
      <c r="ID43" s="5">
        <f t="shared" si="89"/>
        <v>-26.087848142586019</v>
      </c>
      <c r="IE43" s="5">
        <f t="shared" si="89"/>
        <v>-12.715449255611508</v>
      </c>
      <c r="IF43" s="5">
        <f t="shared" si="89"/>
        <v>-16.817898183040946</v>
      </c>
      <c r="IG43" s="5">
        <f t="shared" si="89"/>
        <v>-22.070171368961621</v>
      </c>
      <c r="IH43" s="5">
        <f t="shared" si="89"/>
        <v>-14.831486217372353</v>
      </c>
      <c r="II43" s="80">
        <f t="shared" si="89"/>
        <v>-27.658289021075461</v>
      </c>
    </row>
    <row r="44" spans="167:272" ht="16" thickBot="1" x14ac:dyDescent="0.25">
      <c r="FK44" s="5">
        <v>0</v>
      </c>
      <c r="FL44" s="322">
        <v>4</v>
      </c>
      <c r="FM44" s="259">
        <v>0.76000000219999997</v>
      </c>
      <c r="FN44" s="72">
        <v>0.75666667033333335</v>
      </c>
      <c r="FO44" s="260">
        <v>1</v>
      </c>
      <c r="FP44" s="261">
        <v>0.58666665833333331</v>
      </c>
      <c r="FQ44" s="154">
        <v>0.43666666633333334</v>
      </c>
      <c r="FR44" s="262">
        <v>0.20428571428571426</v>
      </c>
      <c r="FS44" s="263">
        <v>1.9999999666666667E-2</v>
      </c>
      <c r="FT44" s="264">
        <v>0.81333333266666674</v>
      </c>
      <c r="FU44" s="265">
        <v>1</v>
      </c>
      <c r="FV44" s="266">
        <v>0.82000000266666662</v>
      </c>
      <c r="FW44" s="267">
        <v>0.65999999133333331</v>
      </c>
      <c r="FX44" s="18">
        <v>8</v>
      </c>
      <c r="FY44" s="18">
        <v>9</v>
      </c>
      <c r="FZ44" s="18">
        <v>19</v>
      </c>
      <c r="GA44" s="18">
        <v>2</v>
      </c>
      <c r="GB44" s="18">
        <v>8</v>
      </c>
      <c r="GC44" s="18">
        <v>0</v>
      </c>
      <c r="GD44" s="18">
        <v>46</v>
      </c>
      <c r="GE44" s="5">
        <v>89</v>
      </c>
      <c r="GF44" s="5">
        <v>120</v>
      </c>
      <c r="GG44" s="5">
        <v>121</v>
      </c>
      <c r="GH44" s="5">
        <v>125</v>
      </c>
      <c r="GI44" s="5">
        <v>58</v>
      </c>
      <c r="GJ44" s="5">
        <v>152</v>
      </c>
      <c r="GK44" s="5">
        <v>1</v>
      </c>
      <c r="GL44" s="5">
        <v>27</v>
      </c>
      <c r="GM44" s="5">
        <v>89</v>
      </c>
      <c r="GN44" s="5">
        <v>48</v>
      </c>
      <c r="GO44" s="18">
        <v>31</v>
      </c>
      <c r="GP44" s="24">
        <v>86</v>
      </c>
      <c r="HT44" s="86"/>
      <c r="HU44" s="83"/>
      <c r="HV44" s="83" t="s">
        <v>54</v>
      </c>
      <c r="HW44" s="83">
        <f>HW41*100</f>
        <v>4.4172620698332432</v>
      </c>
      <c r="HX44" s="83">
        <f t="shared" ref="HX44:II44" si="90">HX41*100</f>
        <v>3.4350317237748973</v>
      </c>
      <c r="HY44" s="83">
        <f t="shared" si="90"/>
        <v>4.9007014689773811</v>
      </c>
      <c r="HZ44" s="83">
        <f t="shared" si="90"/>
        <v>5.1397166703331569</v>
      </c>
      <c r="IA44" s="83">
        <f t="shared" si="90"/>
        <v>5.1160772457068644</v>
      </c>
      <c r="IB44" s="83">
        <f t="shared" si="90"/>
        <v>3.4164194006004638</v>
      </c>
      <c r="IC44" s="83">
        <f t="shared" si="90"/>
        <v>4.5749127340551397</v>
      </c>
      <c r="ID44" s="83">
        <f t="shared" si="90"/>
        <v>3.1816006090797724</v>
      </c>
      <c r="IE44" s="83">
        <f t="shared" si="90"/>
        <v>4.2881413340525061</v>
      </c>
      <c r="IF44" s="83">
        <f t="shared" si="90"/>
        <v>6.1459963247655276</v>
      </c>
      <c r="IG44" s="83">
        <f t="shared" si="90"/>
        <v>4.5328948693346724</v>
      </c>
      <c r="IH44" s="83">
        <f t="shared" si="90"/>
        <v>3.3017829024119481</v>
      </c>
      <c r="II44" s="84">
        <f t="shared" si="90"/>
        <v>4.0382375223564919</v>
      </c>
    </row>
    <row r="45" spans="167:272" x14ac:dyDescent="0.2">
      <c r="FK45" s="5">
        <v>1</v>
      </c>
      <c r="FL45" s="322">
        <v>7</v>
      </c>
      <c r="FM45" s="259">
        <v>0.35799999840000002</v>
      </c>
      <c r="FN45" s="72">
        <v>0.3166666726666667</v>
      </c>
      <c r="FO45" s="260">
        <v>0.31666666766666668</v>
      </c>
      <c r="FP45" s="261">
        <v>0.18333333366666668</v>
      </c>
      <c r="FQ45" s="154">
        <v>0.33000000666666662</v>
      </c>
      <c r="FR45" s="262">
        <v>0.16142857342857142</v>
      </c>
      <c r="FS45" s="263">
        <v>5.0000000000000001E-3</v>
      </c>
      <c r="FT45" s="264">
        <v>0.176666667</v>
      </c>
      <c r="FU45" s="265">
        <v>0.46666665899999998</v>
      </c>
      <c r="FV45" s="266">
        <v>0.57999998333333336</v>
      </c>
      <c r="FW45" s="267">
        <v>0.51000001033333331</v>
      </c>
      <c r="FX45" s="18">
        <v>3</v>
      </c>
      <c r="FY45" s="18">
        <v>12</v>
      </c>
      <c r="FZ45" s="18">
        <v>13</v>
      </c>
      <c r="GA45" s="18">
        <v>-3</v>
      </c>
      <c r="GB45" s="18">
        <v>4</v>
      </c>
      <c r="GC45" s="18">
        <v>0</v>
      </c>
      <c r="GD45" s="18">
        <v>29</v>
      </c>
      <c r="GE45" s="5">
        <v>76</v>
      </c>
      <c r="GF45" s="5">
        <v>113</v>
      </c>
      <c r="GG45" s="5">
        <v>106</v>
      </c>
      <c r="GH45" s="5">
        <v>122</v>
      </c>
      <c r="GI45" s="5">
        <v>86</v>
      </c>
      <c r="GJ45" s="5">
        <v>128</v>
      </c>
      <c r="GK45" s="5">
        <v>8</v>
      </c>
      <c r="GL45" s="5">
        <v>33</v>
      </c>
      <c r="GM45" s="5">
        <v>76</v>
      </c>
      <c r="GN45" s="5">
        <v>43</v>
      </c>
      <c r="GO45" s="18">
        <v>43</v>
      </c>
      <c r="GP45" s="24">
        <v>107</v>
      </c>
    </row>
    <row r="46" spans="167:272" x14ac:dyDescent="0.2">
      <c r="FK46" s="5">
        <v>8</v>
      </c>
      <c r="FL46" s="322">
        <v>3</v>
      </c>
      <c r="FM46" s="259">
        <v>0.37200000000000005</v>
      </c>
      <c r="FN46" s="72">
        <v>0.25666666666666665</v>
      </c>
      <c r="FO46" s="260">
        <v>0.35000000000000003</v>
      </c>
      <c r="FP46" s="261">
        <v>0.30333333333333329</v>
      </c>
      <c r="FQ46" s="154">
        <v>0.46666666666666662</v>
      </c>
      <c r="FR46" s="262">
        <v>0.48999999999999994</v>
      </c>
      <c r="FS46" s="263">
        <v>0.22166666666666668</v>
      </c>
      <c r="FT46" s="264">
        <v>0.96333333333333337</v>
      </c>
      <c r="FU46" s="265">
        <v>1</v>
      </c>
      <c r="FV46" s="266">
        <v>1</v>
      </c>
      <c r="FW46" s="267">
        <v>0.92666666666666664</v>
      </c>
      <c r="FX46" s="18">
        <v>3</v>
      </c>
      <c r="FY46" s="18">
        <v>15</v>
      </c>
      <c r="FZ46" s="18">
        <v>17</v>
      </c>
      <c r="GA46" s="18">
        <v>0</v>
      </c>
      <c r="GB46" s="18">
        <v>4</v>
      </c>
      <c r="GC46" s="18">
        <v>1</v>
      </c>
      <c r="GD46" s="18">
        <v>40</v>
      </c>
      <c r="GE46" s="5">
        <v>18</v>
      </c>
      <c r="GF46" s="5">
        <v>104</v>
      </c>
      <c r="GG46" s="5">
        <v>127</v>
      </c>
      <c r="GH46" s="5">
        <v>106</v>
      </c>
      <c r="GI46" s="5">
        <v>58</v>
      </c>
      <c r="GJ46" s="5">
        <v>89</v>
      </c>
      <c r="GK46" s="5">
        <v>8</v>
      </c>
      <c r="GL46" s="5">
        <v>27</v>
      </c>
      <c r="GM46" s="5">
        <v>18</v>
      </c>
      <c r="GN46" s="5">
        <v>41</v>
      </c>
      <c r="GO46" s="18">
        <v>33</v>
      </c>
      <c r="GP46" s="24">
        <v>88</v>
      </c>
      <c r="HV46" s="18" t="s">
        <v>614</v>
      </c>
      <c r="IL46" s="18" t="s">
        <v>217</v>
      </c>
    </row>
    <row r="47" spans="167:272" ht="16" thickBot="1" x14ac:dyDescent="0.25">
      <c r="FK47" s="5">
        <v>5</v>
      </c>
      <c r="FL47" s="322">
        <v>3</v>
      </c>
      <c r="FM47" s="268">
        <v>0.48000000119199998</v>
      </c>
      <c r="FN47" s="269">
        <v>0.48666666944833326</v>
      </c>
      <c r="FO47" s="270">
        <v>0.58999999364199995</v>
      </c>
      <c r="FP47" s="271">
        <v>0.5466666718326666</v>
      </c>
      <c r="FQ47" s="162">
        <v>0.41999999682100003</v>
      </c>
      <c r="FR47" s="272">
        <v>0.37857142756035428</v>
      </c>
      <c r="FS47" s="273">
        <v>9.8333332066699988E-2</v>
      </c>
      <c r="FT47" s="274">
        <v>0.52000000079499997</v>
      </c>
      <c r="FU47" s="275">
        <v>0.4133333315453333</v>
      </c>
      <c r="FV47" s="276">
        <v>0.91666668653466665</v>
      </c>
      <c r="FW47" s="277">
        <v>0.68000000715266662</v>
      </c>
      <c r="FX47" s="18">
        <v>6</v>
      </c>
      <c r="FY47" s="18">
        <v>11</v>
      </c>
      <c r="FZ47" s="18">
        <v>14</v>
      </c>
      <c r="GA47" s="18">
        <v>-3</v>
      </c>
      <c r="GB47" s="18">
        <v>6</v>
      </c>
      <c r="GC47" s="18">
        <v>2</v>
      </c>
      <c r="GD47" s="18">
        <v>36</v>
      </c>
      <c r="GE47" s="83">
        <v>65</v>
      </c>
      <c r="GF47" s="5">
        <v>115</v>
      </c>
      <c r="GG47" s="5">
        <v>148</v>
      </c>
      <c r="GH47" s="5">
        <v>126</v>
      </c>
      <c r="GI47" s="5">
        <v>53</v>
      </c>
      <c r="GJ47" s="5">
        <v>132</v>
      </c>
      <c r="GK47" s="5">
        <v>5</v>
      </c>
      <c r="GL47" s="5">
        <v>29</v>
      </c>
      <c r="GM47" s="5">
        <v>65</v>
      </c>
      <c r="GN47" s="5">
        <v>39</v>
      </c>
      <c r="GO47" s="18">
        <v>41</v>
      </c>
      <c r="GP47" s="24">
        <v>120</v>
      </c>
      <c r="HV47" s="18" t="s">
        <v>238</v>
      </c>
      <c r="HW47" s="380">
        <v>-0.4310436288466668</v>
      </c>
      <c r="HX47" s="380">
        <v>-0.30209760827333337</v>
      </c>
      <c r="HY47" s="380">
        <v>-0.16283138669333327</v>
      </c>
      <c r="HZ47" s="380">
        <v>-0.10726679822666668</v>
      </c>
      <c r="IA47" s="380">
        <v>-0.42615136114666663</v>
      </c>
      <c r="IB47" s="380">
        <v>-0.37686010087333333</v>
      </c>
      <c r="IC47" s="380">
        <v>-0.24818905046666664</v>
      </c>
      <c r="ID47" s="380">
        <v>-0.28155138299333338</v>
      </c>
      <c r="IE47" s="380">
        <v>-0.12966095330000002</v>
      </c>
      <c r="IF47" s="380">
        <v>-0.27650326446000001</v>
      </c>
      <c r="IG47" s="380">
        <v>-0.2651409983866666</v>
      </c>
      <c r="IH47" s="380">
        <v>-0.17112701642666661</v>
      </c>
      <c r="II47" s="380">
        <v>-0.20563475518666668</v>
      </c>
    </row>
    <row r="48" spans="167:272" ht="16" thickBot="1" x14ac:dyDescent="0.25">
      <c r="HV48" s="18" t="s">
        <v>54</v>
      </c>
      <c r="HW48" s="18">
        <v>7.771566769275344E-2</v>
      </c>
      <c r="HX48" s="18">
        <v>4.0748366163278683E-2</v>
      </c>
      <c r="HY48" s="18">
        <v>4.1314209407310919E-2</v>
      </c>
      <c r="HZ48" s="18">
        <v>5.2417875682137807E-2</v>
      </c>
      <c r="IA48" s="18">
        <v>7.010279347190583E-2</v>
      </c>
      <c r="IB48" s="18">
        <v>5.6191921507181983E-2</v>
      </c>
      <c r="IC48" s="18">
        <v>5.0250616709248311E-2</v>
      </c>
      <c r="ID48" s="18">
        <v>5.0620228358573029E-2</v>
      </c>
      <c r="IE48" s="18">
        <v>4.5728727485187394E-2</v>
      </c>
      <c r="IF48" s="18">
        <v>7.8611976059099517E-2</v>
      </c>
      <c r="IG48" s="18">
        <v>5.6317398378349912E-2</v>
      </c>
      <c r="IH48" s="18">
        <v>4.0070637829185123E-2</v>
      </c>
      <c r="II48" s="18">
        <v>3.4874207133812278E-2</v>
      </c>
    </row>
    <row r="49" spans="166:244" ht="16" thickBot="1" x14ac:dyDescent="0.25">
      <c r="FK49" s="18" t="s">
        <v>257</v>
      </c>
      <c r="FL49" s="95" t="s">
        <v>269</v>
      </c>
      <c r="FM49" s="96" t="s">
        <v>247</v>
      </c>
    </row>
    <row r="50" spans="166:244" x14ac:dyDescent="0.2">
      <c r="FJ50" s="18">
        <v>1</v>
      </c>
      <c r="FK50" s="18">
        <v>6</v>
      </c>
      <c r="FL50" s="5">
        <v>3</v>
      </c>
      <c r="FM50" s="5">
        <v>20</v>
      </c>
      <c r="HT50" s="100" t="s">
        <v>664</v>
      </c>
      <c r="HU50" s="101"/>
      <c r="HV50" s="101"/>
      <c r="HW50" s="101"/>
      <c r="HX50" s="101"/>
      <c r="HY50" s="101"/>
      <c r="HZ50" s="101"/>
      <c r="IA50" s="101"/>
      <c r="IB50" s="101"/>
      <c r="IC50" s="101"/>
      <c r="ID50" s="101"/>
      <c r="IE50" s="101"/>
      <c r="IF50" s="101"/>
      <c r="IG50" s="101"/>
      <c r="IH50" s="101"/>
      <c r="II50" s="102"/>
    </row>
    <row r="51" spans="166:244" x14ac:dyDescent="0.2">
      <c r="FJ51" s="18">
        <v>2</v>
      </c>
      <c r="FK51" s="18">
        <v>-2</v>
      </c>
      <c r="FL51" s="5">
        <v>1</v>
      </c>
      <c r="FM51" s="5">
        <v>33</v>
      </c>
      <c r="HT51" s="68" t="s">
        <v>663</v>
      </c>
      <c r="HU51" s="5"/>
      <c r="HV51" s="161" t="s">
        <v>238</v>
      </c>
      <c r="HW51" s="5">
        <v>-36.114021785641739</v>
      </c>
      <c r="HX51" s="5">
        <v>-28.979846593578927</v>
      </c>
      <c r="HY51" s="5">
        <v>-23.165503299377814</v>
      </c>
      <c r="HZ51" s="5">
        <v>-10.926222270130886</v>
      </c>
      <c r="IA51" s="5">
        <v>-32.183139898586248</v>
      </c>
      <c r="IB51" s="5">
        <v>-29.372686577533475</v>
      </c>
      <c r="IC51" s="5">
        <v>-35.415103438255038</v>
      </c>
      <c r="ID51" s="5">
        <v>-34.715915794177981</v>
      </c>
      <c r="IE51" s="5">
        <v>-27.681776906994859</v>
      </c>
      <c r="IF51" s="5">
        <v>-25.569696357001824</v>
      </c>
      <c r="IG51" s="5">
        <v>-30.910832813834844</v>
      </c>
      <c r="IH51" s="5">
        <v>-24.057270264032628</v>
      </c>
      <c r="II51" s="80">
        <v>-25.174240617206493</v>
      </c>
      <c r="IJ51" s="18">
        <f>AVERAGE(HW51:IH51)</f>
        <v>-28.257667999928859</v>
      </c>
    </row>
    <row r="52" spans="166:244" x14ac:dyDescent="0.2">
      <c r="FJ52" s="18">
        <v>3</v>
      </c>
      <c r="FK52" s="18">
        <v>8</v>
      </c>
      <c r="FL52" s="5">
        <v>0</v>
      </c>
      <c r="FM52" s="5">
        <v>35</v>
      </c>
      <c r="HT52" s="68"/>
      <c r="HU52" s="5"/>
      <c r="HV52" s="161" t="s">
        <v>53</v>
      </c>
      <c r="HW52" s="5">
        <v>34.299879063323381</v>
      </c>
      <c r="HX52" s="5">
        <v>32.801561381051215</v>
      </c>
      <c r="HY52" s="5">
        <v>44.09588854516425</v>
      </c>
      <c r="HZ52" s="5">
        <v>43.538141179612808</v>
      </c>
      <c r="IA52" s="5">
        <v>32.471033679574077</v>
      </c>
      <c r="IB52" s="5">
        <v>29.670717257659341</v>
      </c>
      <c r="IC52" s="5">
        <v>25.946483131594512</v>
      </c>
      <c r="ID52" s="5">
        <v>25.7718936476187</v>
      </c>
      <c r="IE52" s="5">
        <v>29.007435308882744</v>
      </c>
      <c r="IF52" s="5">
        <v>31.771711420073341</v>
      </c>
      <c r="IG52" s="5">
        <v>26.978251810416292</v>
      </c>
      <c r="IH52" s="5">
        <v>30.282998022250929</v>
      </c>
      <c r="II52" s="80">
        <v>29.779802582370568</v>
      </c>
    </row>
    <row r="53" spans="166:244" ht="16" thickBot="1" x14ac:dyDescent="0.25">
      <c r="FJ53" s="18">
        <v>4</v>
      </c>
      <c r="FK53" s="18">
        <v>13</v>
      </c>
      <c r="FL53" s="5">
        <v>7</v>
      </c>
      <c r="FM53" s="5">
        <v>35</v>
      </c>
      <c r="HT53" s="86"/>
      <c r="HU53" s="83"/>
      <c r="HV53" s="163" t="s">
        <v>54</v>
      </c>
      <c r="HW53" s="83">
        <v>8.8561906926119924</v>
      </c>
      <c r="HX53" s="83">
        <v>8.4693267305607804</v>
      </c>
      <c r="HY53" s="83">
        <v>11.38550946477597</v>
      </c>
      <c r="HZ53" s="83">
        <v>11.241499714231184</v>
      </c>
      <c r="IA53" s="83">
        <v>8.3839848450087029</v>
      </c>
      <c r="IB53" s="83">
        <v>7.6609462539295752</v>
      </c>
      <c r="IC53" s="83">
        <v>6.6993531374211459</v>
      </c>
      <c r="ID53" s="83">
        <v>6.6542743264970632</v>
      </c>
      <c r="IE53" s="83">
        <v>7.4896875911661249</v>
      </c>
      <c r="IF53" s="83">
        <v>8.2034206140301364</v>
      </c>
      <c r="IG53" s="83">
        <v>6.9657546647688262</v>
      </c>
      <c r="IH53" s="83">
        <v>7.8190364675606654</v>
      </c>
      <c r="II53" s="84">
        <v>7.6891119636577212</v>
      </c>
      <c r="IJ53" s="18">
        <f>AVERAGE(HW53:IH53)</f>
        <v>8.319082041880181</v>
      </c>
    </row>
    <row r="54" spans="166:244" x14ac:dyDescent="0.2">
      <c r="FJ54" s="18">
        <v>5</v>
      </c>
      <c r="FK54" s="18">
        <v>2</v>
      </c>
      <c r="FL54" s="5">
        <v>4</v>
      </c>
      <c r="FM54" s="5">
        <v>27</v>
      </c>
    </row>
    <row r="55" spans="166:244" x14ac:dyDescent="0.2">
      <c r="FJ55" s="18">
        <v>7</v>
      </c>
      <c r="FK55" s="18">
        <v>9</v>
      </c>
      <c r="FL55" s="5">
        <v>10</v>
      </c>
      <c r="FM55" s="5">
        <v>33</v>
      </c>
    </row>
    <row r="56" spans="166:244" x14ac:dyDescent="0.2">
      <c r="FJ56" s="18">
        <v>9</v>
      </c>
      <c r="FK56" s="18">
        <v>1</v>
      </c>
      <c r="FL56" s="5">
        <v>1</v>
      </c>
      <c r="FM56" s="5">
        <v>26</v>
      </c>
    </row>
    <row r="57" spans="166:244" x14ac:dyDescent="0.2">
      <c r="FJ57" s="18">
        <v>10</v>
      </c>
      <c r="FK57" s="18">
        <v>10</v>
      </c>
      <c r="FL57" s="5">
        <v>5</v>
      </c>
      <c r="FM57" s="5">
        <v>29</v>
      </c>
    </row>
    <row r="58" spans="166:244" x14ac:dyDescent="0.2">
      <c r="FJ58" s="18">
        <v>11</v>
      </c>
      <c r="FK58" s="18">
        <v>1</v>
      </c>
      <c r="FL58" s="5">
        <v>8</v>
      </c>
      <c r="FM58" s="5">
        <v>28</v>
      </c>
    </row>
    <row r="59" spans="166:244" x14ac:dyDescent="0.2">
      <c r="FJ59" s="18">
        <v>12</v>
      </c>
      <c r="FK59" s="18">
        <v>2</v>
      </c>
      <c r="FL59" s="5">
        <v>3</v>
      </c>
      <c r="FM59" s="5">
        <v>23</v>
      </c>
    </row>
    <row r="60" spans="166:244" x14ac:dyDescent="0.2">
      <c r="FJ60" s="18">
        <v>13</v>
      </c>
      <c r="FK60" s="18">
        <v>-1</v>
      </c>
      <c r="FL60" s="5">
        <v>6</v>
      </c>
      <c r="FM60" s="5">
        <v>29</v>
      </c>
    </row>
    <row r="61" spans="166:244" x14ac:dyDescent="0.2">
      <c r="FJ61" s="18">
        <v>14</v>
      </c>
      <c r="FK61" s="18">
        <v>-6</v>
      </c>
      <c r="FL61" s="5">
        <v>1</v>
      </c>
      <c r="FM61" s="5">
        <v>26</v>
      </c>
    </row>
    <row r="62" spans="166:244" x14ac:dyDescent="0.2">
      <c r="FJ62" s="18">
        <v>15</v>
      </c>
      <c r="FK62" s="18">
        <v>12</v>
      </c>
      <c r="FL62" s="5">
        <v>6</v>
      </c>
      <c r="FM62" s="5">
        <v>38</v>
      </c>
    </row>
    <row r="63" spans="166:244" x14ac:dyDescent="0.2">
      <c r="FJ63" s="18">
        <v>16</v>
      </c>
      <c r="FK63" s="18">
        <v>-16</v>
      </c>
      <c r="FL63" s="5">
        <v>0</v>
      </c>
      <c r="FM63" s="5">
        <v>24</v>
      </c>
    </row>
    <row r="64" spans="166:244" x14ac:dyDescent="0.2">
      <c r="FJ64" s="18">
        <v>17</v>
      </c>
      <c r="FK64" s="18">
        <v>0</v>
      </c>
      <c r="FL64" s="5">
        <v>1</v>
      </c>
      <c r="FM64" s="5">
        <v>27</v>
      </c>
    </row>
    <row r="65" spans="166:169" x14ac:dyDescent="0.2">
      <c r="FJ65" s="18">
        <v>18</v>
      </c>
      <c r="FK65" s="18">
        <v>1</v>
      </c>
      <c r="FL65" s="5">
        <v>8</v>
      </c>
      <c r="FM65" s="5">
        <v>33</v>
      </c>
    </row>
    <row r="66" spans="166:169" x14ac:dyDescent="0.2">
      <c r="FJ66" s="18">
        <v>19</v>
      </c>
      <c r="FK66" s="18">
        <v>8</v>
      </c>
      <c r="FL66" s="5">
        <v>8</v>
      </c>
      <c r="FM66" s="5">
        <v>27</v>
      </c>
    </row>
    <row r="67" spans="166:169" x14ac:dyDescent="0.2">
      <c r="FJ67" s="18">
        <v>20</v>
      </c>
      <c r="FK67" s="18">
        <v>5</v>
      </c>
      <c r="FL67" s="5">
        <v>5</v>
      </c>
      <c r="FM67" s="5">
        <v>29</v>
      </c>
    </row>
  </sheetData>
  <mergeCells count="2">
    <mergeCell ref="MO1:MS1"/>
    <mergeCell ref="MT1:MW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65"/>
  <sheetViews>
    <sheetView zoomScale="75" zoomScaleNormal="75" zoomScalePageLayoutView="75" workbookViewId="0">
      <pane xSplit="1" topLeftCell="MB1" activePane="topRight" state="frozen"/>
      <selection pane="topRight" activeCell="KR3" sqref="KR3"/>
    </sheetView>
  </sheetViews>
  <sheetFormatPr baseColWidth="10" defaultColWidth="8.6640625" defaultRowHeight="15" x14ac:dyDescent="0.2"/>
  <cols>
    <col min="1" max="115" width="8.6640625" style="18"/>
    <col min="116" max="116" width="9.1640625" style="18" customWidth="1"/>
    <col min="117" max="211" width="8.6640625" style="18"/>
    <col min="212" max="212" width="11.6640625" style="18" customWidth="1"/>
    <col min="213" max="215" width="8.6640625" style="18"/>
    <col min="216" max="216" width="14.5" style="18" customWidth="1"/>
    <col min="217" max="281" width="8.6640625" style="18"/>
    <col min="282" max="282" width="8.6640625" style="18" customWidth="1"/>
    <col min="283" max="350" width="8.6640625" style="18"/>
    <col min="351" max="351" width="11.1640625" style="18" customWidth="1"/>
    <col min="352" max="16384" width="8.6640625" style="18"/>
  </cols>
  <sheetData>
    <row r="1" spans="1:363" s="330" customFormat="1" ht="16.5" customHeight="1" thickBot="1" x14ac:dyDescent="0.3">
      <c r="U1" s="330" t="s">
        <v>352</v>
      </c>
      <c r="V1" s="330" t="s">
        <v>352</v>
      </c>
      <c r="W1" s="330" t="s">
        <v>352</v>
      </c>
      <c r="X1" s="330" t="s">
        <v>352</v>
      </c>
      <c r="Y1" s="330" t="s">
        <v>352</v>
      </c>
      <c r="AB1" s="381" t="s">
        <v>351</v>
      </c>
      <c r="AC1" s="381" t="s">
        <v>351</v>
      </c>
      <c r="AD1" s="381" t="s">
        <v>351</v>
      </c>
      <c r="AE1" s="381" t="s">
        <v>351</v>
      </c>
      <c r="AF1" s="382" t="s">
        <v>351</v>
      </c>
      <c r="AG1" s="382" t="s">
        <v>351</v>
      </c>
      <c r="AH1" s="382" t="s">
        <v>351</v>
      </c>
      <c r="AI1" s="382" t="s">
        <v>351</v>
      </c>
      <c r="AJ1" s="330" t="s">
        <v>351</v>
      </c>
      <c r="AK1" s="330" t="s">
        <v>351</v>
      </c>
      <c r="AL1" s="330" t="s">
        <v>351</v>
      </c>
      <c r="AM1" s="330" t="s">
        <v>351</v>
      </c>
      <c r="AN1" s="381" t="s">
        <v>351</v>
      </c>
      <c r="AO1" s="381" t="s">
        <v>351</v>
      </c>
      <c r="AP1" s="381" t="s">
        <v>351</v>
      </c>
      <c r="AQ1" s="381" t="s">
        <v>351</v>
      </c>
      <c r="AR1" s="330" t="s">
        <v>351</v>
      </c>
      <c r="AS1" s="330" t="s">
        <v>351</v>
      </c>
      <c r="AT1" s="330" t="s">
        <v>351</v>
      </c>
      <c r="AU1" s="330" t="s">
        <v>351</v>
      </c>
      <c r="AV1" s="382" t="s">
        <v>351</v>
      </c>
      <c r="AW1" s="382" t="s">
        <v>351</v>
      </c>
      <c r="AX1" s="382" t="s">
        <v>351</v>
      </c>
      <c r="AY1" s="382" t="s">
        <v>351</v>
      </c>
      <c r="BH1" s="330" t="s">
        <v>453</v>
      </c>
      <c r="BN1" s="330" t="s">
        <v>465</v>
      </c>
      <c r="BW1" s="381" t="s">
        <v>55</v>
      </c>
      <c r="BX1" s="330" t="s">
        <v>56</v>
      </c>
      <c r="BY1" s="382" t="s">
        <v>347</v>
      </c>
      <c r="BZ1" s="329" t="s">
        <v>583</v>
      </c>
      <c r="CL1" s="383" t="s">
        <v>501</v>
      </c>
      <c r="CM1" s="384" t="s">
        <v>618</v>
      </c>
      <c r="CN1" s="385" t="s">
        <v>503</v>
      </c>
      <c r="CO1" s="385"/>
      <c r="CP1" s="385"/>
      <c r="CQ1" s="385"/>
      <c r="CR1" s="385"/>
      <c r="CS1" s="385"/>
      <c r="CT1" s="385"/>
      <c r="CZ1" s="386"/>
      <c r="DA1" s="545" t="s">
        <v>504</v>
      </c>
      <c r="DB1" s="546"/>
      <c r="DC1" s="546"/>
      <c r="DD1" s="547"/>
      <c r="DE1" s="548" t="s">
        <v>505</v>
      </c>
      <c r="DF1" s="549"/>
      <c r="DG1" s="549"/>
      <c r="DH1" s="550"/>
      <c r="DI1" s="551" t="s">
        <v>506</v>
      </c>
      <c r="DJ1" s="552"/>
      <c r="DK1" s="552"/>
      <c r="DL1" s="553"/>
      <c r="DM1" s="434" t="s">
        <v>507</v>
      </c>
      <c r="DN1" s="435"/>
      <c r="DO1" s="435"/>
      <c r="DP1" s="435"/>
      <c r="DR1" s="549" t="s">
        <v>508</v>
      </c>
      <c r="DS1" s="549"/>
      <c r="DT1" s="549"/>
      <c r="DU1" s="549"/>
      <c r="DV1" s="554" t="s">
        <v>509</v>
      </c>
      <c r="DW1" s="554"/>
      <c r="DX1" s="554"/>
      <c r="DY1" s="554"/>
      <c r="DZ1" s="555" t="s">
        <v>510</v>
      </c>
      <c r="EA1" s="555"/>
      <c r="EB1" s="555"/>
      <c r="EC1" s="555"/>
      <c r="ED1" s="556"/>
      <c r="EE1" s="557" t="s">
        <v>511</v>
      </c>
      <c r="EF1" s="558"/>
      <c r="EG1" s="558"/>
      <c r="EH1" s="559"/>
      <c r="EI1" s="560" t="s">
        <v>512</v>
      </c>
      <c r="EJ1" s="554"/>
      <c r="EK1" s="554"/>
      <c r="EL1" s="554"/>
      <c r="EN1" s="382"/>
      <c r="EO1" s="406"/>
      <c r="EP1" s="382"/>
      <c r="EQ1" s="382"/>
      <c r="ER1" s="382"/>
      <c r="EU1" s="382" t="s">
        <v>544</v>
      </c>
      <c r="EV1" s="382"/>
      <c r="EW1" s="382"/>
      <c r="EX1" s="382"/>
      <c r="EY1" s="382"/>
      <c r="EZ1" s="382"/>
      <c r="FA1" s="382"/>
      <c r="FB1" s="330" t="s">
        <v>248</v>
      </c>
      <c r="FC1" s="330" t="s">
        <v>251</v>
      </c>
      <c r="FD1" s="330" t="s">
        <v>252</v>
      </c>
      <c r="FE1" s="407" t="s">
        <v>608</v>
      </c>
      <c r="FF1" s="408" t="s">
        <v>347</v>
      </c>
      <c r="FG1" s="308"/>
      <c r="FH1" s="308"/>
      <c r="FI1" s="308"/>
      <c r="FJ1" s="308"/>
      <c r="FK1" s="308"/>
      <c r="FL1" s="308"/>
      <c r="FM1" s="308"/>
      <c r="FN1" s="308"/>
      <c r="FO1" s="308"/>
      <c r="FP1" s="308"/>
      <c r="FU1" s="382" t="s">
        <v>617</v>
      </c>
      <c r="FV1" s="382"/>
      <c r="FW1" s="382"/>
      <c r="FX1" s="382"/>
      <c r="FY1" s="382"/>
      <c r="FZ1" s="382"/>
      <c r="GA1" s="382"/>
      <c r="GI1" s="454"/>
      <c r="GJ1" s="409"/>
      <c r="GK1" s="409"/>
      <c r="GL1" s="409" t="s">
        <v>666</v>
      </c>
      <c r="GM1" s="410"/>
      <c r="GN1" s="455"/>
      <c r="GO1" s="409"/>
      <c r="GP1" s="409"/>
      <c r="GQ1" s="410" t="s">
        <v>667</v>
      </c>
      <c r="GR1" s="455"/>
      <c r="GS1" s="409"/>
      <c r="GT1" s="409"/>
      <c r="GU1" s="410" t="s">
        <v>668</v>
      </c>
      <c r="GV1" s="455"/>
      <c r="GW1" s="409"/>
      <c r="GX1" s="409"/>
      <c r="GY1" s="410" t="s">
        <v>669</v>
      </c>
      <c r="GZ1" s="455"/>
      <c r="HA1" s="409"/>
      <c r="HB1" s="409"/>
      <c r="HC1" s="410" t="s">
        <v>670</v>
      </c>
      <c r="HD1" s="455"/>
      <c r="HE1" s="409"/>
      <c r="HF1" s="409"/>
      <c r="HG1" s="410" t="s">
        <v>519</v>
      </c>
      <c r="HH1" s="455"/>
      <c r="HI1" s="409"/>
      <c r="HJ1" s="409"/>
      <c r="HK1" s="410" t="s">
        <v>518</v>
      </c>
      <c r="HL1" s="455"/>
      <c r="HM1" s="409"/>
      <c r="HN1" s="409"/>
      <c r="HO1" s="410" t="s">
        <v>653</v>
      </c>
      <c r="HP1" s="455"/>
      <c r="HQ1" s="409"/>
      <c r="HR1" s="409"/>
      <c r="HS1" s="410" t="s">
        <v>520</v>
      </c>
      <c r="HT1" s="455"/>
      <c r="HU1" s="409"/>
      <c r="HV1" s="409"/>
      <c r="HW1" s="410" t="s">
        <v>310</v>
      </c>
      <c r="HX1" s="455"/>
      <c r="HY1" s="409"/>
      <c r="HZ1" s="409"/>
      <c r="IA1" s="410" t="s">
        <v>654</v>
      </c>
      <c r="IB1" s="455"/>
      <c r="IC1" s="409"/>
      <c r="ID1" s="409"/>
      <c r="IE1" s="409" t="s">
        <v>655</v>
      </c>
      <c r="IF1" s="455"/>
      <c r="IG1" s="409"/>
      <c r="IH1" s="409"/>
      <c r="II1" s="410" t="s">
        <v>656</v>
      </c>
      <c r="IJ1" s="455"/>
      <c r="IK1" s="409"/>
      <c r="IL1" s="409"/>
      <c r="IM1" s="410" t="s">
        <v>671</v>
      </c>
      <c r="IN1" s="455"/>
      <c r="IO1" s="409"/>
      <c r="IP1" s="409"/>
      <c r="IQ1" s="409" t="s">
        <v>672</v>
      </c>
      <c r="IR1" s="410" t="s">
        <v>585</v>
      </c>
      <c r="JT1" s="100" t="s">
        <v>613</v>
      </c>
      <c r="JU1" s="411" t="s">
        <v>609</v>
      </c>
      <c r="JV1" s="411"/>
      <c r="JX1" s="411" t="s">
        <v>610</v>
      </c>
      <c r="JY1" s="411"/>
      <c r="KA1" s="382" t="s">
        <v>347</v>
      </c>
      <c r="KC1" s="412"/>
      <c r="KF1" s="407" t="s">
        <v>608</v>
      </c>
      <c r="KG1" s="408" t="s">
        <v>347</v>
      </c>
      <c r="KH1" s="308"/>
      <c r="KI1" s="308"/>
      <c r="KJ1" s="308"/>
      <c r="KK1" s="308"/>
      <c r="KL1" s="308"/>
      <c r="KM1" s="308"/>
      <c r="KN1" s="308"/>
      <c r="KO1" s="308"/>
      <c r="KP1" s="308"/>
      <c r="KQ1" s="308"/>
      <c r="KZ1" s="370" t="s">
        <v>545</v>
      </c>
      <c r="LA1" s="371" t="s">
        <v>643</v>
      </c>
      <c r="LB1" s="372"/>
      <c r="LC1" s="372"/>
      <c r="LD1" s="372"/>
      <c r="LF1" s="412"/>
      <c r="LG1" s="382" t="s">
        <v>347</v>
      </c>
      <c r="LH1" s="332"/>
      <c r="LI1" s="368" t="s">
        <v>644</v>
      </c>
      <c r="LJ1" s="368"/>
      <c r="LK1" s="368"/>
      <c r="LL1" s="368"/>
      <c r="LM1" s="412"/>
      <c r="LN1" s="382" t="s">
        <v>347</v>
      </c>
      <c r="LO1" s="332"/>
      <c r="LP1" s="372" t="s">
        <v>645</v>
      </c>
      <c r="LQ1" s="372"/>
      <c r="LR1" s="372"/>
      <c r="LS1" s="372"/>
      <c r="LT1" s="412"/>
      <c r="LU1" s="382" t="s">
        <v>347</v>
      </c>
      <c r="LV1" s="332"/>
      <c r="LX1" s="369" t="s">
        <v>646</v>
      </c>
      <c r="LY1" s="369"/>
      <c r="LZ1" s="369"/>
      <c r="MA1" s="412"/>
      <c r="MB1" s="382" t="s">
        <v>347</v>
      </c>
      <c r="MD1" s="539" t="s">
        <v>675</v>
      </c>
      <c r="ME1" s="539"/>
      <c r="MF1" s="539"/>
      <c r="MG1" s="539"/>
      <c r="MH1" s="540"/>
      <c r="MI1" s="541" t="s">
        <v>676</v>
      </c>
      <c r="MJ1" s="541"/>
      <c r="MK1" s="541"/>
      <c r="ML1" s="541"/>
      <c r="MM1" s="330" t="s">
        <v>501</v>
      </c>
      <c r="MN1" s="330" t="s">
        <v>618</v>
      </c>
      <c r="MP1" s="542" t="s">
        <v>686</v>
      </c>
      <c r="MQ1" s="544" t="s">
        <v>687</v>
      </c>
      <c r="MR1" s="544"/>
      <c r="MS1" s="544"/>
      <c r="MT1" s="544"/>
      <c r="MU1" s="544"/>
      <c r="MV1" s="544"/>
      <c r="MW1" s="544"/>
      <c r="MX1" s="544"/>
      <c r="MY1" s="544"/>
    </row>
    <row r="2" spans="1:363" ht="20" thickBot="1" x14ac:dyDescent="0.3">
      <c r="A2" s="94" t="s">
        <v>276</v>
      </c>
      <c r="B2" s="95" t="s">
        <v>268</v>
      </c>
      <c r="C2" s="95" t="s">
        <v>269</v>
      </c>
      <c r="D2" s="96" t="s">
        <v>247</v>
      </c>
      <c r="E2" s="95" t="s">
        <v>248</v>
      </c>
      <c r="F2" s="95" t="s">
        <v>250</v>
      </c>
      <c r="G2" s="18" t="s">
        <v>251</v>
      </c>
      <c r="H2" s="67" t="s">
        <v>252</v>
      </c>
      <c r="I2" s="95" t="s">
        <v>253</v>
      </c>
      <c r="J2" s="95" t="s">
        <v>256</v>
      </c>
      <c r="K2" s="95" t="s">
        <v>255</v>
      </c>
      <c r="L2" s="95" t="s">
        <v>259</v>
      </c>
      <c r="M2" s="95" t="s">
        <v>258</v>
      </c>
      <c r="N2" s="95" t="s">
        <v>257</v>
      </c>
      <c r="O2" s="95" t="s">
        <v>263</v>
      </c>
      <c r="P2" s="95" t="s">
        <v>264</v>
      </c>
      <c r="Q2" s="95" t="s">
        <v>265</v>
      </c>
      <c r="R2" s="95" t="s">
        <v>266</v>
      </c>
      <c r="S2" s="95" t="s">
        <v>249</v>
      </c>
      <c r="T2" s="95" t="s">
        <v>350</v>
      </c>
      <c r="U2" s="95" t="s">
        <v>270</v>
      </c>
      <c r="V2" s="95" t="s">
        <v>271</v>
      </c>
      <c r="W2" s="95" t="s">
        <v>272</v>
      </c>
      <c r="X2" s="95" t="s">
        <v>273</v>
      </c>
      <c r="Y2" s="95" t="s">
        <v>274</v>
      </c>
      <c r="Z2" s="97" t="s">
        <v>311</v>
      </c>
      <c r="AA2" s="98" t="s">
        <v>313</v>
      </c>
      <c r="AB2" s="95" t="s">
        <v>337</v>
      </c>
      <c r="AC2" s="95" t="s">
        <v>338</v>
      </c>
      <c r="AD2" s="95" t="s">
        <v>339</v>
      </c>
      <c r="AE2" s="95" t="s">
        <v>52</v>
      </c>
      <c r="AF2" s="152" t="s">
        <v>348</v>
      </c>
      <c r="AG2" s="152" t="s">
        <v>338</v>
      </c>
      <c r="AH2" s="152" t="s">
        <v>339</v>
      </c>
      <c r="AI2" s="152" t="s">
        <v>52</v>
      </c>
      <c r="AJ2" s="125" t="s">
        <v>349</v>
      </c>
      <c r="AK2" s="95" t="s">
        <v>338</v>
      </c>
      <c r="AL2" s="95" t="s">
        <v>339</v>
      </c>
      <c r="AM2" s="126" t="s">
        <v>52</v>
      </c>
      <c r="AN2" s="125" t="s">
        <v>55</v>
      </c>
      <c r="AO2" s="95"/>
      <c r="AP2" s="95"/>
      <c r="AQ2" s="126"/>
      <c r="AR2" s="125" t="s">
        <v>56</v>
      </c>
      <c r="AS2" s="95"/>
      <c r="AT2" s="95"/>
      <c r="AU2" s="126"/>
      <c r="AV2" s="183" t="s">
        <v>347</v>
      </c>
      <c r="AW2" s="152"/>
      <c r="AX2" s="152"/>
      <c r="AY2" s="184"/>
      <c r="AZ2" s="153" t="s">
        <v>420</v>
      </c>
      <c r="BA2" s="152" t="s">
        <v>421</v>
      </c>
      <c r="BB2" s="95" t="s">
        <v>424</v>
      </c>
      <c r="BC2" s="152" t="s">
        <v>423</v>
      </c>
      <c r="BD2" s="136" t="s">
        <v>26</v>
      </c>
      <c r="BE2" s="150" t="s">
        <v>29</v>
      </c>
      <c r="BF2" s="18" t="s">
        <v>425</v>
      </c>
      <c r="BG2" s="18" t="s">
        <v>426</v>
      </c>
      <c r="BH2" s="217" t="s">
        <v>454</v>
      </c>
      <c r="BI2" s="218" t="s">
        <v>455</v>
      </c>
      <c r="BJ2" s="219" t="s">
        <v>456</v>
      </c>
      <c r="BL2" s="18" t="s">
        <v>459</v>
      </c>
      <c r="BM2" s="18" t="s">
        <v>460</v>
      </c>
      <c r="BN2" s="18" t="s">
        <v>461</v>
      </c>
      <c r="BO2" s="18" t="s">
        <v>462</v>
      </c>
      <c r="BP2" s="18" t="s">
        <v>463</v>
      </c>
      <c r="BQ2" s="138"/>
      <c r="BR2" s="138" t="s">
        <v>496</v>
      </c>
      <c r="BS2" s="138"/>
      <c r="BT2" s="138" t="s">
        <v>497</v>
      </c>
      <c r="BU2" s="138" t="s">
        <v>498</v>
      </c>
      <c r="BV2" s="18" t="s">
        <v>540</v>
      </c>
      <c r="BW2" s="18" t="s">
        <v>36</v>
      </c>
      <c r="BX2" s="18" t="s">
        <v>36</v>
      </c>
      <c r="BZ2" s="3" t="s">
        <v>406</v>
      </c>
      <c r="CA2" s="18" t="s">
        <v>407</v>
      </c>
      <c r="CB2" s="18" t="s">
        <v>408</v>
      </c>
      <c r="CC2" s="18" t="s">
        <v>409</v>
      </c>
      <c r="CD2" s="18" t="s">
        <v>410</v>
      </c>
      <c r="CE2" s="18" t="s">
        <v>411</v>
      </c>
      <c r="CF2" s="18" t="s">
        <v>412</v>
      </c>
      <c r="CG2" s="18" t="s">
        <v>413</v>
      </c>
      <c r="CH2" s="18" t="s">
        <v>414</v>
      </c>
      <c r="CI2" s="18" t="s">
        <v>415</v>
      </c>
      <c r="CJ2" s="21" t="s">
        <v>416</v>
      </c>
      <c r="CK2" s="290"/>
      <c r="CL2" s="290" t="s">
        <v>517</v>
      </c>
      <c r="CM2" s="290" t="s">
        <v>457</v>
      </c>
      <c r="CN2" s="290" t="s">
        <v>518</v>
      </c>
      <c r="CO2" s="290" t="s">
        <v>519</v>
      </c>
      <c r="CP2" s="290" t="s">
        <v>520</v>
      </c>
      <c r="CQ2" s="290" t="s">
        <v>521</v>
      </c>
      <c r="CR2" s="290" t="s">
        <v>522</v>
      </c>
      <c r="CS2" s="290" t="s">
        <v>523</v>
      </c>
      <c r="CT2" s="290" t="s">
        <v>310</v>
      </c>
      <c r="CU2" s="378" t="s">
        <v>653</v>
      </c>
      <c r="CV2" s="378" t="s">
        <v>656</v>
      </c>
      <c r="CW2" s="378" t="s">
        <v>657</v>
      </c>
      <c r="CX2" s="378" t="s">
        <v>658</v>
      </c>
      <c r="CY2" s="378" t="s">
        <v>655</v>
      </c>
      <c r="CZ2" s="290"/>
      <c r="DA2" s="351" t="s">
        <v>513</v>
      </c>
      <c r="DB2" s="287" t="s">
        <v>514</v>
      </c>
      <c r="DC2" s="288" t="s">
        <v>515</v>
      </c>
      <c r="DD2" s="353" t="s">
        <v>516</v>
      </c>
      <c r="DE2" s="351" t="s">
        <v>513</v>
      </c>
      <c r="DF2" s="287" t="s">
        <v>514</v>
      </c>
      <c r="DG2" s="288" t="s">
        <v>515</v>
      </c>
      <c r="DH2" s="352" t="s">
        <v>516</v>
      </c>
      <c r="DI2" s="351" t="s">
        <v>513</v>
      </c>
      <c r="DJ2" s="287" t="s">
        <v>514</v>
      </c>
      <c r="DK2" s="288" t="s">
        <v>515</v>
      </c>
      <c r="DL2" s="352" t="s">
        <v>516</v>
      </c>
      <c r="DM2" s="291"/>
      <c r="DN2" s="351" t="s">
        <v>513</v>
      </c>
      <c r="DO2" s="287" t="s">
        <v>514</v>
      </c>
      <c r="DP2" s="287" t="s">
        <v>515</v>
      </c>
      <c r="DQ2" s="300" t="s">
        <v>516</v>
      </c>
      <c r="DR2" s="351" t="s">
        <v>513</v>
      </c>
      <c r="DS2" s="287" t="s">
        <v>514</v>
      </c>
      <c r="DT2" s="287" t="s">
        <v>515</v>
      </c>
      <c r="DU2" s="301" t="s">
        <v>516</v>
      </c>
      <c r="DV2" s="287" t="s">
        <v>513</v>
      </c>
      <c r="DW2" s="287" t="s">
        <v>514</v>
      </c>
      <c r="DX2" s="288" t="s">
        <v>515</v>
      </c>
      <c r="DY2" s="299" t="s">
        <v>516</v>
      </c>
      <c r="DZ2" s="291"/>
      <c r="EA2" s="287" t="s">
        <v>513</v>
      </c>
      <c r="EB2" s="287" t="s">
        <v>514</v>
      </c>
      <c r="EC2" s="287" t="s">
        <v>515</v>
      </c>
      <c r="ED2" s="300" t="s">
        <v>516</v>
      </c>
      <c r="EE2" s="287" t="s">
        <v>513</v>
      </c>
      <c r="EF2" s="287" t="s">
        <v>514</v>
      </c>
      <c r="EG2" s="287" t="s">
        <v>515</v>
      </c>
      <c r="EH2" s="301" t="s">
        <v>516</v>
      </c>
      <c r="EI2" s="287" t="s">
        <v>513</v>
      </c>
      <c r="EJ2" s="287" t="s">
        <v>514</v>
      </c>
      <c r="EK2" s="287" t="s">
        <v>515</v>
      </c>
      <c r="EL2" s="301" t="s">
        <v>516</v>
      </c>
      <c r="EM2" s="291"/>
      <c r="EN2" s="333" t="s">
        <v>541</v>
      </c>
      <c r="EO2" s="313"/>
      <c r="EP2" s="334" t="s">
        <v>542</v>
      </c>
      <c r="EQ2" s="313"/>
      <c r="ER2" s="313" t="s">
        <v>543</v>
      </c>
      <c r="ES2" s="18" t="s">
        <v>241</v>
      </c>
      <c r="ET2" s="18" t="s">
        <v>242</v>
      </c>
      <c r="EU2" s="18" t="s">
        <v>243</v>
      </c>
      <c r="EV2" s="18" t="s">
        <v>244</v>
      </c>
      <c r="EW2" s="18" t="s">
        <v>245</v>
      </c>
      <c r="EX2" s="18" t="s">
        <v>246</v>
      </c>
      <c r="EY2" s="18" t="s">
        <v>216</v>
      </c>
      <c r="EZ2" s="161" t="s">
        <v>457</v>
      </c>
      <c r="FA2" s="21" t="s">
        <v>458</v>
      </c>
      <c r="FB2" s="67" t="s">
        <v>545</v>
      </c>
      <c r="FC2" s="6" t="s">
        <v>546</v>
      </c>
      <c r="FD2" s="24" t="s">
        <v>546</v>
      </c>
      <c r="FE2" s="339" t="s">
        <v>313</v>
      </c>
      <c r="FF2" s="146" t="s">
        <v>406</v>
      </c>
      <c r="FG2" s="71" t="s">
        <v>407</v>
      </c>
      <c r="FH2" s="142" t="s">
        <v>408</v>
      </c>
      <c r="FI2" s="147" t="s">
        <v>409</v>
      </c>
      <c r="FJ2" s="136" t="s">
        <v>410</v>
      </c>
      <c r="FK2" s="135" t="s">
        <v>411</v>
      </c>
      <c r="FL2" s="148" t="s">
        <v>412</v>
      </c>
      <c r="FM2" s="149" t="s">
        <v>413</v>
      </c>
      <c r="FN2" s="150" t="s">
        <v>414</v>
      </c>
      <c r="FO2" s="141" t="s">
        <v>415</v>
      </c>
      <c r="FP2" s="143" t="s">
        <v>416</v>
      </c>
      <c r="FQ2" s="95" t="s">
        <v>265</v>
      </c>
      <c r="FR2" s="95" t="s">
        <v>270</v>
      </c>
      <c r="FS2" s="95" t="s">
        <v>274</v>
      </c>
      <c r="FT2" s="161" t="s">
        <v>457</v>
      </c>
      <c r="FU2" s="77" t="s">
        <v>241</v>
      </c>
      <c r="FV2" s="77" t="s">
        <v>242</v>
      </c>
      <c r="FW2" s="77" t="s">
        <v>243</v>
      </c>
      <c r="FX2" s="77" t="s">
        <v>244</v>
      </c>
      <c r="FY2" s="77" t="s">
        <v>245</v>
      </c>
      <c r="FZ2" s="77" t="s">
        <v>246</v>
      </c>
      <c r="GA2" s="77" t="s">
        <v>216</v>
      </c>
      <c r="GC2" s="95" t="s">
        <v>256</v>
      </c>
      <c r="GD2" s="95" t="s">
        <v>255</v>
      </c>
      <c r="GE2" s="95" t="s">
        <v>259</v>
      </c>
      <c r="GF2" s="95" t="s">
        <v>258</v>
      </c>
      <c r="GG2" s="95" t="s">
        <v>257</v>
      </c>
      <c r="GH2" s="150" t="s">
        <v>29</v>
      </c>
      <c r="GI2" s="433" t="s">
        <v>566</v>
      </c>
      <c r="GJ2" s="324" t="s">
        <v>567</v>
      </c>
      <c r="GK2" s="325" t="s">
        <v>568</v>
      </c>
      <c r="GL2" s="154" t="s">
        <v>569</v>
      </c>
      <c r="GM2" s="185" t="s">
        <v>616</v>
      </c>
      <c r="GN2" s="204" t="s">
        <v>570</v>
      </c>
      <c r="GO2" s="5" t="s">
        <v>571</v>
      </c>
      <c r="GP2" s="154" t="s">
        <v>572</v>
      </c>
      <c r="GQ2" s="185" t="s">
        <v>573</v>
      </c>
      <c r="GR2" s="204" t="s">
        <v>574</v>
      </c>
      <c r="GS2" s="5" t="s">
        <v>575</v>
      </c>
      <c r="GT2" s="154" t="s">
        <v>576</v>
      </c>
      <c r="GU2" s="185" t="s">
        <v>573</v>
      </c>
      <c r="GV2" s="204" t="s">
        <v>577</v>
      </c>
      <c r="GW2" s="5" t="s">
        <v>578</v>
      </c>
      <c r="GX2" s="154" t="s">
        <v>579</v>
      </c>
      <c r="GY2" s="185" t="s">
        <v>580</v>
      </c>
      <c r="GZ2" s="204" t="s">
        <v>581</v>
      </c>
      <c r="HA2" s="24" t="s">
        <v>582</v>
      </c>
      <c r="HB2" s="154" t="s">
        <v>579</v>
      </c>
      <c r="HC2" s="185" t="s">
        <v>580</v>
      </c>
      <c r="HD2" s="179" t="s">
        <v>55</v>
      </c>
      <c r="HE2" s="154" t="s">
        <v>651</v>
      </c>
      <c r="HF2" s="154" t="s">
        <v>579</v>
      </c>
      <c r="HG2" s="185" t="s">
        <v>652</v>
      </c>
      <c r="HH2" s="179" t="s">
        <v>55</v>
      </c>
      <c r="HI2" s="154" t="s">
        <v>651</v>
      </c>
      <c r="HJ2" s="154" t="s">
        <v>579</v>
      </c>
      <c r="HK2" s="185" t="s">
        <v>652</v>
      </c>
      <c r="HL2" s="179" t="s">
        <v>55</v>
      </c>
      <c r="HM2" s="154" t="s">
        <v>651</v>
      </c>
      <c r="HN2" s="154" t="s">
        <v>579</v>
      </c>
      <c r="HO2" s="185" t="s">
        <v>652</v>
      </c>
      <c r="HP2" s="179" t="s">
        <v>55</v>
      </c>
      <c r="HQ2" s="154" t="s">
        <v>651</v>
      </c>
      <c r="HR2" s="154" t="s">
        <v>579</v>
      </c>
      <c r="HS2" s="185" t="s">
        <v>652</v>
      </c>
      <c r="HT2" s="179" t="s">
        <v>55</v>
      </c>
      <c r="HU2" s="154" t="s">
        <v>651</v>
      </c>
      <c r="HV2" s="154" t="s">
        <v>579</v>
      </c>
      <c r="HW2" s="185" t="s">
        <v>652</v>
      </c>
      <c r="HX2" s="179" t="s">
        <v>55</v>
      </c>
      <c r="HY2" s="154" t="s">
        <v>651</v>
      </c>
      <c r="HZ2" s="154" t="s">
        <v>579</v>
      </c>
      <c r="IA2" s="185" t="s">
        <v>652</v>
      </c>
      <c r="IB2" s="179" t="s">
        <v>55</v>
      </c>
      <c r="IC2" s="154" t="s">
        <v>651</v>
      </c>
      <c r="ID2" s="154" t="s">
        <v>579</v>
      </c>
      <c r="IE2" s="154" t="s">
        <v>652</v>
      </c>
      <c r="IF2" s="179" t="s">
        <v>55</v>
      </c>
      <c r="IG2" s="154" t="s">
        <v>651</v>
      </c>
      <c r="IH2" s="154" t="s">
        <v>579</v>
      </c>
      <c r="II2" s="185" t="s">
        <v>652</v>
      </c>
      <c r="IJ2" s="179" t="s">
        <v>55</v>
      </c>
      <c r="IK2" s="154" t="s">
        <v>651</v>
      </c>
      <c r="IL2" s="154" t="s">
        <v>579</v>
      </c>
      <c r="IM2" s="185" t="s">
        <v>652</v>
      </c>
      <c r="IN2" s="179" t="s">
        <v>55</v>
      </c>
      <c r="IO2" s="154" t="s">
        <v>651</v>
      </c>
      <c r="IP2" s="154" t="s">
        <v>579</v>
      </c>
      <c r="IQ2" s="154" t="s">
        <v>652</v>
      </c>
      <c r="IR2" s="185" t="s">
        <v>616</v>
      </c>
      <c r="IS2" s="18" t="s">
        <v>584</v>
      </c>
      <c r="IU2" s="335" t="s">
        <v>586</v>
      </c>
      <c r="IV2" s="336" t="s">
        <v>587</v>
      </c>
      <c r="IW2" s="336" t="s">
        <v>588</v>
      </c>
      <c r="IX2" s="336" t="s">
        <v>709</v>
      </c>
      <c r="IY2" s="336" t="s">
        <v>589</v>
      </c>
      <c r="IZ2" s="336" t="s">
        <v>588</v>
      </c>
      <c r="JA2" s="336"/>
      <c r="JB2" s="336" t="s">
        <v>590</v>
      </c>
      <c r="JC2" s="336" t="s">
        <v>588</v>
      </c>
      <c r="JD2" s="336" t="s">
        <v>607</v>
      </c>
      <c r="JE2" s="336" t="s">
        <v>591</v>
      </c>
      <c r="JF2" s="336" t="s">
        <v>588</v>
      </c>
      <c r="JG2" s="336"/>
      <c r="JH2" s="335" t="s">
        <v>592</v>
      </c>
      <c r="JI2" s="336" t="s">
        <v>587</v>
      </c>
      <c r="JJ2" s="336" t="s">
        <v>588</v>
      </c>
      <c r="JK2" s="336"/>
      <c r="JL2" s="336" t="s">
        <v>589</v>
      </c>
      <c r="JM2" s="336" t="s">
        <v>588</v>
      </c>
      <c r="JN2" s="336"/>
      <c r="JO2" s="336" t="s">
        <v>590</v>
      </c>
      <c r="JP2" s="336" t="s">
        <v>588</v>
      </c>
      <c r="JQ2" s="336"/>
      <c r="JR2" s="336" t="s">
        <v>591</v>
      </c>
      <c r="JS2" s="336" t="s">
        <v>588</v>
      </c>
      <c r="JT2" s="68"/>
      <c r="JU2" s="5" t="s">
        <v>513</v>
      </c>
      <c r="JV2" s="5" t="s">
        <v>611</v>
      </c>
      <c r="JW2" s="5" t="s">
        <v>52</v>
      </c>
      <c r="JX2" s="5" t="s">
        <v>612</v>
      </c>
      <c r="JY2" s="5" t="s">
        <v>611</v>
      </c>
      <c r="JZ2" s="5" t="s">
        <v>52</v>
      </c>
      <c r="KA2" s="154" t="s">
        <v>614</v>
      </c>
      <c r="KB2" s="154" t="s">
        <v>615</v>
      </c>
      <c r="KC2" s="185" t="s">
        <v>619</v>
      </c>
      <c r="KD2" s="154" t="s">
        <v>616</v>
      </c>
      <c r="KF2" s="339" t="s">
        <v>313</v>
      </c>
      <c r="KG2" s="146" t="s">
        <v>406</v>
      </c>
      <c r="KH2" s="71" t="s">
        <v>407</v>
      </c>
      <c r="KI2" s="142" t="s">
        <v>408</v>
      </c>
      <c r="KJ2" s="147" t="s">
        <v>409</v>
      </c>
      <c r="KK2" s="136" t="s">
        <v>410</v>
      </c>
      <c r="KL2" s="135" t="s">
        <v>411</v>
      </c>
      <c r="KM2" s="148" t="s">
        <v>412</v>
      </c>
      <c r="KN2" s="149" t="s">
        <v>413</v>
      </c>
      <c r="KO2" s="150" t="s">
        <v>414</v>
      </c>
      <c r="KP2" s="141" t="s">
        <v>415</v>
      </c>
      <c r="KQ2" s="143" t="s">
        <v>416</v>
      </c>
      <c r="KR2" s="356"/>
      <c r="KS2" s="357" t="s">
        <v>621</v>
      </c>
      <c r="KT2" s="357" t="s">
        <v>330</v>
      </c>
      <c r="KU2" s="357" t="s">
        <v>622</v>
      </c>
      <c r="KV2" s="357" t="s">
        <v>332</v>
      </c>
      <c r="KW2" s="357" t="s">
        <v>333</v>
      </c>
      <c r="KX2" s="357" t="s">
        <v>334</v>
      </c>
      <c r="KY2" s="150" t="s">
        <v>29</v>
      </c>
      <c r="KZ2" s="370"/>
      <c r="LA2" s="365" t="s">
        <v>647</v>
      </c>
      <c r="LB2" s="366" t="s">
        <v>648</v>
      </c>
      <c r="LC2" s="5" t="s">
        <v>52</v>
      </c>
      <c r="LD2" s="367" t="s">
        <v>649</v>
      </c>
      <c r="LE2" s="367" t="s">
        <v>650</v>
      </c>
      <c r="LF2" s="80" t="s">
        <v>52</v>
      </c>
      <c r="LG2" s="77"/>
      <c r="LH2" s="365" t="s">
        <v>647</v>
      </c>
      <c r="LI2" s="366" t="s">
        <v>648</v>
      </c>
      <c r="LJ2" s="5" t="s">
        <v>52</v>
      </c>
      <c r="LK2" s="367" t="s">
        <v>649</v>
      </c>
      <c r="LL2" s="367" t="s">
        <v>650</v>
      </c>
      <c r="LM2" s="80" t="s">
        <v>52</v>
      </c>
      <c r="LN2" s="77"/>
      <c r="LO2" s="365" t="s">
        <v>647</v>
      </c>
      <c r="LP2" s="366" t="s">
        <v>648</v>
      </c>
      <c r="LQ2" s="5" t="s">
        <v>52</v>
      </c>
      <c r="LR2" s="367" t="s">
        <v>649</v>
      </c>
      <c r="LS2" s="367" t="s">
        <v>650</v>
      </c>
      <c r="LT2" s="80" t="s">
        <v>52</v>
      </c>
      <c r="LU2" s="77"/>
      <c r="LV2" s="365" t="s">
        <v>647</v>
      </c>
      <c r="LW2" s="366" t="s">
        <v>648</v>
      </c>
      <c r="LX2" s="5" t="s">
        <v>52</v>
      </c>
      <c r="LY2" s="367" t="s">
        <v>649</v>
      </c>
      <c r="LZ2" s="367" t="s">
        <v>650</v>
      </c>
      <c r="MA2" s="80" t="s">
        <v>52</v>
      </c>
      <c r="MB2" s="77"/>
      <c r="MD2" s="414" t="s">
        <v>677</v>
      </c>
      <c r="ME2" s="415" t="s">
        <v>678</v>
      </c>
      <c r="MF2" s="415" t="s">
        <v>679</v>
      </c>
      <c r="MG2" s="415" t="s">
        <v>680</v>
      </c>
      <c r="MH2" s="416" t="s">
        <v>681</v>
      </c>
      <c r="MI2" s="417" t="s">
        <v>682</v>
      </c>
      <c r="MJ2" s="418" t="s">
        <v>683</v>
      </c>
      <c r="MK2" s="418" t="s">
        <v>684</v>
      </c>
      <c r="ML2" s="418" t="s">
        <v>681</v>
      </c>
      <c r="MM2" s="18" t="s">
        <v>517</v>
      </c>
      <c r="MN2" s="18" t="s">
        <v>457</v>
      </c>
      <c r="MP2" s="543"/>
      <c r="MQ2" s="139" t="s">
        <v>688</v>
      </c>
      <c r="MR2" s="139" t="s">
        <v>689</v>
      </c>
      <c r="MS2" s="139" t="s">
        <v>690</v>
      </c>
      <c r="MT2" s="139" t="s">
        <v>691</v>
      </c>
      <c r="MU2" s="139" t="s">
        <v>692</v>
      </c>
      <c r="MV2" s="139" t="s">
        <v>693</v>
      </c>
      <c r="MW2" s="139" t="s">
        <v>694</v>
      </c>
      <c r="MX2" s="139" t="s">
        <v>695</v>
      </c>
      <c r="MY2" s="139" t="s">
        <v>696</v>
      </c>
    </row>
    <row r="3" spans="1:363" ht="15.75" customHeight="1" x14ac:dyDescent="0.2">
      <c r="A3" s="3" t="s">
        <v>0</v>
      </c>
      <c r="B3" s="5">
        <v>0</v>
      </c>
      <c r="C3" s="5">
        <v>3</v>
      </c>
      <c r="D3" s="5">
        <v>20</v>
      </c>
      <c r="E3" s="5">
        <v>58</v>
      </c>
      <c r="F3" s="5">
        <v>56</v>
      </c>
      <c r="G3" s="18">
        <v>24</v>
      </c>
      <c r="H3" s="24">
        <v>55</v>
      </c>
      <c r="I3" s="5">
        <v>23</v>
      </c>
      <c r="J3" s="5">
        <v>131</v>
      </c>
      <c r="K3" s="5">
        <v>80</v>
      </c>
      <c r="L3" s="5">
        <v>159</v>
      </c>
      <c r="M3" s="5">
        <v>50</v>
      </c>
      <c r="N3" s="5">
        <v>161</v>
      </c>
      <c r="O3" s="5">
        <v>0</v>
      </c>
      <c r="P3" s="5">
        <v>-6</v>
      </c>
      <c r="Q3" s="5">
        <v>0</v>
      </c>
      <c r="R3" s="5">
        <v>-1</v>
      </c>
      <c r="S3" s="5">
        <v>8</v>
      </c>
      <c r="T3" s="18">
        <v>6</v>
      </c>
      <c r="U3" s="5">
        <v>1</v>
      </c>
      <c r="V3" s="5">
        <v>0</v>
      </c>
      <c r="W3" s="5">
        <v>-4</v>
      </c>
      <c r="X3" s="5">
        <v>14</v>
      </c>
      <c r="Y3" s="5">
        <v>6</v>
      </c>
      <c r="Z3" s="92">
        <v>-3.1136297368421002E-2</v>
      </c>
      <c r="AA3" s="88">
        <v>11</v>
      </c>
      <c r="AB3" s="66">
        <v>87</v>
      </c>
      <c r="AC3" s="101">
        <v>77</v>
      </c>
      <c r="AD3" s="101">
        <v>108</v>
      </c>
      <c r="AE3" s="102">
        <v>91</v>
      </c>
      <c r="AF3" s="182">
        <v>14</v>
      </c>
      <c r="AG3" s="160">
        <v>10</v>
      </c>
      <c r="AH3" s="160">
        <v>7</v>
      </c>
      <c r="AI3" s="160">
        <v>10</v>
      </c>
      <c r="AJ3" s="68">
        <v>101</v>
      </c>
      <c r="AK3" s="5">
        <v>87</v>
      </c>
      <c r="AL3" s="5">
        <v>115</v>
      </c>
      <c r="AM3" s="80">
        <v>101</v>
      </c>
      <c r="AN3" s="68">
        <v>87</v>
      </c>
      <c r="AO3" s="5">
        <v>77</v>
      </c>
      <c r="AP3" s="5">
        <v>108</v>
      </c>
      <c r="AQ3" s="80">
        <v>91</v>
      </c>
      <c r="AR3" s="68">
        <v>101</v>
      </c>
      <c r="AS3" s="5">
        <v>87</v>
      </c>
      <c r="AT3" s="5">
        <v>115</v>
      </c>
      <c r="AU3" s="80">
        <v>101</v>
      </c>
      <c r="AV3" s="179">
        <f t="shared" ref="AV3:AV17" si="0">AR3-AN3</f>
        <v>14</v>
      </c>
      <c r="AW3" s="154">
        <f t="shared" ref="AW3:AW17" si="1">AS3-AO3</f>
        <v>10</v>
      </c>
      <c r="AX3" s="154">
        <f t="shared" ref="AX3:AX17" si="2">AT3-AP3</f>
        <v>7</v>
      </c>
      <c r="AY3" s="185">
        <f t="shared" ref="AY3:AY17" si="3">AU3-AQ3</f>
        <v>10</v>
      </c>
      <c r="AZ3" s="9">
        <v>1.2413793103448276</v>
      </c>
      <c r="BA3" s="77">
        <v>0.10276544895868911</v>
      </c>
      <c r="BB3" s="18">
        <v>0.88505747126436785</v>
      </c>
      <c r="BC3" s="77">
        <v>2.3671332650506471E-2</v>
      </c>
      <c r="BD3" s="154">
        <v>0.33000001311299998</v>
      </c>
      <c r="BE3" s="144">
        <v>0</v>
      </c>
      <c r="BF3" s="5">
        <v>0</v>
      </c>
      <c r="BG3" s="5">
        <v>-6</v>
      </c>
      <c r="BK3" s="18" t="s">
        <v>0</v>
      </c>
      <c r="BL3" s="18">
        <v>0</v>
      </c>
      <c r="BM3" s="18">
        <v>0</v>
      </c>
      <c r="BN3" s="18">
        <v>-1</v>
      </c>
      <c r="BO3" s="18">
        <v>1</v>
      </c>
      <c r="BP3" s="18">
        <v>0</v>
      </c>
      <c r="BQ3" s="138" t="s">
        <v>466</v>
      </c>
      <c r="BR3" s="138">
        <v>-1.60857358248744E-27</v>
      </c>
      <c r="BS3" s="138" t="s">
        <v>467</v>
      </c>
      <c r="BT3" s="138">
        <v>-1.1509700087500101E-27</v>
      </c>
      <c r="BU3" s="138">
        <f t="shared" ref="BU3:BU9" si="4">AVERAGE(BR3,BT3)</f>
        <v>-1.3797717956187249E-27</v>
      </c>
      <c r="BW3" s="18">
        <v>0.74000000953699996</v>
      </c>
      <c r="BX3" s="18">
        <v>0</v>
      </c>
      <c r="BY3" s="18">
        <f t="shared" ref="BY3:BY17" si="5">BW3-BX3</f>
        <v>0.74000000953699996</v>
      </c>
      <c r="BZ3" s="3">
        <v>0</v>
      </c>
      <c r="CA3" s="18">
        <v>0</v>
      </c>
      <c r="CB3" s="18">
        <v>3.333333445092667E-2</v>
      </c>
      <c r="CC3" s="18">
        <v>4.3333331744000003E-2</v>
      </c>
      <c r="CD3" s="18">
        <v>7.9999998212000004E-2</v>
      </c>
      <c r="CE3" s="18">
        <v>0</v>
      </c>
      <c r="CF3" s="18">
        <v>0</v>
      </c>
      <c r="CG3" s="18">
        <v>7.6666668057299991E-2</v>
      </c>
      <c r="CH3" s="18">
        <v>0.98666667938233321</v>
      </c>
      <c r="CI3" s="18">
        <v>0.27666666110376664</v>
      </c>
      <c r="CJ3" s="18">
        <v>0</v>
      </c>
      <c r="CK3" s="285" t="s">
        <v>524</v>
      </c>
      <c r="CL3" s="18">
        <v>1.6630495780000001</v>
      </c>
      <c r="CM3" s="18">
        <v>-1.6873948219999999</v>
      </c>
      <c r="CN3" s="18">
        <v>-0.187242614</v>
      </c>
      <c r="CO3" s="18">
        <v>-0.21316443730000001</v>
      </c>
      <c r="CP3" s="18">
        <v>-4.6699681600000001E-2</v>
      </c>
      <c r="CQ3" s="18">
        <v>-0.18124281019999999</v>
      </c>
      <c r="CR3" s="18">
        <v>-1.395795191E-2</v>
      </c>
      <c r="CS3" s="18">
        <v>-9.4979387669999991E-3</v>
      </c>
      <c r="CT3" s="18">
        <v>-0.53483405490000002</v>
      </c>
      <c r="CY3" s="18">
        <v>-7.7297546359999997E-2</v>
      </c>
      <c r="CZ3" s="285" t="s">
        <v>524</v>
      </c>
      <c r="DA3" s="68">
        <v>8.3569198839999999</v>
      </c>
      <c r="DB3" s="5">
        <v>8.5218662609999996</v>
      </c>
      <c r="DC3" s="5">
        <v>8.2818837819999995</v>
      </c>
      <c r="DD3" s="80">
        <f t="shared" ref="DD3:DD17" si="6">AVERAGE(DA3,DC3)</f>
        <v>8.3194018330000006</v>
      </c>
      <c r="DE3" s="68">
        <v>9.1047846809999999</v>
      </c>
      <c r="DF3" s="5">
        <v>8.4524927160000001</v>
      </c>
      <c r="DG3" s="5">
        <v>7.4383820150000002</v>
      </c>
      <c r="DH3" s="80">
        <f t="shared" ref="DH3:DH17" si="7">AVERAGE(DE3,DG3)</f>
        <v>8.2715833480000001</v>
      </c>
      <c r="DI3" s="151">
        <f t="shared" ref="DI3:DI17" si="8">DE3-DA3</f>
        <v>0.74786479700000008</v>
      </c>
      <c r="DJ3" s="24">
        <f t="shared" ref="DJ3:DJ17" si="9">DF3-DB3</f>
        <v>-6.9373544999999481E-2</v>
      </c>
      <c r="DK3" s="293">
        <f t="shared" ref="DK3:DK17" si="10">DG3-DC3</f>
        <v>-0.84350176699999935</v>
      </c>
      <c r="DL3" s="244">
        <f t="shared" ref="DL3:DL17" si="11">DH3-DD3</f>
        <v>-4.7818485000000521E-2</v>
      </c>
      <c r="DM3" s="295" t="s">
        <v>524</v>
      </c>
      <c r="DN3" s="68">
        <v>3.2167677239999999</v>
      </c>
      <c r="DO3" s="5">
        <v>3.2402146319999998</v>
      </c>
      <c r="DP3" s="5">
        <v>3.3105156529999999</v>
      </c>
      <c r="DQ3" s="3">
        <f t="shared" ref="DQ3:DQ17" si="12">AVERAGE(DN3,DP3)</f>
        <v>3.2636416884999999</v>
      </c>
      <c r="DR3" s="68">
        <v>8.4507175750000005</v>
      </c>
      <c r="DS3" s="5">
        <v>6.8197445090000004</v>
      </c>
      <c r="DT3" s="5">
        <v>4.6827379880000004</v>
      </c>
      <c r="DU3" s="3">
        <f t="shared" ref="DU3:DU17" si="13">AVERAGE(DR3,DT3)</f>
        <v>6.5667277815000009</v>
      </c>
      <c r="DV3" s="24">
        <f t="shared" ref="DV3:DV17" si="14">DR3-DN3</f>
        <v>5.2339498510000002</v>
      </c>
      <c r="DW3" s="24">
        <f t="shared" ref="DW3:DW17" si="15">DS3-DO3</f>
        <v>3.5795298770000006</v>
      </c>
      <c r="DX3" s="240">
        <f t="shared" ref="DX3:DX17" si="16">DT3-DP3</f>
        <v>1.3722223350000005</v>
      </c>
      <c r="DY3" s="103">
        <f t="shared" ref="DY3:DY17" si="17">DU3-DQ3</f>
        <v>3.303086093000001</v>
      </c>
      <c r="DZ3" s="295" t="s">
        <v>524</v>
      </c>
      <c r="EA3" s="18">
        <v>8.4756659750000001</v>
      </c>
      <c r="EB3" s="18">
        <v>6.2187548550000002</v>
      </c>
      <c r="EC3" s="18">
        <v>6.7217666649999996</v>
      </c>
      <c r="ED3" s="3">
        <f t="shared" ref="ED3:ED17" si="18">AVERAGE(EA3,EC3)</f>
        <v>7.5987163199999994</v>
      </c>
      <c r="EE3" s="18">
        <v>5.8717347899999996</v>
      </c>
      <c r="EF3" s="18">
        <v>5.3498013479999997</v>
      </c>
      <c r="EG3" s="18">
        <v>4.1786548100000003</v>
      </c>
      <c r="EH3" s="3">
        <f t="shared" ref="EH3:EH17" si="19">AVERAGE(EE3,EG3)</f>
        <v>5.0251947999999995</v>
      </c>
      <c r="EI3" s="24">
        <f t="shared" ref="EI3:EI17" si="20">EE3-EA3</f>
        <v>-2.6039311850000004</v>
      </c>
      <c r="EJ3" s="24">
        <f t="shared" ref="EJ3:EJ17" si="21">EF3-EB3</f>
        <v>-0.86895350700000051</v>
      </c>
      <c r="EK3" s="240">
        <f t="shared" ref="EK3:EK17" si="22">EG3-EC3</f>
        <v>-2.5431118549999994</v>
      </c>
      <c r="EL3" s="188">
        <f t="shared" ref="EL3:EL17" si="23">EH3-ED3</f>
        <v>-2.5735215199999999</v>
      </c>
      <c r="EM3" s="295" t="s">
        <v>524</v>
      </c>
      <c r="EN3" s="151" t="s">
        <v>466</v>
      </c>
      <c r="EO3" s="244">
        <v>32.559413042826897</v>
      </c>
      <c r="EP3" s="151" t="s">
        <v>467</v>
      </c>
      <c r="EQ3" s="244">
        <v>48.414092869684701</v>
      </c>
      <c r="ER3" s="244">
        <f t="shared" ref="ER3:ER9" si="24">AVERAGE(EO3,EQ3)</f>
        <v>40.486752956255799</v>
      </c>
      <c r="ES3" s="18">
        <v>0</v>
      </c>
      <c r="ET3" s="18">
        <v>9</v>
      </c>
      <c r="EU3" s="18">
        <v>9</v>
      </c>
      <c r="EV3" s="18">
        <v>0</v>
      </c>
      <c r="EW3" s="18">
        <v>1</v>
      </c>
      <c r="EX3" s="18">
        <v>0</v>
      </c>
      <c r="EY3" s="18">
        <v>19</v>
      </c>
      <c r="EZ3" s="220">
        <v>-1.6873948219999999</v>
      </c>
      <c r="FA3" s="18">
        <v>-20.550620935191617</v>
      </c>
      <c r="FB3" s="309">
        <v>1</v>
      </c>
      <c r="FC3" s="101">
        <v>58</v>
      </c>
      <c r="FD3" s="18">
        <v>24</v>
      </c>
      <c r="FE3" s="340">
        <v>11</v>
      </c>
      <c r="FF3" s="18">
        <v>-3.999999910592E-3</v>
      </c>
      <c r="FG3" s="18">
        <v>-6.6666665176533342E-3</v>
      </c>
      <c r="FH3" s="18">
        <v>2.6666667933273335E-2</v>
      </c>
      <c r="FI3" s="18">
        <v>3.6666665226346672E-2</v>
      </c>
      <c r="FJ3" s="18">
        <v>6.9999998435520003E-2</v>
      </c>
      <c r="FK3" s="18">
        <v>-5.7142855865600006E-3</v>
      </c>
      <c r="FL3" s="18">
        <v>-3.3333332588266671E-3</v>
      </c>
      <c r="FM3" s="18">
        <v>7.0000001539646653E-2</v>
      </c>
      <c r="FN3" s="18">
        <v>0.98666667938233321</v>
      </c>
      <c r="FO3" s="18">
        <v>0.27333332784493997</v>
      </c>
      <c r="FP3" s="18">
        <v>-6.6666665176533342E-3</v>
      </c>
      <c r="FQ3" s="322">
        <v>0</v>
      </c>
      <c r="FR3" s="5">
        <v>1</v>
      </c>
      <c r="FS3" s="5">
        <v>6</v>
      </c>
      <c r="FT3" s="220">
        <v>-1.6873948219999999</v>
      </c>
      <c r="FU3" s="18">
        <v>0</v>
      </c>
      <c r="FV3" s="18">
        <v>9</v>
      </c>
      <c r="FW3" s="18">
        <v>9</v>
      </c>
      <c r="FX3" s="18">
        <v>0</v>
      </c>
      <c r="FY3" s="18">
        <v>1</v>
      </c>
      <c r="FZ3" s="18">
        <v>0</v>
      </c>
      <c r="GA3" s="18">
        <v>19</v>
      </c>
      <c r="GC3" s="5">
        <v>131</v>
      </c>
      <c r="GD3" s="5">
        <v>80</v>
      </c>
      <c r="GE3" s="5">
        <v>159</v>
      </c>
      <c r="GF3" s="5">
        <v>50</v>
      </c>
      <c r="GG3" s="5">
        <v>161</v>
      </c>
      <c r="GH3" s="144">
        <v>0</v>
      </c>
      <c r="GI3" s="68">
        <v>74.843299999999999</v>
      </c>
      <c r="GJ3" s="5">
        <v>67.620199999999997</v>
      </c>
      <c r="GK3" s="5">
        <f t="shared" ref="GK3:GK17" si="25">GI3-GJ3</f>
        <v>7.2231000000000023</v>
      </c>
      <c r="GL3" s="5">
        <f t="shared" ref="GL3:GL17" si="26">GI3/GJ3</f>
        <v>1.1068186725268485</v>
      </c>
      <c r="GM3" s="80">
        <f t="shared" ref="GM3:GM17" si="27">LOG(GL3)</f>
        <v>4.4076477273186795E-2</v>
      </c>
      <c r="GN3" s="68">
        <v>65.334699999999998</v>
      </c>
      <c r="GO3" s="5">
        <v>63.9465</v>
      </c>
      <c r="GP3" s="5">
        <f t="shared" ref="GP3:GP17" si="28">GN3-GO3</f>
        <v>1.3881999999999977</v>
      </c>
      <c r="GQ3" s="80">
        <f t="shared" ref="GQ3:GQ17" si="29">GN3/GO3</f>
        <v>1.0217087721767415</v>
      </c>
      <c r="GR3" s="68">
        <v>72.250500000000002</v>
      </c>
      <c r="GS3" s="5">
        <v>65.236000000000004</v>
      </c>
      <c r="GT3" s="5">
        <f t="shared" ref="GT3:GT17" si="30">GR3-GS3</f>
        <v>7.0144999999999982</v>
      </c>
      <c r="GU3" s="80">
        <f t="shared" ref="GU3:GU17" si="31">GR3/GS3</f>
        <v>1.1075249862039365</v>
      </c>
      <c r="GV3" s="68">
        <v>53.774000000000001</v>
      </c>
      <c r="GW3" s="5">
        <v>76.178700000000006</v>
      </c>
      <c r="GX3" s="5">
        <f t="shared" ref="GX3:GX17" si="32">GV3-GW3</f>
        <v>-22.404700000000005</v>
      </c>
      <c r="GY3" s="80">
        <f t="shared" ref="GY3:GY17" si="33">GV3/GW3</f>
        <v>0.70589285456433359</v>
      </c>
      <c r="GZ3" s="68">
        <v>91.088800000000006</v>
      </c>
      <c r="HA3" s="5">
        <v>72.750799999999998</v>
      </c>
      <c r="HB3" s="5">
        <f t="shared" ref="HB3:HB17" si="34">GZ3-HA3</f>
        <v>18.338000000000008</v>
      </c>
      <c r="HC3" s="80">
        <f t="shared" ref="HC3:HC17" si="35">GZ3/HA3</f>
        <v>1.2520659566630197</v>
      </c>
      <c r="HD3" s="68">
        <v>55.591500000000003</v>
      </c>
      <c r="HE3" s="5">
        <v>55.807000000000002</v>
      </c>
      <c r="HF3" s="5">
        <f t="shared" ref="HF3:HF17" si="36">HD3-HE3</f>
        <v>-0.21549999999999869</v>
      </c>
      <c r="HG3" s="80">
        <f t="shared" ref="HG3:HG17" si="37">HD3/HE3</f>
        <v>0.9961384772519577</v>
      </c>
      <c r="HH3" s="68">
        <v>58.429000000000002</v>
      </c>
      <c r="HI3" s="5">
        <v>58.607300000000002</v>
      </c>
      <c r="HJ3" s="5">
        <f t="shared" ref="HJ3:HJ17" si="38">HH3-HI3</f>
        <v>-0.17830000000000013</v>
      </c>
      <c r="HK3" s="80">
        <f t="shared" ref="HK3:HK17" si="39">HH3/HI3</f>
        <v>0.99695771687144774</v>
      </c>
      <c r="HL3" s="68">
        <v>56.892699999999998</v>
      </c>
      <c r="HM3" s="5">
        <v>58.643500000000003</v>
      </c>
      <c r="HN3" s="5">
        <f t="shared" ref="HN3:HN17" si="40">HL3-HM3</f>
        <v>-1.7508000000000052</v>
      </c>
      <c r="HO3" s="80">
        <f t="shared" ref="HO3:HO17" si="41">HL3/HM3</f>
        <v>0.97014502886082843</v>
      </c>
      <c r="HP3" s="68">
        <v>48.6175</v>
      </c>
      <c r="HQ3" s="5">
        <v>48.289900000000003</v>
      </c>
      <c r="HR3" s="5">
        <f t="shared" ref="HR3:HR17" si="42">HP3-HQ3</f>
        <v>0.32759999999999678</v>
      </c>
      <c r="HS3" s="80">
        <f t="shared" ref="HS3:HS17" si="43">HP3/HQ3</f>
        <v>1.0067840273017752</v>
      </c>
      <c r="HT3" s="68">
        <v>45.715600000000002</v>
      </c>
      <c r="HU3" s="5">
        <v>46.976199999999999</v>
      </c>
      <c r="HV3" s="5">
        <f t="shared" ref="HV3:HV17" si="44">HT3-HU3</f>
        <v>-1.2605999999999966</v>
      </c>
      <c r="HW3" s="80">
        <f t="shared" ref="HW3:HW17" si="45">HT3/HU3</f>
        <v>0.9731651346852237</v>
      </c>
      <c r="HX3" s="68">
        <v>58.826999999999998</v>
      </c>
      <c r="HY3" s="5">
        <v>56.332000000000001</v>
      </c>
      <c r="HZ3" s="5">
        <f t="shared" ref="HZ3:HZ17" si="46">HX3-HY3</f>
        <v>2.4949999999999974</v>
      </c>
      <c r="IA3" s="80">
        <f t="shared" ref="IA3:IA17" si="47">HX3/HY3</f>
        <v>1.0442909891358374</v>
      </c>
      <c r="IB3" s="68">
        <v>76.114800000000002</v>
      </c>
      <c r="IC3" s="5">
        <v>70.202500000000001</v>
      </c>
      <c r="ID3" s="5">
        <f t="shared" ref="ID3:ID17" si="48">IB3-IC3</f>
        <v>5.9123000000000019</v>
      </c>
      <c r="IE3" s="5">
        <f t="shared" ref="IE3:IE17" si="49">IB3/IC3</f>
        <v>1.0842177985114489</v>
      </c>
      <c r="IF3" s="68">
        <v>52.249699999999997</v>
      </c>
      <c r="IG3" s="5">
        <v>53.003700000000002</v>
      </c>
      <c r="IH3" s="5">
        <f t="shared" ref="IH3:IH17" si="50">IF3-IG3</f>
        <v>-0.75400000000000489</v>
      </c>
      <c r="II3" s="80">
        <f t="shared" ref="II3:II17" si="51">IF3/IG3</f>
        <v>0.98577457800115831</v>
      </c>
      <c r="IJ3" s="68">
        <v>54.146999999999998</v>
      </c>
      <c r="IK3" s="5">
        <v>55.443800000000003</v>
      </c>
      <c r="IL3" s="5">
        <f t="shared" ref="IL3:IL17" si="52">IJ3-IK3</f>
        <v>-1.2968000000000046</v>
      </c>
      <c r="IM3" s="80">
        <f t="shared" ref="IM3:IM17" si="53">IJ3/IK3</f>
        <v>0.97661054978194128</v>
      </c>
      <c r="IN3" s="68">
        <v>62.913499999999999</v>
      </c>
      <c r="IO3" s="5">
        <v>61.563699999999997</v>
      </c>
      <c r="IP3" s="5">
        <f t="shared" ref="IP3:IP17" si="54">IN3-IO3</f>
        <v>1.3498000000000019</v>
      </c>
      <c r="IQ3" s="5">
        <f t="shared" ref="IQ3:IQ17" si="55">IN3/IO3</f>
        <v>1.0219252579036022</v>
      </c>
      <c r="IR3" s="80">
        <f t="shared" ref="IR3:IR17" si="56">LOG(HC3)</f>
        <v>9.7627207357083912E-2</v>
      </c>
      <c r="IS3" s="18">
        <v>40.486752956255799</v>
      </c>
      <c r="IT3" s="18">
        <f t="shared" ref="IT3:IT8" si="57">IS3/100</f>
        <v>0.404867529562558</v>
      </c>
      <c r="IV3" s="336" t="s">
        <v>593</v>
      </c>
      <c r="IW3" s="18">
        <v>0.64809904041364497</v>
      </c>
      <c r="IX3" s="18">
        <f t="shared" ref="IX3:IX8" si="58">1-IW3</f>
        <v>0.35190095958635503</v>
      </c>
      <c r="IY3" s="336" t="s">
        <v>593</v>
      </c>
      <c r="IZ3" s="18">
        <v>0.5035201700277</v>
      </c>
      <c r="JB3" s="336" t="s">
        <v>593</v>
      </c>
      <c r="JC3" s="18">
        <v>0.244943388843369</v>
      </c>
      <c r="JD3" s="18">
        <f t="shared" ref="JD3:JD8" si="59">1-JC3</f>
        <v>0.75505661115663103</v>
      </c>
      <c r="JE3" s="336" t="s">
        <v>593</v>
      </c>
      <c r="JF3" s="18">
        <v>0.50102159895769205</v>
      </c>
      <c r="JI3" s="336" t="s">
        <v>593</v>
      </c>
      <c r="JJ3" s="18">
        <v>0.65714946064990098</v>
      </c>
      <c r="JL3" s="336" t="s">
        <v>593</v>
      </c>
      <c r="JM3" s="18">
        <v>0.51877938138697299</v>
      </c>
      <c r="JO3" s="336" t="s">
        <v>593</v>
      </c>
      <c r="JP3" s="18">
        <v>0.399774026575279</v>
      </c>
      <c r="JR3" s="336" t="s">
        <v>593</v>
      </c>
      <c r="JS3" s="18">
        <v>0.61036403522636096</v>
      </c>
      <c r="JT3" s="68" t="s">
        <v>524</v>
      </c>
      <c r="JU3" s="347">
        <v>2.6200000000000001E-2</v>
      </c>
      <c r="JV3" s="347">
        <v>7.4999999999999997E-3</v>
      </c>
      <c r="JW3" s="347">
        <f>AVERAGE(JU3:JV3)</f>
        <v>1.685E-2</v>
      </c>
      <c r="JX3" s="348">
        <v>9.5899999999999999E-2</v>
      </c>
      <c r="JY3" s="348">
        <v>2.93E-2</v>
      </c>
      <c r="JZ3" s="348">
        <f>AVERAGE(JX3:JY3)</f>
        <v>6.2600000000000003E-2</v>
      </c>
      <c r="KA3" s="347">
        <f>JZ3-JW3</f>
        <v>4.5749999999999999E-2</v>
      </c>
      <c r="KB3" s="347">
        <f>JZ3/JW3</f>
        <v>3.71513353115727</v>
      </c>
      <c r="KC3" s="354">
        <f t="shared" ref="KC3:KC7" si="60">KB3+3.878</f>
        <v>7.5931335311572701</v>
      </c>
      <c r="KD3" s="18">
        <f>LOG(KC3)</f>
        <v>0.88042103735122701</v>
      </c>
      <c r="KE3" s="18">
        <v>0.88042103735122701</v>
      </c>
      <c r="KF3" s="340">
        <v>11</v>
      </c>
      <c r="KG3" s="18">
        <v>-3.999999910592E-3</v>
      </c>
      <c r="KH3" s="18">
        <v>-6.6666665176533342E-3</v>
      </c>
      <c r="KI3" s="18">
        <v>2.6666667933273335E-2</v>
      </c>
      <c r="KJ3" s="18">
        <v>3.6666665226346672E-2</v>
      </c>
      <c r="KK3" s="18">
        <v>6.9999998435520003E-2</v>
      </c>
      <c r="KL3" s="18">
        <v>-5.7142855865600006E-3</v>
      </c>
      <c r="KM3" s="18">
        <v>-3.3333332588266671E-3</v>
      </c>
      <c r="KN3" s="18">
        <v>7.0000001539646653E-2</v>
      </c>
      <c r="KO3" s="18">
        <v>0.98666667938233321</v>
      </c>
      <c r="KP3" s="18">
        <v>0.27333332784493997</v>
      </c>
      <c r="KQ3" s="18">
        <v>-6.6666665176533342E-3</v>
      </c>
      <c r="KR3" s="358" t="s">
        <v>623</v>
      </c>
      <c r="KS3" s="358">
        <v>11</v>
      </c>
      <c r="KT3" s="358">
        <v>16</v>
      </c>
      <c r="KU3" s="358">
        <v>10.5</v>
      </c>
      <c r="KV3" s="358">
        <v>3</v>
      </c>
      <c r="KW3" s="358">
        <v>10</v>
      </c>
      <c r="KX3" s="358">
        <v>0</v>
      </c>
      <c r="KY3" s="144">
        <v>0</v>
      </c>
      <c r="KZ3" s="158" t="s">
        <v>524</v>
      </c>
      <c r="LA3" s="68">
        <v>0.49480000000000002</v>
      </c>
      <c r="LB3" s="5">
        <v>0.49719999999999998</v>
      </c>
      <c r="LC3" s="5">
        <f>AVERAGE(LA3:LB3)</f>
        <v>0.496</v>
      </c>
      <c r="LD3" s="5">
        <v>0.52359999999999995</v>
      </c>
      <c r="LE3" s="5">
        <v>0.51370000000000005</v>
      </c>
      <c r="LF3" s="80">
        <f>AVERAGE(LD3:LE3)</f>
        <v>0.51865000000000006</v>
      </c>
      <c r="LG3" s="77">
        <f>LC3-LF3</f>
        <v>-2.2650000000000059E-2</v>
      </c>
      <c r="LH3" s="68">
        <v>6.7457000000000003</v>
      </c>
      <c r="LI3" s="5">
        <v>6.4036999999999997</v>
      </c>
      <c r="LJ3" s="5">
        <f>AVERAGE(LH3:LI3)</f>
        <v>6.5747</v>
      </c>
      <c r="LK3" s="5">
        <v>9.3452000000000002</v>
      </c>
      <c r="LL3" s="5">
        <v>8.1631</v>
      </c>
      <c r="LM3" s="80">
        <f>AVERAGE(LK3:LL3)</f>
        <v>8.7541499999999992</v>
      </c>
      <c r="LN3" s="77">
        <f>LJ3-LM3</f>
        <v>-2.1794499999999992</v>
      </c>
      <c r="LO3" s="68">
        <v>1.0430999999999999</v>
      </c>
      <c r="LP3" s="5">
        <v>1.0210999999999999</v>
      </c>
      <c r="LQ3" s="5">
        <f t="shared" ref="LQ3:LQ17" si="61">AVERAGE(LO3:LP3)</f>
        <v>1.0320999999999998</v>
      </c>
      <c r="LR3" s="5">
        <v>0.9738</v>
      </c>
      <c r="LS3" s="5">
        <v>1.0073000000000001</v>
      </c>
      <c r="LT3" s="80">
        <f t="shared" ref="LT3:LT17" si="62">AVERAGE(LR3:LS3)</f>
        <v>0.99055000000000004</v>
      </c>
      <c r="LU3" s="77">
        <f>LQ3-LT3</f>
        <v>4.1549999999999754E-2</v>
      </c>
      <c r="LV3" s="68">
        <v>0.2923</v>
      </c>
      <c r="LW3" s="5">
        <v>0.30549999999999999</v>
      </c>
      <c r="LX3" s="5">
        <f t="shared" ref="LX3:LX17" si="63">AVERAGE(LV3:LW3)</f>
        <v>0.2989</v>
      </c>
      <c r="LY3" s="5">
        <v>0.3795</v>
      </c>
      <c r="LZ3" s="5">
        <v>0.35210000000000002</v>
      </c>
      <c r="MA3" s="80">
        <f t="shared" ref="MA3:MA17" si="64">AVERAGE(LY3:LZ3)</f>
        <v>0.36580000000000001</v>
      </c>
      <c r="MB3" s="77">
        <f>LX3-MA3</f>
        <v>-6.6900000000000015E-2</v>
      </c>
      <c r="MD3" s="5">
        <v>-1.0039172329999999</v>
      </c>
      <c r="ME3" s="5">
        <v>1.4980359560000001</v>
      </c>
      <c r="MF3" s="5">
        <v>3.0679297399999998</v>
      </c>
      <c r="MG3" s="5">
        <v>2.6242965620000001</v>
      </c>
      <c r="MH3" s="292">
        <v>2.4116468750000002</v>
      </c>
      <c r="MI3" s="18">
        <v>-1.6873948219999999</v>
      </c>
      <c r="MJ3" s="18">
        <v>2.3166915370000001</v>
      </c>
      <c r="MK3" s="18">
        <v>1.8977384850000001</v>
      </c>
      <c r="ML3" s="18">
        <v>2.1336499070000001</v>
      </c>
      <c r="MM3" s="18">
        <v>1.6630495780000001</v>
      </c>
      <c r="MN3" s="18">
        <v>-1.6873948219999999</v>
      </c>
      <c r="MP3" s="285">
        <v>1</v>
      </c>
      <c r="MQ3" s="18">
        <v>0.14599999999999999</v>
      </c>
      <c r="MR3" s="18">
        <v>0.32129999999999997</v>
      </c>
      <c r="MS3" s="18">
        <v>0.77229999999999999</v>
      </c>
      <c r="MT3" s="18">
        <v>0.22770000000000001</v>
      </c>
      <c r="MU3" s="18">
        <v>-0.1089</v>
      </c>
      <c r="MV3" s="18">
        <v>0.41599999999999998</v>
      </c>
      <c r="MW3" s="18">
        <v>0.40899999999999997</v>
      </c>
      <c r="MX3" s="18">
        <v>-7.4999999999999997E-3</v>
      </c>
      <c r="MY3" s="18">
        <v>0.34670000000000001</v>
      </c>
    </row>
    <row r="4" spans="1:363" ht="15.75" customHeight="1" x14ac:dyDescent="0.2">
      <c r="A4" s="3" t="s">
        <v>1</v>
      </c>
      <c r="B4" s="5">
        <v>0</v>
      </c>
      <c r="C4" s="5">
        <v>1</v>
      </c>
      <c r="D4" s="5">
        <v>33</v>
      </c>
      <c r="E4" s="5">
        <v>42</v>
      </c>
      <c r="F4" s="5">
        <v>56</v>
      </c>
      <c r="G4" s="18">
        <v>30</v>
      </c>
      <c r="H4" s="24">
        <v>94</v>
      </c>
      <c r="I4" s="5">
        <v>16</v>
      </c>
      <c r="J4" s="5">
        <v>130</v>
      </c>
      <c r="K4" s="5">
        <v>124</v>
      </c>
      <c r="L4" s="5">
        <v>125</v>
      </c>
      <c r="M4" s="5">
        <v>86</v>
      </c>
      <c r="N4" s="5">
        <v>123</v>
      </c>
      <c r="O4" s="5">
        <v>9.5</v>
      </c>
      <c r="P4" s="5">
        <v>2</v>
      </c>
      <c r="Q4" s="5">
        <v>2</v>
      </c>
      <c r="R4" s="5">
        <v>-1</v>
      </c>
      <c r="S4" s="5">
        <v>8</v>
      </c>
      <c r="T4" s="18">
        <v>8</v>
      </c>
      <c r="U4" s="5">
        <v>1</v>
      </c>
      <c r="V4" s="5">
        <v>5</v>
      </c>
      <c r="W4" s="5">
        <v>4</v>
      </c>
      <c r="X4" s="5">
        <v>-5</v>
      </c>
      <c r="Y4" s="5">
        <v>-2</v>
      </c>
      <c r="Z4" s="92">
        <v>2.0308752631578979E-2</v>
      </c>
      <c r="AA4" s="88">
        <v>11.5</v>
      </c>
      <c r="AB4" s="68"/>
      <c r="AC4" s="5"/>
      <c r="AD4" s="5"/>
      <c r="AE4" s="80"/>
      <c r="AF4" s="179"/>
      <c r="AG4" s="154"/>
      <c r="AH4" s="154"/>
      <c r="AI4" s="154"/>
      <c r="AJ4" s="68"/>
      <c r="AK4" s="5"/>
      <c r="AL4" s="5"/>
      <c r="AM4" s="80"/>
      <c r="AN4" s="127">
        <v>77</v>
      </c>
      <c r="AO4" s="79">
        <v>82</v>
      </c>
      <c r="AP4" s="79">
        <v>81</v>
      </c>
      <c r="AQ4" s="128">
        <v>80</v>
      </c>
      <c r="AR4" s="127">
        <v>78</v>
      </c>
      <c r="AS4" s="79">
        <v>76</v>
      </c>
      <c r="AT4" s="79">
        <v>97</v>
      </c>
      <c r="AU4" s="128">
        <v>84</v>
      </c>
      <c r="AV4" s="179">
        <f t="shared" si="0"/>
        <v>1</v>
      </c>
      <c r="AW4" s="154">
        <f t="shared" si="1"/>
        <v>-6</v>
      </c>
      <c r="AX4" s="154">
        <f t="shared" si="2"/>
        <v>16</v>
      </c>
      <c r="AY4" s="185">
        <f t="shared" si="3"/>
        <v>4</v>
      </c>
      <c r="AZ4" s="9"/>
      <c r="BA4" s="77"/>
      <c r="BC4" s="77"/>
      <c r="BD4" s="154">
        <v>0.9</v>
      </c>
      <c r="BE4" s="144">
        <v>0.93</v>
      </c>
      <c r="BF4" s="5">
        <v>2</v>
      </c>
      <c r="BG4" s="5">
        <v>2</v>
      </c>
      <c r="BK4" s="18" t="s">
        <v>1</v>
      </c>
      <c r="BL4" s="18">
        <v>3</v>
      </c>
      <c r="BM4" s="18">
        <v>3</v>
      </c>
      <c r="BN4" s="18">
        <v>4</v>
      </c>
      <c r="BO4" s="18">
        <v>11</v>
      </c>
      <c r="BP4" s="18">
        <v>18</v>
      </c>
      <c r="BQ4" s="138" t="s">
        <v>468</v>
      </c>
      <c r="BR4" s="138">
        <v>-3.7291102489853598E-27</v>
      </c>
      <c r="BS4" s="138" t="s">
        <v>469</v>
      </c>
      <c r="BT4" s="138">
        <v>-1.2543391486447901E-27</v>
      </c>
      <c r="BU4" s="138">
        <f t="shared" si="4"/>
        <v>-2.4917246988150751E-27</v>
      </c>
      <c r="BW4" s="18">
        <v>0.2</v>
      </c>
      <c r="BX4" s="18">
        <v>0</v>
      </c>
      <c r="BY4" s="18">
        <f t="shared" si="5"/>
        <v>0.2</v>
      </c>
      <c r="BZ4" s="3">
        <v>0.40600000000000003</v>
      </c>
      <c r="CA4" s="18">
        <v>0.22666666666666666</v>
      </c>
      <c r="CB4" s="18">
        <v>0.41333333333333327</v>
      </c>
      <c r="CC4" s="18">
        <v>0.37666666666666665</v>
      </c>
      <c r="CD4" s="18">
        <v>0.48333333333333339</v>
      </c>
      <c r="CE4" s="18">
        <v>0.20142857142857146</v>
      </c>
      <c r="CF4" s="18">
        <v>3.8333333333333337E-2</v>
      </c>
      <c r="CG4" s="18">
        <v>0.62</v>
      </c>
      <c r="CH4" s="18">
        <v>0.55000000000000004</v>
      </c>
      <c r="CI4" s="18">
        <v>0.69</v>
      </c>
      <c r="CJ4" s="18">
        <v>0.34</v>
      </c>
      <c r="CK4" s="296" t="s">
        <v>525</v>
      </c>
      <c r="CL4" s="18">
        <v>1.938641179</v>
      </c>
      <c r="CM4" s="18">
        <v>-3.3545457519999999</v>
      </c>
      <c r="CN4" s="18">
        <v>-0.50193669340000002</v>
      </c>
      <c r="CO4" s="18">
        <v>-0.4775746817</v>
      </c>
      <c r="CP4" s="18">
        <v>-0.61372735020000002</v>
      </c>
      <c r="CQ4" s="18">
        <v>-0.94251040259999996</v>
      </c>
      <c r="CR4" s="18">
        <v>-0.40027858490000001</v>
      </c>
      <c r="CS4" s="18">
        <v>-0.28224115220000001</v>
      </c>
      <c r="CT4" s="18">
        <v>-0.4757869656</v>
      </c>
      <c r="CY4" s="18">
        <v>-0.2183285589</v>
      </c>
      <c r="CZ4" s="296" t="s">
        <v>525</v>
      </c>
      <c r="DA4" s="68">
        <v>20.75369152</v>
      </c>
      <c r="DB4" s="5">
        <v>17.75832548</v>
      </c>
      <c r="DC4" s="5">
        <v>19.371486659999999</v>
      </c>
      <c r="DD4" s="80">
        <f t="shared" si="6"/>
        <v>20.062589089999999</v>
      </c>
      <c r="DE4" s="68">
        <v>11.738881040000001</v>
      </c>
      <c r="DF4" s="5">
        <v>16.0000347</v>
      </c>
      <c r="DG4" s="5">
        <v>15.37234582</v>
      </c>
      <c r="DH4" s="80">
        <f t="shared" si="7"/>
        <v>13.555613430000001</v>
      </c>
      <c r="DI4" s="151">
        <f t="shared" si="8"/>
        <v>-9.0148104799999995</v>
      </c>
      <c r="DJ4" s="24">
        <f t="shared" si="9"/>
        <v>-1.7582907799999994</v>
      </c>
      <c r="DK4" s="294">
        <f t="shared" si="10"/>
        <v>-3.999140839999999</v>
      </c>
      <c r="DL4" s="244">
        <f t="shared" si="11"/>
        <v>-6.5069756599999984</v>
      </c>
      <c r="DM4" s="297" t="s">
        <v>525</v>
      </c>
      <c r="DN4" s="68">
        <v>6.1432718570000002</v>
      </c>
      <c r="DO4" s="5">
        <v>5.3621252620000002</v>
      </c>
      <c r="DP4" s="5">
        <v>5.1739891770000002</v>
      </c>
      <c r="DQ4" s="3">
        <f t="shared" si="12"/>
        <v>5.6586305170000006</v>
      </c>
      <c r="DR4" s="68">
        <v>7.8486701649999997</v>
      </c>
      <c r="DS4" s="5">
        <v>8.9043115910000008</v>
      </c>
      <c r="DT4" s="5">
        <v>5.8278123370000001</v>
      </c>
      <c r="DU4" s="3">
        <f t="shared" si="13"/>
        <v>6.8382412509999995</v>
      </c>
      <c r="DV4" s="24">
        <f t="shared" si="14"/>
        <v>1.7053983079999995</v>
      </c>
      <c r="DW4" s="24">
        <f t="shared" si="15"/>
        <v>3.5421863290000006</v>
      </c>
      <c r="DX4" s="24">
        <f t="shared" si="16"/>
        <v>0.65382315999999996</v>
      </c>
      <c r="DY4" s="188">
        <f t="shared" si="17"/>
        <v>1.1796107339999988</v>
      </c>
      <c r="DZ4" s="297" t="s">
        <v>525</v>
      </c>
      <c r="EA4" s="18">
        <v>64.634064850000001</v>
      </c>
      <c r="EB4" s="18">
        <v>46.703520709999999</v>
      </c>
      <c r="EC4" s="18">
        <v>26.04815249</v>
      </c>
      <c r="ED4" s="3">
        <f t="shared" si="18"/>
        <v>45.341108669999997</v>
      </c>
      <c r="EE4" s="18">
        <v>8.3695108220000005</v>
      </c>
      <c r="EF4" s="18">
        <v>16.34055597</v>
      </c>
      <c r="EG4" s="18">
        <v>11.37597933</v>
      </c>
      <c r="EH4" s="3">
        <f t="shared" si="19"/>
        <v>9.8727450760000011</v>
      </c>
      <c r="EI4" s="24">
        <f t="shared" si="20"/>
        <v>-56.264554027999999</v>
      </c>
      <c r="EJ4" s="24">
        <f t="shared" si="21"/>
        <v>-30.362964739999999</v>
      </c>
      <c r="EK4" s="24">
        <f t="shared" si="22"/>
        <v>-14.67217316</v>
      </c>
      <c r="EL4" s="188">
        <f t="shared" si="23"/>
        <v>-35.468363593999996</v>
      </c>
      <c r="EM4" s="297" t="s">
        <v>525</v>
      </c>
      <c r="EN4" s="151" t="s">
        <v>468</v>
      </c>
      <c r="EO4" s="244">
        <v>23.7523116447136</v>
      </c>
      <c r="EP4" s="151" t="s">
        <v>469</v>
      </c>
      <c r="EQ4" s="244">
        <v>41.329914651808799</v>
      </c>
      <c r="ER4" s="244">
        <f t="shared" si="24"/>
        <v>32.541113148261203</v>
      </c>
      <c r="ES4" s="18">
        <v>6</v>
      </c>
      <c r="ET4" s="18">
        <v>14</v>
      </c>
      <c r="EU4" s="18">
        <v>5</v>
      </c>
      <c r="EV4" s="18">
        <v>-1</v>
      </c>
      <c r="EW4" s="18">
        <v>4</v>
      </c>
      <c r="EX4" s="18">
        <v>1</v>
      </c>
      <c r="EY4" s="18">
        <v>29</v>
      </c>
      <c r="EZ4" s="5">
        <v>-3.3545457519999999</v>
      </c>
      <c r="FA4" s="18">
        <v>-33.589345025527166</v>
      </c>
      <c r="FB4" s="310">
        <v>2</v>
      </c>
      <c r="FC4" s="5">
        <v>42</v>
      </c>
      <c r="FD4" s="18">
        <v>30</v>
      </c>
      <c r="FE4" s="340">
        <v>11.5</v>
      </c>
      <c r="FF4" s="18">
        <v>0.40600000000000003</v>
      </c>
      <c r="FG4" s="18">
        <v>0.22666666666666666</v>
      </c>
      <c r="FH4" s="18">
        <v>0.41333333333333327</v>
      </c>
      <c r="FI4" s="18">
        <v>0.37666666666666665</v>
      </c>
      <c r="FJ4" s="18">
        <v>0.48333333333333339</v>
      </c>
      <c r="FK4" s="18">
        <v>0.20142857142857146</v>
      </c>
      <c r="FL4" s="18">
        <v>3.8333333333333337E-2</v>
      </c>
      <c r="FM4" s="18">
        <v>0.62</v>
      </c>
      <c r="FN4" s="18">
        <v>0.55000000000000004</v>
      </c>
      <c r="FO4" s="18">
        <v>0.69</v>
      </c>
      <c r="FP4" s="18">
        <v>0.34</v>
      </c>
      <c r="FQ4" s="322">
        <v>2</v>
      </c>
      <c r="FR4" s="5">
        <v>1</v>
      </c>
      <c r="FS4" s="5">
        <v>-2</v>
      </c>
      <c r="FT4" s="5">
        <v>-3.3545457519999999</v>
      </c>
      <c r="FU4" s="18">
        <v>6</v>
      </c>
      <c r="FV4" s="18">
        <v>14</v>
      </c>
      <c r="FW4" s="18">
        <v>5</v>
      </c>
      <c r="FX4" s="18">
        <v>-1</v>
      </c>
      <c r="FY4" s="18">
        <v>4</v>
      </c>
      <c r="FZ4" s="18">
        <v>1</v>
      </c>
      <c r="GA4" s="18">
        <v>29</v>
      </c>
      <c r="GC4" s="5">
        <v>130</v>
      </c>
      <c r="GD4" s="5">
        <v>124</v>
      </c>
      <c r="GE4" s="5">
        <v>125</v>
      </c>
      <c r="GF4" s="5">
        <v>86</v>
      </c>
      <c r="GG4" s="5">
        <v>123</v>
      </c>
      <c r="GH4" s="144">
        <v>0.93</v>
      </c>
      <c r="GI4" s="68">
        <v>78.474299999999999</v>
      </c>
      <c r="GJ4" s="5">
        <v>60.856499999999997</v>
      </c>
      <c r="GK4" s="5">
        <f t="shared" si="25"/>
        <v>17.617800000000003</v>
      </c>
      <c r="GL4" s="5">
        <f t="shared" si="26"/>
        <v>1.2894974242685662</v>
      </c>
      <c r="GM4" s="80">
        <f t="shared" si="27"/>
        <v>0.11042047898495608</v>
      </c>
      <c r="GN4" s="68">
        <v>67.063500000000005</v>
      </c>
      <c r="GO4" s="5">
        <v>59.012</v>
      </c>
      <c r="GP4" s="5">
        <f t="shared" si="28"/>
        <v>8.0515000000000043</v>
      </c>
      <c r="GQ4" s="80">
        <f t="shared" si="29"/>
        <v>1.1364383515217245</v>
      </c>
      <c r="GR4" s="68">
        <v>75.308800000000005</v>
      </c>
      <c r="GS4" s="5">
        <v>62.24</v>
      </c>
      <c r="GT4" s="5">
        <f t="shared" si="30"/>
        <v>13.068800000000003</v>
      </c>
      <c r="GU4" s="80">
        <f t="shared" si="31"/>
        <v>1.209974293059126</v>
      </c>
      <c r="GV4" s="68">
        <v>24.652899999999999</v>
      </c>
      <c r="GW4" s="5">
        <v>50.599600000000002</v>
      </c>
      <c r="GX4" s="5">
        <f t="shared" si="32"/>
        <v>-25.946700000000003</v>
      </c>
      <c r="GY4" s="80">
        <f t="shared" si="33"/>
        <v>0.48721531395505097</v>
      </c>
      <c r="GZ4" s="68">
        <v>91.446799999999996</v>
      </c>
      <c r="HA4" s="5">
        <v>51.344799999999999</v>
      </c>
      <c r="HB4" s="5">
        <f t="shared" si="34"/>
        <v>40.101999999999997</v>
      </c>
      <c r="HC4" s="80">
        <f t="shared" si="35"/>
        <v>1.7810333276203236</v>
      </c>
      <c r="HD4" s="68">
        <v>54.386499999999998</v>
      </c>
      <c r="HE4" s="5">
        <v>46.563499999999998</v>
      </c>
      <c r="HF4" s="5">
        <f t="shared" si="36"/>
        <v>7.8230000000000004</v>
      </c>
      <c r="HG4" s="80">
        <f t="shared" si="37"/>
        <v>1.1680071300482138</v>
      </c>
      <c r="HH4" s="68">
        <v>56.170999999999999</v>
      </c>
      <c r="HI4" s="5">
        <v>47.178699999999999</v>
      </c>
      <c r="HJ4" s="5">
        <f t="shared" si="38"/>
        <v>8.9923000000000002</v>
      </c>
      <c r="HK4" s="80">
        <f t="shared" si="39"/>
        <v>1.1906008431771118</v>
      </c>
      <c r="HL4" s="68">
        <v>56.983800000000002</v>
      </c>
      <c r="HM4" s="5">
        <v>53.225499999999997</v>
      </c>
      <c r="HN4" s="5">
        <f t="shared" si="40"/>
        <v>3.7583000000000055</v>
      </c>
      <c r="HO4" s="80">
        <f t="shared" si="41"/>
        <v>1.0706108913960415</v>
      </c>
      <c r="HP4" s="68">
        <v>45.081099999999999</v>
      </c>
      <c r="HQ4" s="5">
        <v>47.296500000000002</v>
      </c>
      <c r="HR4" s="5">
        <f t="shared" si="42"/>
        <v>-2.2154000000000025</v>
      </c>
      <c r="HS4" s="80">
        <f t="shared" si="43"/>
        <v>0.95315932468575892</v>
      </c>
      <c r="HT4" s="68">
        <v>41.8005</v>
      </c>
      <c r="HU4" s="5">
        <v>40.956200000000003</v>
      </c>
      <c r="HV4" s="5">
        <f t="shared" si="44"/>
        <v>0.84429999999999694</v>
      </c>
      <c r="HW4" s="80">
        <f t="shared" si="45"/>
        <v>1.020614705465839</v>
      </c>
      <c r="HX4" s="68">
        <v>58.640300000000003</v>
      </c>
      <c r="HY4" s="5">
        <v>53.695799999999998</v>
      </c>
      <c r="HZ4" s="5">
        <f t="shared" si="46"/>
        <v>4.944500000000005</v>
      </c>
      <c r="IA4" s="80">
        <f t="shared" si="47"/>
        <v>1.0920835521586418</v>
      </c>
      <c r="IB4" s="68">
        <v>77.659300000000002</v>
      </c>
      <c r="IC4" s="5">
        <v>67.589299999999994</v>
      </c>
      <c r="ID4" s="5">
        <f t="shared" si="48"/>
        <v>10.070000000000007</v>
      </c>
      <c r="IE4" s="5">
        <f t="shared" si="49"/>
        <v>1.1489880794741181</v>
      </c>
      <c r="IF4" s="68">
        <v>48.4084</v>
      </c>
      <c r="IG4" s="5">
        <v>44.8279</v>
      </c>
      <c r="IH4" s="5">
        <f t="shared" si="50"/>
        <v>3.5805000000000007</v>
      </c>
      <c r="II4" s="80">
        <f t="shared" si="51"/>
        <v>1.0798721332027599</v>
      </c>
      <c r="IJ4" s="68">
        <v>51.405999999999999</v>
      </c>
      <c r="IK4" s="5">
        <v>47.210299999999997</v>
      </c>
      <c r="IL4" s="5">
        <f t="shared" si="52"/>
        <v>4.1957000000000022</v>
      </c>
      <c r="IM4" s="80">
        <f t="shared" si="53"/>
        <v>1.0888725553533869</v>
      </c>
      <c r="IN4" s="68">
        <v>57.267000000000003</v>
      </c>
      <c r="IO4" s="5">
        <v>54.224200000000003</v>
      </c>
      <c r="IP4" s="5">
        <f t="shared" si="54"/>
        <v>3.0427999999999997</v>
      </c>
      <c r="IQ4" s="5">
        <f t="shared" si="55"/>
        <v>1.0561151662910655</v>
      </c>
      <c r="IR4" s="80">
        <f t="shared" si="56"/>
        <v>0.25067204628310774</v>
      </c>
      <c r="IS4" s="18">
        <v>32.541113148261203</v>
      </c>
      <c r="IT4" s="18">
        <f t="shared" si="57"/>
        <v>0.32541113148261203</v>
      </c>
      <c r="IV4" s="336" t="s">
        <v>594</v>
      </c>
      <c r="IW4" s="18">
        <v>0.35023930109753099</v>
      </c>
      <c r="IX4" s="18">
        <f t="shared" si="58"/>
        <v>0.64976069890246901</v>
      </c>
      <c r="IY4" s="336" t="s">
        <v>594</v>
      </c>
      <c r="IZ4" s="18">
        <v>0.21050644835506099</v>
      </c>
      <c r="JB4" s="336" t="s">
        <v>594</v>
      </c>
      <c r="JC4" s="18">
        <v>0.27703996309275802</v>
      </c>
      <c r="JD4" s="18">
        <f t="shared" si="59"/>
        <v>0.72296003690724198</v>
      </c>
      <c r="JE4" s="336" t="s">
        <v>594</v>
      </c>
      <c r="JF4" s="18">
        <v>0.45154655626411</v>
      </c>
      <c r="JI4" s="336" t="s">
        <v>594</v>
      </c>
      <c r="JJ4" s="18">
        <v>0.31991479442487902</v>
      </c>
      <c r="JL4" s="336" t="s">
        <v>594</v>
      </c>
      <c r="JM4" s="18">
        <v>0.22875973293013299</v>
      </c>
      <c r="JO4" s="336" t="s">
        <v>594</v>
      </c>
      <c r="JP4" s="18">
        <v>0.29921809698499302</v>
      </c>
      <c r="JR4" s="336" t="s">
        <v>594</v>
      </c>
      <c r="JS4" s="18">
        <v>0.39520924927720302</v>
      </c>
      <c r="JT4" s="68" t="s">
        <v>525</v>
      </c>
      <c r="JU4" s="347">
        <v>9.4999999999999998E-3</v>
      </c>
      <c r="JV4" s="347">
        <v>1.21E-2</v>
      </c>
      <c r="JW4" s="347">
        <f t="shared" ref="JW4:JW17" si="65">AVERAGE(JU4:JV4)</f>
        <v>1.0800000000000001E-2</v>
      </c>
      <c r="JX4" s="348">
        <v>7.7399999999999997E-2</v>
      </c>
      <c r="JY4" s="348">
        <v>3.1800000000000002E-2</v>
      </c>
      <c r="JZ4" s="348">
        <f t="shared" ref="JZ4:JZ17" si="66">AVERAGE(JX4:JY4)</f>
        <v>5.4599999999999996E-2</v>
      </c>
      <c r="KA4" s="347">
        <f t="shared" ref="KA4:KA17" si="67">JZ4-JW4</f>
        <v>4.3799999999999992E-2</v>
      </c>
      <c r="KB4" s="347">
        <f t="shared" ref="KB4:KB17" si="68">JZ4/JW4</f>
        <v>5.0555555555555545</v>
      </c>
      <c r="KC4" s="354">
        <f t="shared" si="60"/>
        <v>8.9335555555555537</v>
      </c>
      <c r="KD4" s="18">
        <f t="shared" ref="KD4:KD17" si="69">LOG(KC4)</f>
        <v>0.9510243425200795</v>
      </c>
      <c r="KE4" s="18">
        <v>0.9510243425200795</v>
      </c>
      <c r="KF4" s="340">
        <v>11.5</v>
      </c>
      <c r="KG4" s="18">
        <v>0.40600000000000003</v>
      </c>
      <c r="KH4" s="18">
        <v>0.22666666666666666</v>
      </c>
      <c r="KI4" s="18">
        <v>0.41333333333333327</v>
      </c>
      <c r="KJ4" s="18">
        <v>0.37666666666666665</v>
      </c>
      <c r="KK4" s="18">
        <v>0.48333333333333339</v>
      </c>
      <c r="KL4" s="18">
        <v>0.20142857142857146</v>
      </c>
      <c r="KM4" s="18">
        <v>3.8333333333333337E-2</v>
      </c>
      <c r="KN4" s="18">
        <v>0.62</v>
      </c>
      <c r="KO4" s="18">
        <v>0.55000000000000004</v>
      </c>
      <c r="KP4" s="18">
        <v>0.69</v>
      </c>
      <c r="KQ4" s="18">
        <v>0.34</v>
      </c>
      <c r="KR4" s="358" t="s">
        <v>624</v>
      </c>
      <c r="KS4" s="358">
        <v>11.5</v>
      </c>
      <c r="KT4" s="358">
        <v>10</v>
      </c>
      <c r="KU4" s="358">
        <v>6.5</v>
      </c>
      <c r="KV4" s="358">
        <v>11.5</v>
      </c>
      <c r="KW4" s="358">
        <v>3.5</v>
      </c>
      <c r="KX4" s="358">
        <v>16</v>
      </c>
      <c r="KY4" s="144">
        <v>0.93</v>
      </c>
      <c r="KZ4" s="158" t="s">
        <v>525</v>
      </c>
      <c r="LA4" s="68">
        <v>0.48349999999999999</v>
      </c>
      <c r="LB4" s="5">
        <v>0.50339999999999996</v>
      </c>
      <c r="LC4" s="5">
        <f t="shared" ref="LC4:LC17" si="70">AVERAGE(LA4:LB4)</f>
        <v>0.49344999999999994</v>
      </c>
      <c r="LD4" s="5">
        <v>0.56499999999999995</v>
      </c>
      <c r="LE4" s="5">
        <v>0.55520000000000003</v>
      </c>
      <c r="LF4" s="80">
        <f t="shared" ref="LF4:LF17" si="71">AVERAGE(LD4:LE4)</f>
        <v>0.56010000000000004</v>
      </c>
      <c r="LG4" s="77">
        <f t="shared" ref="LG4:LG17" si="72">LC4-LF4</f>
        <v>-6.6650000000000098E-2</v>
      </c>
      <c r="LH4" s="68">
        <v>9.7530000000000001</v>
      </c>
      <c r="LI4" s="5">
        <v>12.755599999999999</v>
      </c>
      <c r="LJ4" s="5">
        <f t="shared" ref="LJ4:LJ17" si="73">AVERAGE(LH4:LI4)</f>
        <v>11.254300000000001</v>
      </c>
      <c r="LK4" s="5">
        <v>22.781099999999999</v>
      </c>
      <c r="LL4" s="5">
        <v>17.895900000000001</v>
      </c>
      <c r="LM4" s="80">
        <f t="shared" ref="LM4:LM17" si="74">AVERAGE(LK4:LL4)</f>
        <v>20.3385</v>
      </c>
      <c r="LN4" s="77">
        <f t="shared" ref="LN4:LN17" si="75">LJ4-LM4</f>
        <v>-9.0841999999999992</v>
      </c>
      <c r="LO4" s="68">
        <v>1.0350999999999999</v>
      </c>
      <c r="LP4" s="5">
        <v>1.0199</v>
      </c>
      <c r="LQ4" s="5">
        <f t="shared" si="61"/>
        <v>1.0274999999999999</v>
      </c>
      <c r="LR4" s="5">
        <v>0.90529999999999999</v>
      </c>
      <c r="LS4" s="5">
        <v>0.93259999999999998</v>
      </c>
      <c r="LT4" s="80">
        <f t="shared" si="62"/>
        <v>0.91894999999999993</v>
      </c>
      <c r="LU4" s="77">
        <f t="shared" ref="LU4:LU17" si="76">LQ4-LT4</f>
        <v>0.10854999999999992</v>
      </c>
      <c r="LV4" s="68">
        <v>0.27800000000000002</v>
      </c>
      <c r="LW4" s="5">
        <v>0.32419999999999999</v>
      </c>
      <c r="LX4" s="5">
        <f t="shared" si="63"/>
        <v>0.30110000000000003</v>
      </c>
      <c r="LY4" s="5">
        <v>0.47739999999999999</v>
      </c>
      <c r="LZ4" s="5">
        <v>0.4607</v>
      </c>
      <c r="MA4" s="80">
        <f t="shared" si="64"/>
        <v>0.46904999999999997</v>
      </c>
      <c r="MB4" s="77">
        <f t="shared" ref="MB4:MB17" si="77">LX4-MA4</f>
        <v>-0.16794999999999993</v>
      </c>
      <c r="MD4" s="5">
        <v>-0.81876754659999995</v>
      </c>
      <c r="ME4" s="5">
        <v>1.8509984820000001</v>
      </c>
      <c r="MF4" s="5">
        <v>3.059275027</v>
      </c>
      <c r="MG4" s="5">
        <v>2.1691885929999999</v>
      </c>
      <c r="MH4" s="292">
        <v>2.2282943770000001</v>
      </c>
      <c r="MI4" s="18">
        <v>-3.3545457519999999</v>
      </c>
      <c r="MJ4" s="18">
        <v>3.0048308960000001</v>
      </c>
      <c r="MK4" s="18">
        <v>3.9612370139999999</v>
      </c>
      <c r="ML4" s="18">
        <v>3.4226871060000001</v>
      </c>
      <c r="MM4" s="18">
        <v>1.938641179</v>
      </c>
      <c r="MN4" s="18">
        <v>-3.3545457519999999</v>
      </c>
      <c r="MP4" s="296">
        <v>2</v>
      </c>
      <c r="MQ4" s="18">
        <v>0.53839999999999999</v>
      </c>
      <c r="MR4" s="18">
        <v>0.31459999999999999</v>
      </c>
      <c r="MS4" s="18">
        <v>-0.31069999999999998</v>
      </c>
      <c r="MT4" s="18">
        <v>0.36570000000000003</v>
      </c>
      <c r="MU4" s="18">
        <v>0.21909999999999999</v>
      </c>
      <c r="MV4" s="18">
        <v>-3.3300000000000003E-2</v>
      </c>
      <c r="MW4" s="18">
        <v>0.48159999999999997</v>
      </c>
      <c r="MX4" s="18">
        <v>0.21990000000000001</v>
      </c>
      <c r="MY4" s="18">
        <v>-0.19089999999999999</v>
      </c>
    </row>
    <row r="5" spans="1:363" ht="15.75" customHeight="1" x14ac:dyDescent="0.2">
      <c r="A5" s="3" t="s">
        <v>2</v>
      </c>
      <c r="B5" s="5">
        <v>0</v>
      </c>
      <c r="C5" s="5">
        <v>0</v>
      </c>
      <c r="D5" s="5">
        <v>35</v>
      </c>
      <c r="E5" s="5">
        <v>71</v>
      </c>
      <c r="F5" s="5">
        <v>52</v>
      </c>
      <c r="G5" s="18">
        <v>28</v>
      </c>
      <c r="H5" s="24">
        <v>146</v>
      </c>
      <c r="I5" s="5">
        <v>18</v>
      </c>
      <c r="J5" s="5">
        <v>114</v>
      </c>
      <c r="K5" s="5">
        <v>117</v>
      </c>
      <c r="L5" s="5">
        <v>123</v>
      </c>
      <c r="M5" s="5">
        <v>88</v>
      </c>
      <c r="N5" s="5">
        <v>136</v>
      </c>
      <c r="O5" s="5">
        <v>0</v>
      </c>
      <c r="P5" s="5">
        <v>-8</v>
      </c>
      <c r="Q5" s="5">
        <v>5</v>
      </c>
      <c r="R5" s="5">
        <v>-2</v>
      </c>
      <c r="S5" s="5">
        <v>12</v>
      </c>
      <c r="T5" s="18">
        <v>7</v>
      </c>
      <c r="U5" s="5">
        <v>2</v>
      </c>
      <c r="V5" s="5">
        <v>3</v>
      </c>
      <c r="W5" s="5">
        <v>-2</v>
      </c>
      <c r="X5" s="5">
        <v>1</v>
      </c>
      <c r="Y5" s="5">
        <v>8</v>
      </c>
      <c r="Z5" s="92">
        <v>-4.4648047368420998E-2</v>
      </c>
      <c r="AA5" s="88">
        <v>10.5</v>
      </c>
      <c r="AB5" s="68">
        <v>84</v>
      </c>
      <c r="AC5" s="5">
        <v>84</v>
      </c>
      <c r="AD5" s="5">
        <v>88</v>
      </c>
      <c r="AE5" s="80">
        <v>85</v>
      </c>
      <c r="AF5" s="179">
        <v>-6</v>
      </c>
      <c r="AG5" s="154">
        <v>-2</v>
      </c>
      <c r="AH5" s="154">
        <v>13</v>
      </c>
      <c r="AI5" s="154">
        <v>2</v>
      </c>
      <c r="AJ5" s="68">
        <v>78</v>
      </c>
      <c r="AK5" s="5">
        <v>82</v>
      </c>
      <c r="AL5" s="5">
        <v>101</v>
      </c>
      <c r="AM5" s="80">
        <v>87</v>
      </c>
      <c r="AN5" s="68">
        <v>84</v>
      </c>
      <c r="AO5" s="5">
        <v>84</v>
      </c>
      <c r="AP5" s="5">
        <v>88</v>
      </c>
      <c r="AQ5" s="80">
        <v>85</v>
      </c>
      <c r="AR5" s="68">
        <v>78</v>
      </c>
      <c r="AS5" s="5">
        <v>82</v>
      </c>
      <c r="AT5" s="5">
        <v>101</v>
      </c>
      <c r="AU5" s="80">
        <v>87</v>
      </c>
      <c r="AV5" s="179">
        <f t="shared" si="0"/>
        <v>-6</v>
      </c>
      <c r="AW5" s="154">
        <f t="shared" si="1"/>
        <v>-2</v>
      </c>
      <c r="AX5" s="154">
        <f t="shared" si="2"/>
        <v>13</v>
      </c>
      <c r="AY5" s="185">
        <f t="shared" si="3"/>
        <v>2</v>
      </c>
      <c r="AZ5" s="9">
        <v>1.0476190476190477</v>
      </c>
      <c r="BA5" s="77">
        <v>-0.24725274725274726</v>
      </c>
      <c r="BB5" s="18">
        <v>1</v>
      </c>
      <c r="BC5" s="77">
        <v>-5.1282051282051322E-2</v>
      </c>
      <c r="BD5" s="154">
        <v>0.28999999999999998</v>
      </c>
      <c r="BE5" s="144">
        <v>0.05</v>
      </c>
      <c r="BF5" s="5">
        <v>5</v>
      </c>
      <c r="BG5" s="5">
        <v>-8</v>
      </c>
      <c r="BK5" s="18" t="s">
        <v>2</v>
      </c>
      <c r="BL5" s="18">
        <v>1</v>
      </c>
      <c r="BM5" s="18">
        <v>-6</v>
      </c>
      <c r="BN5" s="18">
        <v>1</v>
      </c>
      <c r="BO5" s="18">
        <v>2</v>
      </c>
      <c r="BP5" s="18">
        <v>-3</v>
      </c>
      <c r="BQ5" s="138" t="s">
        <v>470</v>
      </c>
      <c r="BR5" s="138">
        <v>-6.1412823500982302E-27</v>
      </c>
      <c r="BS5" s="138" t="s">
        <v>471</v>
      </c>
      <c r="BT5" s="138">
        <v>-3.4822260312127097E-27</v>
      </c>
      <c r="BU5" s="138">
        <f t="shared" si="4"/>
        <v>-4.8117541906554696E-27</v>
      </c>
      <c r="BW5" s="18">
        <v>0.17</v>
      </c>
      <c r="BX5" s="18">
        <v>0</v>
      </c>
      <c r="BY5" s="18">
        <f t="shared" si="5"/>
        <v>0.17</v>
      </c>
      <c r="BZ5" s="3">
        <v>0.04</v>
      </c>
      <c r="CA5" s="18">
        <v>0.20000000000000004</v>
      </c>
      <c r="CB5" s="18">
        <v>0.14666666666666667</v>
      </c>
      <c r="CC5" s="18">
        <v>0.28666666666666668</v>
      </c>
      <c r="CD5" s="18">
        <v>3.3333333333333335E-3</v>
      </c>
      <c r="CE5" s="18">
        <v>0.19285714285714287</v>
      </c>
      <c r="CF5" s="18">
        <v>6.6666666666666666E-2</v>
      </c>
      <c r="CG5" s="18">
        <v>0.06</v>
      </c>
      <c r="CH5" s="18">
        <v>0.21</v>
      </c>
      <c r="CI5" s="18">
        <v>0.20666666666666667</v>
      </c>
      <c r="CJ5" s="18">
        <v>0.20333333333333334</v>
      </c>
      <c r="CK5" s="285" t="s">
        <v>526</v>
      </c>
      <c r="CL5" s="18">
        <v>0.4313899839</v>
      </c>
      <c r="CM5" s="18">
        <v>-1.120985176</v>
      </c>
      <c r="CN5" s="18">
        <v>-4.5924071019999999E-2</v>
      </c>
      <c r="CO5" s="18">
        <v>-0.2444994929</v>
      </c>
      <c r="CP5" s="18">
        <v>-0.1093722201</v>
      </c>
      <c r="CQ5" s="18">
        <v>-0.50504371520000002</v>
      </c>
      <c r="CR5" s="18">
        <v>-0.30585200699999998</v>
      </c>
      <c r="CS5" s="18">
        <v>2.7928874409999999E-2</v>
      </c>
      <c r="CT5" s="18">
        <v>-0.963833732</v>
      </c>
      <c r="CY5" s="18">
        <v>-0.31912339880000001</v>
      </c>
      <c r="CZ5" s="285" t="s">
        <v>526</v>
      </c>
      <c r="DA5" s="68">
        <v>12.331647090000001</v>
      </c>
      <c r="DB5" s="5">
        <v>16.485987959999999</v>
      </c>
      <c r="DC5" s="5">
        <v>15.418580220000001</v>
      </c>
      <c r="DD5" s="80">
        <f t="shared" si="6"/>
        <v>13.875113655</v>
      </c>
      <c r="DE5" s="68">
        <v>12.07559809</v>
      </c>
      <c r="DF5" s="5">
        <v>9.6643293490000008</v>
      </c>
      <c r="DG5" s="5">
        <v>9.5368939820000005</v>
      </c>
      <c r="DH5" s="80">
        <f t="shared" si="7"/>
        <v>10.806246036000001</v>
      </c>
      <c r="DI5" s="151">
        <f t="shared" si="8"/>
        <v>-0.25604900000000086</v>
      </c>
      <c r="DJ5" s="298">
        <f t="shared" si="9"/>
        <v>-6.8216586109999984</v>
      </c>
      <c r="DK5" s="294">
        <f t="shared" si="10"/>
        <v>-5.8816862380000003</v>
      </c>
      <c r="DL5" s="244">
        <f t="shared" si="11"/>
        <v>-3.0688676189999988</v>
      </c>
      <c r="DM5" s="295" t="s">
        <v>526</v>
      </c>
      <c r="DN5" s="68">
        <v>3.1394762360000001</v>
      </c>
      <c r="DO5" s="5">
        <v>3.988665433</v>
      </c>
      <c r="DP5" s="5">
        <v>2.278184392</v>
      </c>
      <c r="DQ5" s="3">
        <f t="shared" si="12"/>
        <v>2.7088303140000001</v>
      </c>
      <c r="DR5" s="68">
        <v>3.0736597909999999</v>
      </c>
      <c r="DS5" s="5">
        <v>2.8060170000000002</v>
      </c>
      <c r="DT5" s="5">
        <v>2.7645080370000001</v>
      </c>
      <c r="DU5" s="3">
        <f t="shared" si="13"/>
        <v>2.9190839139999998</v>
      </c>
      <c r="DV5" s="24">
        <f t="shared" si="14"/>
        <v>-6.5816445000000279E-2</v>
      </c>
      <c r="DW5" s="298">
        <f t="shared" si="15"/>
        <v>-1.1826484329999998</v>
      </c>
      <c r="DX5" s="24">
        <f t="shared" si="16"/>
        <v>0.48632364500000014</v>
      </c>
      <c r="DY5" s="188">
        <f t="shared" si="17"/>
        <v>0.21025359999999971</v>
      </c>
      <c r="DZ5" s="295" t="s">
        <v>526</v>
      </c>
      <c r="EA5" s="18">
        <v>6.8701599609999997</v>
      </c>
      <c r="EB5" s="18">
        <v>9.3276164819999998</v>
      </c>
      <c r="EC5" s="18">
        <v>8.9684953200000006</v>
      </c>
      <c r="ED5" s="3">
        <f t="shared" si="18"/>
        <v>7.9193276405000006</v>
      </c>
      <c r="EE5" s="18">
        <v>3.9544541400000002</v>
      </c>
      <c r="EF5" s="18">
        <v>3.4706129030000001</v>
      </c>
      <c r="EG5" s="18">
        <v>4.2902614579999998</v>
      </c>
      <c r="EH5" s="3">
        <f t="shared" si="19"/>
        <v>4.1223577989999995</v>
      </c>
      <c r="EI5" s="24">
        <f t="shared" si="20"/>
        <v>-2.9157058209999995</v>
      </c>
      <c r="EJ5" s="298">
        <f t="shared" si="21"/>
        <v>-5.8570035789999997</v>
      </c>
      <c r="EK5" s="24">
        <f t="shared" si="22"/>
        <v>-4.6782338620000008</v>
      </c>
      <c r="EL5" s="188">
        <f t="shared" si="23"/>
        <v>-3.7969698415000011</v>
      </c>
      <c r="EM5" s="295" t="s">
        <v>526</v>
      </c>
      <c r="EN5" s="151" t="s">
        <v>470</v>
      </c>
      <c r="EO5" s="244">
        <v>41.131008326019803</v>
      </c>
      <c r="EP5" s="151" t="s">
        <v>471</v>
      </c>
      <c r="EQ5" s="244">
        <v>57.688898765607199</v>
      </c>
      <c r="ER5" s="244">
        <f t="shared" si="24"/>
        <v>49.409953545813501</v>
      </c>
      <c r="ES5" s="18">
        <v>3</v>
      </c>
      <c r="ET5" s="18">
        <v>8</v>
      </c>
      <c r="EU5" s="18">
        <v>15</v>
      </c>
      <c r="EV5" s="18">
        <v>0</v>
      </c>
      <c r="EW5" s="18">
        <v>6</v>
      </c>
      <c r="EX5" s="18">
        <v>5</v>
      </c>
      <c r="EY5" s="18">
        <v>37</v>
      </c>
      <c r="EZ5" s="5">
        <v>-1.120985176</v>
      </c>
      <c r="FA5" s="18">
        <v>-3.9522998032431778</v>
      </c>
      <c r="FB5" s="310">
        <v>3</v>
      </c>
      <c r="FC5" s="5">
        <v>71</v>
      </c>
      <c r="FD5" s="18">
        <v>28</v>
      </c>
      <c r="FE5" s="340">
        <v>10.5</v>
      </c>
      <c r="FF5" s="18">
        <v>0.04</v>
      </c>
      <c r="FG5" s="18">
        <v>0.20000000000000004</v>
      </c>
      <c r="FH5" s="18">
        <v>0.14666666666666667</v>
      </c>
      <c r="FI5" s="18">
        <v>0.28666666666666668</v>
      </c>
      <c r="FJ5" s="18">
        <v>3.3333333333333335E-3</v>
      </c>
      <c r="FK5" s="18">
        <v>0.19285714285714287</v>
      </c>
      <c r="FL5" s="18">
        <v>6.6666666666666666E-2</v>
      </c>
      <c r="FM5" s="18">
        <v>0.06</v>
      </c>
      <c r="FN5" s="18">
        <v>0.21</v>
      </c>
      <c r="FO5" s="18">
        <v>0.20666666666666667</v>
      </c>
      <c r="FP5" s="18">
        <v>0.20333333333333334</v>
      </c>
      <c r="FQ5" s="322">
        <v>5</v>
      </c>
      <c r="FR5" s="5">
        <v>2</v>
      </c>
      <c r="FS5" s="5">
        <v>8</v>
      </c>
      <c r="FT5" s="5">
        <v>-1.120985176</v>
      </c>
      <c r="FU5" s="18">
        <v>3</v>
      </c>
      <c r="FV5" s="18">
        <v>8</v>
      </c>
      <c r="FW5" s="18">
        <v>15</v>
      </c>
      <c r="FX5" s="18">
        <v>0</v>
      </c>
      <c r="FY5" s="18">
        <v>6</v>
      </c>
      <c r="FZ5" s="18">
        <v>5</v>
      </c>
      <c r="GA5" s="18">
        <v>37</v>
      </c>
      <c r="GC5" s="5">
        <v>114</v>
      </c>
      <c r="GD5" s="5">
        <v>117</v>
      </c>
      <c r="GE5" s="5">
        <v>123</v>
      </c>
      <c r="GF5" s="5">
        <v>88</v>
      </c>
      <c r="GG5" s="5">
        <v>136</v>
      </c>
      <c r="GH5" s="144">
        <v>0.05</v>
      </c>
      <c r="GI5" s="68">
        <v>80.493300000000005</v>
      </c>
      <c r="GJ5" s="5">
        <v>82.859300000000005</v>
      </c>
      <c r="GK5" s="5">
        <f t="shared" si="25"/>
        <v>-2.3659999999999997</v>
      </c>
      <c r="GL5" s="5">
        <f t="shared" si="26"/>
        <v>0.97144557098599671</v>
      </c>
      <c r="GM5" s="80">
        <f t="shared" si="27"/>
        <v>-1.2581527418945236E-2</v>
      </c>
      <c r="GN5" s="68">
        <v>78.77</v>
      </c>
      <c r="GO5" s="5">
        <v>75.385499999999993</v>
      </c>
      <c r="GP5" s="5">
        <f t="shared" si="28"/>
        <v>3.3845000000000027</v>
      </c>
      <c r="GQ5" s="80">
        <f t="shared" si="29"/>
        <v>1.0448959017317654</v>
      </c>
      <c r="GR5" s="68">
        <v>92.593000000000004</v>
      </c>
      <c r="GS5" s="5">
        <v>89.364999999999995</v>
      </c>
      <c r="GT5" s="5">
        <f t="shared" si="30"/>
        <v>3.2280000000000086</v>
      </c>
      <c r="GU5" s="80">
        <f t="shared" si="31"/>
        <v>1.0361215240866113</v>
      </c>
      <c r="GV5" s="68">
        <v>15.9682</v>
      </c>
      <c r="GW5" s="5">
        <v>46.6982</v>
      </c>
      <c r="GX5" s="5">
        <f t="shared" si="32"/>
        <v>-30.73</v>
      </c>
      <c r="GY5" s="80">
        <f t="shared" si="33"/>
        <v>0.34194465739578828</v>
      </c>
      <c r="GZ5" s="68">
        <v>103.782</v>
      </c>
      <c r="HA5" s="5">
        <v>101.248</v>
      </c>
      <c r="HB5" s="5">
        <f t="shared" si="34"/>
        <v>2.5339999999999918</v>
      </c>
      <c r="HC5" s="80">
        <f t="shared" si="35"/>
        <v>1.0250276548672566</v>
      </c>
      <c r="HD5" s="68">
        <v>57.504199999999997</v>
      </c>
      <c r="HE5" s="5">
        <v>56.045999999999999</v>
      </c>
      <c r="HF5" s="5">
        <f t="shared" si="36"/>
        <v>1.4581999999999979</v>
      </c>
      <c r="HG5" s="80">
        <f t="shared" si="37"/>
        <v>1.0260179138564749</v>
      </c>
      <c r="HH5" s="68">
        <v>53.476799999999997</v>
      </c>
      <c r="HI5" s="5">
        <v>58.277700000000003</v>
      </c>
      <c r="HJ5" s="5">
        <f t="shared" si="38"/>
        <v>-4.8009000000000057</v>
      </c>
      <c r="HK5" s="80">
        <f t="shared" si="39"/>
        <v>0.91762029043699378</v>
      </c>
      <c r="HL5" s="68">
        <v>53.406199999999998</v>
      </c>
      <c r="HM5" s="5">
        <v>54.891199999999998</v>
      </c>
      <c r="HN5" s="5">
        <f t="shared" si="40"/>
        <v>-1.4849999999999994</v>
      </c>
      <c r="HO5" s="80">
        <f t="shared" si="41"/>
        <v>0.97294648322499777</v>
      </c>
      <c r="HP5" s="68">
        <v>41.305300000000003</v>
      </c>
      <c r="HQ5" s="5">
        <v>45.548299999999998</v>
      </c>
      <c r="HR5" s="5">
        <f t="shared" si="42"/>
        <v>-4.242999999999995</v>
      </c>
      <c r="HS5" s="80">
        <f t="shared" si="43"/>
        <v>0.9068461391533823</v>
      </c>
      <c r="HT5" s="68">
        <v>33.941000000000003</v>
      </c>
      <c r="HU5" s="5">
        <v>38.0212</v>
      </c>
      <c r="HV5" s="5">
        <f t="shared" si="44"/>
        <v>-4.0801999999999978</v>
      </c>
      <c r="HW5" s="80">
        <f t="shared" si="45"/>
        <v>0.89268618560171697</v>
      </c>
      <c r="HX5" s="68">
        <v>55.444200000000002</v>
      </c>
      <c r="HY5" s="5">
        <v>61.353999999999999</v>
      </c>
      <c r="HZ5" s="5">
        <f t="shared" si="46"/>
        <v>-5.9097999999999971</v>
      </c>
      <c r="IA5" s="80">
        <f t="shared" si="47"/>
        <v>0.90367702187306453</v>
      </c>
      <c r="IB5" s="68">
        <v>69.803200000000004</v>
      </c>
      <c r="IC5" s="5">
        <v>79.324700000000007</v>
      </c>
      <c r="ID5" s="5">
        <f t="shared" si="48"/>
        <v>-9.5215000000000032</v>
      </c>
      <c r="IE5" s="5">
        <f t="shared" si="49"/>
        <v>0.87996803013437175</v>
      </c>
      <c r="IF5" s="68">
        <v>55.383499999999998</v>
      </c>
      <c r="IG5" s="5">
        <v>51.468000000000004</v>
      </c>
      <c r="IH5" s="5">
        <f t="shared" si="50"/>
        <v>3.9154999999999944</v>
      </c>
      <c r="II5" s="80">
        <f t="shared" si="51"/>
        <v>1.0760763969845339</v>
      </c>
      <c r="IJ5" s="68">
        <v>44.348799999999997</v>
      </c>
      <c r="IK5" s="5">
        <v>48.6419</v>
      </c>
      <c r="IL5" s="5">
        <f t="shared" si="52"/>
        <v>-4.2931000000000026</v>
      </c>
      <c r="IM5" s="80">
        <f t="shared" si="53"/>
        <v>0.91174070091834403</v>
      </c>
      <c r="IN5" s="68">
        <v>50.819499999999998</v>
      </c>
      <c r="IO5" s="5">
        <v>53.173200000000001</v>
      </c>
      <c r="IP5" s="5">
        <f t="shared" si="54"/>
        <v>-2.3537000000000035</v>
      </c>
      <c r="IQ5" s="5">
        <f t="shared" si="55"/>
        <v>0.95573521999804412</v>
      </c>
      <c r="IR5" s="80">
        <f t="shared" si="56"/>
        <v>1.0735582654434904E-2</v>
      </c>
      <c r="IS5" s="18">
        <v>49.409953545813501</v>
      </c>
      <c r="IT5" s="18">
        <f t="shared" si="57"/>
        <v>0.49409953545813501</v>
      </c>
      <c r="IV5" s="336" t="s">
        <v>595</v>
      </c>
      <c r="IW5" s="18">
        <v>0.30598678604027801</v>
      </c>
      <c r="IX5" s="18">
        <f t="shared" si="58"/>
        <v>0.69401321395972193</v>
      </c>
      <c r="IY5" s="336" t="s">
        <v>595</v>
      </c>
      <c r="IZ5" s="18">
        <v>0.17090127051229301</v>
      </c>
      <c r="JB5" s="336" t="s">
        <v>595</v>
      </c>
      <c r="JC5" s="18">
        <v>0.53251837055237905</v>
      </c>
      <c r="JD5" s="18">
        <f t="shared" si="59"/>
        <v>0.46748162944762095</v>
      </c>
      <c r="JE5" s="336" t="s">
        <v>595</v>
      </c>
      <c r="JF5" s="18">
        <v>0.75813573213036201</v>
      </c>
      <c r="JI5" s="336" t="s">
        <v>595</v>
      </c>
      <c r="JJ5" s="18">
        <v>0.41503475067220302</v>
      </c>
      <c r="JL5" s="336" t="s">
        <v>595</v>
      </c>
      <c r="JM5" s="18">
        <v>0.222683988322979</v>
      </c>
      <c r="JO5" s="336" t="s">
        <v>595</v>
      </c>
      <c r="JP5" s="18">
        <v>0.48548326092278998</v>
      </c>
      <c r="JR5" s="336" t="s">
        <v>595</v>
      </c>
      <c r="JS5" s="18">
        <v>0.62109353778671705</v>
      </c>
      <c r="JT5" s="68" t="s">
        <v>526</v>
      </c>
      <c r="JU5" s="347">
        <v>1.2E-2</v>
      </c>
      <c r="JV5" s="347">
        <v>4.02E-2</v>
      </c>
      <c r="JW5" s="347">
        <f t="shared" si="65"/>
        <v>2.6099999999999998E-2</v>
      </c>
      <c r="JX5" s="348">
        <v>6.8599999999999994E-2</v>
      </c>
      <c r="JY5" s="348">
        <v>5.3100000000000001E-2</v>
      </c>
      <c r="JZ5" s="348">
        <f t="shared" si="66"/>
        <v>6.0850000000000001E-2</v>
      </c>
      <c r="KA5" s="347">
        <f t="shared" si="67"/>
        <v>3.4750000000000003E-2</v>
      </c>
      <c r="KB5" s="347">
        <f t="shared" si="68"/>
        <v>2.3314176245210732</v>
      </c>
      <c r="KC5" s="354">
        <f t="shared" si="60"/>
        <v>6.2094176245210733</v>
      </c>
      <c r="KD5" s="18">
        <f t="shared" si="69"/>
        <v>0.7930508700127793</v>
      </c>
      <c r="KE5" s="18">
        <v>0.7930508700127793</v>
      </c>
      <c r="KF5" s="340">
        <v>10.5</v>
      </c>
      <c r="KG5" s="18">
        <v>0.04</v>
      </c>
      <c r="KH5" s="18">
        <v>0.20000000000000004</v>
      </c>
      <c r="KI5" s="18">
        <v>0.14666666666666667</v>
      </c>
      <c r="KJ5" s="18">
        <v>0.28666666666666668</v>
      </c>
      <c r="KK5" s="18">
        <v>3.3333333333333335E-3</v>
      </c>
      <c r="KL5" s="18">
        <v>0.19285714285714287</v>
      </c>
      <c r="KM5" s="18">
        <v>6.6666666666666666E-2</v>
      </c>
      <c r="KN5" s="18">
        <v>0.06</v>
      </c>
      <c r="KO5" s="18">
        <v>0.21</v>
      </c>
      <c r="KP5" s="18">
        <v>0.20666666666666667</v>
      </c>
      <c r="KQ5" s="18">
        <v>0.20333333333333334</v>
      </c>
      <c r="KR5" s="358" t="s">
        <v>625</v>
      </c>
      <c r="KS5" s="358">
        <v>10.5</v>
      </c>
      <c r="KT5" s="358">
        <v>4.5</v>
      </c>
      <c r="KU5" s="358">
        <v>0.5</v>
      </c>
      <c r="KV5" s="358">
        <v>3</v>
      </c>
      <c r="KW5" s="358">
        <v>1.5</v>
      </c>
      <c r="KX5" s="358">
        <v>0</v>
      </c>
      <c r="KY5" s="144">
        <v>0.05</v>
      </c>
      <c r="KZ5" s="158" t="s">
        <v>526</v>
      </c>
      <c r="LA5" s="68">
        <v>0.49719999999999998</v>
      </c>
      <c r="LB5" s="5">
        <v>0.49919999999999998</v>
      </c>
      <c r="LC5" s="5">
        <f t="shared" si="70"/>
        <v>0.49819999999999998</v>
      </c>
      <c r="LD5" s="5">
        <v>0.55110000000000003</v>
      </c>
      <c r="LE5" s="5">
        <v>0.55679999999999996</v>
      </c>
      <c r="LF5" s="80">
        <f t="shared" si="71"/>
        <v>0.55394999999999994</v>
      </c>
      <c r="LG5" s="77">
        <f t="shared" si="72"/>
        <v>-5.5749999999999966E-2</v>
      </c>
      <c r="LH5" s="68">
        <v>8.6199999999999992</v>
      </c>
      <c r="LI5" s="5">
        <v>8.1204999999999998</v>
      </c>
      <c r="LJ5" s="5">
        <f t="shared" si="73"/>
        <v>8.3702499999999986</v>
      </c>
      <c r="LK5" s="5">
        <v>13.129200000000001</v>
      </c>
      <c r="LL5" s="5">
        <v>15.973699999999999</v>
      </c>
      <c r="LM5" s="80">
        <f t="shared" si="74"/>
        <v>14.551449999999999</v>
      </c>
      <c r="LN5" s="77">
        <f t="shared" si="75"/>
        <v>-6.1812000000000005</v>
      </c>
      <c r="LO5" s="68">
        <v>1.0447</v>
      </c>
      <c r="LP5" s="5">
        <v>1.0327999999999999</v>
      </c>
      <c r="LQ5" s="5">
        <f t="shared" si="61"/>
        <v>1.0387499999999998</v>
      </c>
      <c r="LR5" s="5">
        <v>0.93689999999999996</v>
      </c>
      <c r="LS5" s="5">
        <v>0.95589999999999997</v>
      </c>
      <c r="LT5" s="80">
        <f t="shared" si="62"/>
        <v>0.94639999999999991</v>
      </c>
      <c r="LU5" s="77">
        <f t="shared" si="76"/>
        <v>9.2349999999999932E-2</v>
      </c>
      <c r="LV5" s="68">
        <v>0.31280000000000002</v>
      </c>
      <c r="LW5" s="5">
        <v>0.33739999999999998</v>
      </c>
      <c r="LX5" s="5">
        <f t="shared" si="63"/>
        <v>0.3251</v>
      </c>
      <c r="LY5" s="5">
        <v>0.45750000000000002</v>
      </c>
      <c r="LZ5" s="5">
        <v>0.44779999999999998</v>
      </c>
      <c r="MA5" s="80">
        <f t="shared" si="64"/>
        <v>0.45265</v>
      </c>
      <c r="MB5" s="77">
        <f t="shared" si="77"/>
        <v>-0.12755</v>
      </c>
      <c r="MD5" s="5">
        <v>1.1231995029999999</v>
      </c>
      <c r="ME5" s="5">
        <v>-0.40562030789999998</v>
      </c>
      <c r="MF5" s="5">
        <v>2.0164743449999998</v>
      </c>
      <c r="MG5" s="5">
        <v>1.0337722309999999</v>
      </c>
      <c r="MH5" s="292">
        <v>0.82678924620000005</v>
      </c>
      <c r="MI5" s="18">
        <v>-1.120985176</v>
      </c>
      <c r="MJ5" s="18">
        <v>0.6211032984</v>
      </c>
      <c r="MK5" s="18">
        <v>1.0822198940000001</v>
      </c>
      <c r="ML5" s="18">
        <v>0.82256628529999998</v>
      </c>
      <c r="MM5" s="18">
        <v>0.4313899839</v>
      </c>
      <c r="MN5" s="18">
        <v>-1.120985176</v>
      </c>
      <c r="MP5" s="285">
        <v>3</v>
      </c>
      <c r="MQ5" s="18">
        <v>0.35439999999999999</v>
      </c>
      <c r="MR5" s="18">
        <v>0.29299999999999998</v>
      </c>
      <c r="MS5" s="18">
        <v>1.444</v>
      </c>
      <c r="MT5" s="18">
        <v>-0.28089999999999998</v>
      </c>
      <c r="MU5" s="18">
        <v>0.61660000000000004</v>
      </c>
      <c r="MV5" s="18">
        <v>0.18090000000000001</v>
      </c>
      <c r="MW5" s="18">
        <v>-0.50660000000000005</v>
      </c>
      <c r="MX5" s="18">
        <v>0.38850000000000001</v>
      </c>
      <c r="MY5" s="18">
        <v>-1.5350999999999999</v>
      </c>
    </row>
    <row r="6" spans="1:363" ht="15.75" customHeight="1" x14ac:dyDescent="0.2">
      <c r="A6" s="3" t="s">
        <v>3</v>
      </c>
      <c r="B6" s="79"/>
      <c r="C6" s="5">
        <v>7</v>
      </c>
      <c r="D6" s="5">
        <v>35</v>
      </c>
      <c r="E6" s="5">
        <v>79</v>
      </c>
      <c r="F6" s="5">
        <v>56</v>
      </c>
      <c r="G6" s="18">
        <v>39</v>
      </c>
      <c r="H6" s="24">
        <v>112</v>
      </c>
      <c r="I6" s="5">
        <v>23</v>
      </c>
      <c r="J6" s="5">
        <v>144</v>
      </c>
      <c r="K6" s="5">
        <v>81</v>
      </c>
      <c r="L6" s="5">
        <v>148</v>
      </c>
      <c r="M6" s="5">
        <v>84</v>
      </c>
      <c r="N6" s="5">
        <v>147</v>
      </c>
      <c r="O6" s="5">
        <v>1</v>
      </c>
      <c r="P6" s="5">
        <v>-13</v>
      </c>
      <c r="Q6" s="5">
        <v>-4</v>
      </c>
      <c r="R6" s="5">
        <v>-14</v>
      </c>
      <c r="S6" s="5">
        <v>12</v>
      </c>
      <c r="T6" s="18">
        <v>7</v>
      </c>
      <c r="U6" s="5">
        <v>14</v>
      </c>
      <c r="V6" s="5">
        <v>-5</v>
      </c>
      <c r="W6" s="5">
        <v>-1</v>
      </c>
      <c r="X6" s="5">
        <v>-2</v>
      </c>
      <c r="Y6" s="5">
        <v>13</v>
      </c>
      <c r="Z6" s="92">
        <v>-4.9376097368420996E-2</v>
      </c>
      <c r="AA6" s="88">
        <v>13</v>
      </c>
      <c r="AB6" s="68">
        <v>88</v>
      </c>
      <c r="AC6" s="5">
        <v>80</v>
      </c>
      <c r="AD6" s="5">
        <v>108</v>
      </c>
      <c r="AE6" s="80">
        <v>92</v>
      </c>
      <c r="AF6" s="179">
        <v>23</v>
      </c>
      <c r="AG6" s="154">
        <v>18</v>
      </c>
      <c r="AH6" s="154">
        <v>20</v>
      </c>
      <c r="AI6" s="154">
        <v>20</v>
      </c>
      <c r="AJ6" s="68">
        <v>111</v>
      </c>
      <c r="AK6" s="5">
        <v>98</v>
      </c>
      <c r="AL6" s="5">
        <v>128</v>
      </c>
      <c r="AM6" s="80">
        <v>112</v>
      </c>
      <c r="AN6" s="68">
        <v>88</v>
      </c>
      <c r="AO6" s="5">
        <v>80</v>
      </c>
      <c r="AP6" s="5">
        <v>108</v>
      </c>
      <c r="AQ6" s="80">
        <v>92</v>
      </c>
      <c r="AR6" s="68">
        <v>111</v>
      </c>
      <c r="AS6" s="5">
        <v>98</v>
      </c>
      <c r="AT6" s="5">
        <v>128</v>
      </c>
      <c r="AU6" s="80">
        <v>112</v>
      </c>
      <c r="AV6" s="179">
        <f t="shared" si="0"/>
        <v>23</v>
      </c>
      <c r="AW6" s="154">
        <f t="shared" si="1"/>
        <v>18</v>
      </c>
      <c r="AX6" s="154">
        <f t="shared" si="2"/>
        <v>20</v>
      </c>
      <c r="AY6" s="185">
        <f t="shared" si="3"/>
        <v>20</v>
      </c>
      <c r="AZ6" s="9">
        <v>1.2272727272727273</v>
      </c>
      <c r="BA6" s="77">
        <v>7.411957411957415E-2</v>
      </c>
      <c r="BB6" s="18">
        <v>0.90909090909090906</v>
      </c>
      <c r="BC6" s="77">
        <v>2.6208026208026203E-2</v>
      </c>
      <c r="BD6" s="154">
        <v>1</v>
      </c>
      <c r="BE6" s="144">
        <v>7.0000000298000006E-2</v>
      </c>
      <c r="BF6" s="5">
        <v>-4</v>
      </c>
      <c r="BG6" s="5">
        <v>-13</v>
      </c>
      <c r="BK6" s="18" t="s">
        <v>3</v>
      </c>
      <c r="BL6" s="18">
        <v>-2</v>
      </c>
      <c r="BM6" s="221">
        <v>-11</v>
      </c>
      <c r="BN6" s="21">
        <v>-10</v>
      </c>
      <c r="BO6" s="18">
        <v>-12</v>
      </c>
      <c r="BP6" s="18">
        <v>-33</v>
      </c>
      <c r="BQ6" s="138" t="s">
        <v>472</v>
      </c>
      <c r="BR6" s="138">
        <v>-5.7108360516078902E-27</v>
      </c>
      <c r="BS6" s="138" t="s">
        <v>473</v>
      </c>
      <c r="BT6" s="138">
        <v>-2.0839446909618498E-27</v>
      </c>
      <c r="BU6" s="138">
        <f t="shared" si="4"/>
        <v>-3.8973903712848699E-27</v>
      </c>
      <c r="BW6" s="18">
        <v>1</v>
      </c>
      <c r="BX6" s="18">
        <v>0</v>
      </c>
      <c r="BY6" s="18">
        <f t="shared" si="5"/>
        <v>1</v>
      </c>
      <c r="BZ6" s="3">
        <v>0.83600000441059996</v>
      </c>
      <c r="CA6" s="18">
        <v>0.33333333333333331</v>
      </c>
      <c r="CB6" s="18">
        <v>1</v>
      </c>
      <c r="CC6" s="18">
        <v>0.76333332061766657</v>
      </c>
      <c r="CD6" s="18">
        <v>0.99333333969100002</v>
      </c>
      <c r="CE6" s="18">
        <v>0.5714285714285714</v>
      </c>
      <c r="CF6" s="18">
        <v>0.48833332614341335</v>
      </c>
      <c r="CG6" s="18">
        <v>0.66999999992549331</v>
      </c>
      <c r="CH6" s="18">
        <v>1</v>
      </c>
      <c r="CI6" s="18">
        <v>0.85999999443700004</v>
      </c>
      <c r="CJ6" s="18">
        <v>0.5499999920526667</v>
      </c>
      <c r="CK6" s="285" t="s">
        <v>527</v>
      </c>
      <c r="CL6" s="18">
        <v>2.2356263059999999</v>
      </c>
      <c r="CM6" s="18">
        <v>-2.6255046279999998</v>
      </c>
      <c r="CN6" s="18">
        <v>-0.28727576020000001</v>
      </c>
      <c r="CO6" s="18">
        <v>-0.36684919760000001</v>
      </c>
      <c r="CP6" s="18">
        <v>-0.38237307869999998</v>
      </c>
      <c r="CQ6" s="18">
        <v>-0.89562378090000005</v>
      </c>
      <c r="CR6" s="18">
        <v>-0.47339816200000001</v>
      </c>
      <c r="CS6" s="18">
        <v>-0.26230425260000001</v>
      </c>
      <c r="CT6" s="18">
        <v>-0.58431658519999996</v>
      </c>
      <c r="CY6" s="18">
        <v>-0.2046282478</v>
      </c>
      <c r="CZ6" s="285" t="s">
        <v>527</v>
      </c>
      <c r="DA6" s="68">
        <v>17.558430739999999</v>
      </c>
      <c r="DB6" s="5">
        <v>19.08243186</v>
      </c>
      <c r="DC6" s="5">
        <v>18.5466604</v>
      </c>
      <c r="DD6" s="80">
        <f t="shared" si="6"/>
        <v>18.052545569999999</v>
      </c>
      <c r="DE6" s="68">
        <v>11.75108296</v>
      </c>
      <c r="DF6" s="5">
        <v>10.75994081</v>
      </c>
      <c r="DG6" s="5">
        <v>10.98358457</v>
      </c>
      <c r="DH6" s="80">
        <f t="shared" si="7"/>
        <v>11.367333765</v>
      </c>
      <c r="DI6" s="151">
        <f t="shared" si="8"/>
        <v>-5.8073477799999988</v>
      </c>
      <c r="DJ6" s="24">
        <f t="shared" si="9"/>
        <v>-8.32249105</v>
      </c>
      <c r="DK6" s="294">
        <f t="shared" si="10"/>
        <v>-7.5630758300000007</v>
      </c>
      <c r="DL6" s="244">
        <f t="shared" si="11"/>
        <v>-6.6852118049999998</v>
      </c>
      <c r="DM6" s="295" t="s">
        <v>527</v>
      </c>
      <c r="DN6" s="68">
        <v>5.3392641550000004</v>
      </c>
      <c r="DO6" s="5">
        <v>5.9541947149999999</v>
      </c>
      <c r="DP6" s="5">
        <v>6.3846938120000001</v>
      </c>
      <c r="DQ6" s="3">
        <f t="shared" si="12"/>
        <v>5.8619789835000002</v>
      </c>
      <c r="DR6" s="68">
        <v>3.8848826930000002</v>
      </c>
      <c r="DS6" s="5">
        <v>3.3836650179999999</v>
      </c>
      <c r="DT6" s="5">
        <v>3.4763206229999999</v>
      </c>
      <c r="DU6" s="3">
        <f t="shared" si="13"/>
        <v>3.6806016580000001</v>
      </c>
      <c r="DV6" s="24">
        <f t="shared" si="14"/>
        <v>-1.4543814620000002</v>
      </c>
      <c r="DW6" s="24">
        <f t="shared" si="15"/>
        <v>-2.570529697</v>
      </c>
      <c r="DX6" s="24">
        <f t="shared" si="16"/>
        <v>-2.9083731890000002</v>
      </c>
      <c r="DY6" s="188">
        <f t="shared" si="17"/>
        <v>-2.1813773255000002</v>
      </c>
      <c r="DZ6" s="295" t="s">
        <v>527</v>
      </c>
      <c r="EA6" s="18">
        <v>21.64094746</v>
      </c>
      <c r="EB6" s="18">
        <v>21.95874049</v>
      </c>
      <c r="EC6" s="18">
        <v>33.50654213</v>
      </c>
      <c r="ED6" s="3">
        <f t="shared" si="18"/>
        <v>27.573744795</v>
      </c>
      <c r="EE6" s="18">
        <v>10.90689347</v>
      </c>
      <c r="EF6" s="18">
        <v>10.28401657</v>
      </c>
      <c r="EG6" s="18">
        <v>8.4137012349999996</v>
      </c>
      <c r="EH6" s="3">
        <f t="shared" si="19"/>
        <v>9.6602973524999989</v>
      </c>
      <c r="EI6" s="24">
        <f t="shared" si="20"/>
        <v>-10.73405399</v>
      </c>
      <c r="EJ6" s="24">
        <f t="shared" si="21"/>
        <v>-11.67472392</v>
      </c>
      <c r="EK6" s="24">
        <f t="shared" si="22"/>
        <v>-25.092840895000002</v>
      </c>
      <c r="EL6" s="188">
        <f t="shared" si="23"/>
        <v>-17.913447442500001</v>
      </c>
      <c r="EM6" s="295" t="s">
        <v>527</v>
      </c>
      <c r="EN6" s="151" t="s">
        <v>472</v>
      </c>
      <c r="EO6" s="244">
        <v>20.044473781392199</v>
      </c>
      <c r="EP6" s="151" t="s">
        <v>473</v>
      </c>
      <c r="EQ6" s="244">
        <v>33.550853659011999</v>
      </c>
      <c r="ER6" s="244">
        <f t="shared" si="24"/>
        <v>26.797663720202099</v>
      </c>
      <c r="ES6" s="18">
        <v>7</v>
      </c>
      <c r="ET6" s="18">
        <v>15</v>
      </c>
      <c r="EU6" s="18">
        <v>29</v>
      </c>
      <c r="EV6" s="18">
        <v>-1</v>
      </c>
      <c r="EW6" s="18">
        <v>6</v>
      </c>
      <c r="EX6" s="18">
        <v>3</v>
      </c>
      <c r="EY6" s="18">
        <v>59</v>
      </c>
      <c r="EZ6" s="5">
        <v>-2.6255046279999998</v>
      </c>
      <c r="FA6" s="18">
        <v>-25.470634499316269</v>
      </c>
      <c r="FB6" s="310">
        <v>4</v>
      </c>
      <c r="FC6" s="5">
        <v>79</v>
      </c>
      <c r="FD6" s="18">
        <v>39</v>
      </c>
      <c r="FE6" s="340">
        <v>13</v>
      </c>
      <c r="FF6" s="18">
        <v>0.83400000445530398</v>
      </c>
      <c r="FG6" s="18">
        <v>0.33333333333333331</v>
      </c>
      <c r="FH6" s="18">
        <v>1</v>
      </c>
      <c r="FI6" s="18">
        <v>0.76333332061766657</v>
      </c>
      <c r="FJ6" s="18">
        <v>0.99333333969100002</v>
      </c>
      <c r="FK6" s="18">
        <v>0.5714285714285714</v>
      </c>
      <c r="FL6" s="18">
        <v>0.48833332614341335</v>
      </c>
      <c r="FM6" s="18">
        <v>0.66999999992549331</v>
      </c>
      <c r="FN6" s="18">
        <v>1</v>
      </c>
      <c r="FO6" s="18">
        <v>0.85999999443700004</v>
      </c>
      <c r="FP6" s="18">
        <v>0.5499999920526667</v>
      </c>
      <c r="FQ6" s="322">
        <v>-4</v>
      </c>
      <c r="FR6" s="5">
        <v>14</v>
      </c>
      <c r="FS6" s="5">
        <v>13</v>
      </c>
      <c r="FT6" s="5">
        <v>-2.6255046279999998</v>
      </c>
      <c r="FU6" s="18">
        <v>7</v>
      </c>
      <c r="FV6" s="18">
        <v>15</v>
      </c>
      <c r="FW6" s="18">
        <v>29</v>
      </c>
      <c r="FX6" s="18">
        <v>-1</v>
      </c>
      <c r="FY6" s="18">
        <v>6</v>
      </c>
      <c r="FZ6" s="18">
        <v>3</v>
      </c>
      <c r="GA6" s="18">
        <v>59</v>
      </c>
      <c r="GC6" s="5">
        <v>144</v>
      </c>
      <c r="GD6" s="5">
        <v>81</v>
      </c>
      <c r="GE6" s="5">
        <v>148</v>
      </c>
      <c r="GF6" s="5">
        <v>84</v>
      </c>
      <c r="GG6" s="5">
        <v>147</v>
      </c>
      <c r="GH6" s="144">
        <v>7.0000000298000006E-2</v>
      </c>
      <c r="GI6" s="68">
        <v>81.743200000000002</v>
      </c>
      <c r="GJ6" s="5">
        <v>75.839699999999993</v>
      </c>
      <c r="GK6" s="5">
        <f t="shared" si="25"/>
        <v>5.9035000000000082</v>
      </c>
      <c r="GL6" s="5">
        <f t="shared" si="26"/>
        <v>1.077841816357396</v>
      </c>
      <c r="GM6" s="80">
        <f t="shared" si="27"/>
        <v>3.2555028639281808E-2</v>
      </c>
      <c r="GN6" s="68">
        <v>65.473500000000001</v>
      </c>
      <c r="GO6" s="5">
        <v>61.957000000000001</v>
      </c>
      <c r="GP6" s="5">
        <f t="shared" si="28"/>
        <v>3.5165000000000006</v>
      </c>
      <c r="GQ6" s="80">
        <f t="shared" si="29"/>
        <v>1.0567571057346223</v>
      </c>
      <c r="GR6" s="68">
        <v>73.004499999999993</v>
      </c>
      <c r="GS6" s="5">
        <v>68.792699999999996</v>
      </c>
      <c r="GT6" s="5">
        <f t="shared" si="30"/>
        <v>4.2117999999999967</v>
      </c>
      <c r="GU6" s="80">
        <f t="shared" si="31"/>
        <v>1.061224519462094</v>
      </c>
      <c r="GV6" s="68">
        <v>37.793399999999998</v>
      </c>
      <c r="GW6" s="5">
        <v>50.8215</v>
      </c>
      <c r="GX6" s="5">
        <f t="shared" si="32"/>
        <v>-13.028100000000002</v>
      </c>
      <c r="GY6" s="80">
        <f t="shared" si="33"/>
        <v>0.74364983323986888</v>
      </c>
      <c r="GZ6" s="68">
        <v>98.864000000000004</v>
      </c>
      <c r="HA6" s="5">
        <v>82.117999999999995</v>
      </c>
      <c r="HB6" s="5">
        <f t="shared" si="34"/>
        <v>16.746000000000009</v>
      </c>
      <c r="HC6" s="80">
        <f t="shared" si="35"/>
        <v>1.2039260576243942</v>
      </c>
      <c r="HD6" s="68">
        <v>57.353999999999999</v>
      </c>
      <c r="HE6" s="5">
        <v>55.606999999999999</v>
      </c>
      <c r="HF6" s="5">
        <f t="shared" si="36"/>
        <v>1.7469999999999999</v>
      </c>
      <c r="HG6" s="80">
        <f t="shared" si="37"/>
        <v>1.0314169079432445</v>
      </c>
      <c r="HH6" s="68">
        <v>66.083799999999997</v>
      </c>
      <c r="HI6" s="5">
        <v>63.857500000000002</v>
      </c>
      <c r="HJ6" s="5">
        <f t="shared" si="38"/>
        <v>2.2262999999999948</v>
      </c>
      <c r="HK6" s="80">
        <f t="shared" si="39"/>
        <v>1.0348635634028891</v>
      </c>
      <c r="HL6" s="68">
        <v>67.819000000000003</v>
      </c>
      <c r="HM6" s="5">
        <v>64.629199999999997</v>
      </c>
      <c r="HN6" s="5">
        <f t="shared" si="40"/>
        <v>3.1898000000000053</v>
      </c>
      <c r="HO6" s="80">
        <f t="shared" si="41"/>
        <v>1.0493553997264395</v>
      </c>
      <c r="HP6" s="68">
        <v>58.036700000000003</v>
      </c>
      <c r="HQ6" s="5">
        <v>55.013800000000003</v>
      </c>
      <c r="HR6" s="5">
        <f t="shared" si="42"/>
        <v>3.0228999999999999</v>
      </c>
      <c r="HS6" s="80">
        <f t="shared" si="43"/>
        <v>1.0549480312212571</v>
      </c>
      <c r="HT6" s="68">
        <v>52.890300000000003</v>
      </c>
      <c r="HU6" s="5">
        <v>48.123399999999997</v>
      </c>
      <c r="HV6" s="5">
        <f t="shared" si="44"/>
        <v>4.7669000000000068</v>
      </c>
      <c r="HW6" s="80">
        <f t="shared" si="45"/>
        <v>1.0990557608149052</v>
      </c>
      <c r="HX6" s="68">
        <v>68.6965</v>
      </c>
      <c r="HY6" s="5">
        <v>66.501499999999993</v>
      </c>
      <c r="HZ6" s="5">
        <f t="shared" si="46"/>
        <v>2.1950000000000074</v>
      </c>
      <c r="IA6" s="80">
        <f t="shared" si="47"/>
        <v>1.0330067742832869</v>
      </c>
      <c r="IB6" s="68">
        <v>82.378699999999995</v>
      </c>
      <c r="IC6" s="5">
        <v>81.69</v>
      </c>
      <c r="ID6" s="5">
        <f t="shared" si="48"/>
        <v>0.6886999999999972</v>
      </c>
      <c r="IE6" s="5">
        <f t="shared" si="49"/>
        <v>1.0084306524666422</v>
      </c>
      <c r="IF6" s="68">
        <v>52.021500000000003</v>
      </c>
      <c r="IG6" s="5">
        <v>51.782200000000003</v>
      </c>
      <c r="IH6" s="5">
        <f t="shared" si="50"/>
        <v>0.23930000000000007</v>
      </c>
      <c r="II6" s="80">
        <f t="shared" si="51"/>
        <v>1.0046212791268041</v>
      </c>
      <c r="IJ6" s="68">
        <v>60.825200000000002</v>
      </c>
      <c r="IK6" s="5">
        <v>61.548499999999997</v>
      </c>
      <c r="IL6" s="5">
        <f t="shared" si="52"/>
        <v>-0.72329999999999472</v>
      </c>
      <c r="IM6" s="80">
        <f t="shared" si="53"/>
        <v>0.98824829199736797</v>
      </c>
      <c r="IN6" s="68">
        <v>66.689800000000005</v>
      </c>
      <c r="IO6" s="5">
        <v>67.826800000000006</v>
      </c>
      <c r="IP6" s="5">
        <f t="shared" si="54"/>
        <v>-1.1370000000000005</v>
      </c>
      <c r="IQ6" s="5">
        <f t="shared" si="55"/>
        <v>0.98323671469094809</v>
      </c>
      <c r="IR6" s="80">
        <f t="shared" si="56"/>
        <v>8.0599814370451578E-2</v>
      </c>
      <c r="IS6" s="18">
        <v>26.797663720202099</v>
      </c>
      <c r="IT6" s="18">
        <f t="shared" si="57"/>
        <v>0.26797663720202097</v>
      </c>
      <c r="IV6" s="336" t="s">
        <v>596</v>
      </c>
      <c r="IW6" s="18">
        <v>0.35805442800595899</v>
      </c>
      <c r="IX6" s="18">
        <f t="shared" si="58"/>
        <v>0.64194557199404101</v>
      </c>
      <c r="IY6" s="336" t="s">
        <v>596</v>
      </c>
      <c r="IZ6" s="18">
        <v>0.248079162137396</v>
      </c>
      <c r="JB6" s="336" t="s">
        <v>596</v>
      </c>
      <c r="JC6" s="18">
        <v>0.17584367794812</v>
      </c>
      <c r="JD6" s="18">
        <f t="shared" si="59"/>
        <v>0.82415632205187994</v>
      </c>
      <c r="JE6" s="336" t="s">
        <v>596</v>
      </c>
      <c r="JF6" s="18">
        <v>0.46126088843292601</v>
      </c>
      <c r="JI6" s="336" t="s">
        <v>596</v>
      </c>
      <c r="JJ6" s="18">
        <v>0.47924233001810501</v>
      </c>
      <c r="JL6" s="336" t="s">
        <v>596</v>
      </c>
      <c r="JM6" s="18">
        <v>0.382428457931349</v>
      </c>
      <c r="JO6" s="336" t="s">
        <v>596</v>
      </c>
      <c r="JP6" s="18">
        <v>0.24731079821412599</v>
      </c>
      <c r="JR6" s="336" t="s">
        <v>596</v>
      </c>
      <c r="JS6" s="18">
        <v>0.46898677613658901</v>
      </c>
      <c r="JT6" s="68" t="s">
        <v>527</v>
      </c>
      <c r="JU6" s="347">
        <v>9.7999999999999997E-3</v>
      </c>
      <c r="JV6" s="347">
        <v>1.43E-2</v>
      </c>
      <c r="JW6" s="347">
        <f t="shared" si="65"/>
        <v>1.205E-2</v>
      </c>
      <c r="JX6" s="348">
        <v>5.8700000000000002E-2</v>
      </c>
      <c r="JY6" s="348">
        <v>5.2999999999999999E-2</v>
      </c>
      <c r="JZ6" s="348">
        <f t="shared" si="66"/>
        <v>5.5849999999999997E-2</v>
      </c>
      <c r="KA6" s="347">
        <f t="shared" si="67"/>
        <v>4.3799999999999999E-2</v>
      </c>
      <c r="KB6" s="347">
        <f t="shared" si="68"/>
        <v>4.6348547717842319</v>
      </c>
      <c r="KC6" s="354">
        <f t="shared" si="60"/>
        <v>8.512854771784232</v>
      </c>
      <c r="KD6" s="18">
        <f t="shared" si="69"/>
        <v>0.93007522444714386</v>
      </c>
      <c r="KE6" s="18">
        <v>0.93007522444714386</v>
      </c>
      <c r="KF6" s="340">
        <v>13</v>
      </c>
      <c r="KG6" s="18">
        <v>0.83400000445530398</v>
      </c>
      <c r="KH6" s="18">
        <v>0.33333333333333331</v>
      </c>
      <c r="KI6" s="18">
        <v>1</v>
      </c>
      <c r="KJ6" s="18">
        <v>0.76333332061766657</v>
      </c>
      <c r="KK6" s="18">
        <v>0.99333333969100002</v>
      </c>
      <c r="KL6" s="18">
        <v>0.5714285714285714</v>
      </c>
      <c r="KM6" s="18">
        <v>0.48833332614341335</v>
      </c>
      <c r="KN6" s="18">
        <v>0.66999999992549331</v>
      </c>
      <c r="KO6" s="18">
        <v>1</v>
      </c>
      <c r="KP6" s="18">
        <v>0.85999999443700004</v>
      </c>
      <c r="KQ6" s="18">
        <v>0.5499999920526667</v>
      </c>
      <c r="KR6" s="358" t="s">
        <v>626</v>
      </c>
      <c r="KS6" s="358">
        <v>13</v>
      </c>
      <c r="KT6" s="358">
        <v>20</v>
      </c>
      <c r="KU6" s="358">
        <v>20</v>
      </c>
      <c r="KV6" s="358">
        <v>10.5</v>
      </c>
      <c r="KW6" s="358">
        <v>9.5</v>
      </c>
      <c r="KX6" s="358">
        <v>2</v>
      </c>
      <c r="KY6" s="144">
        <v>7.0000000298000006E-2</v>
      </c>
      <c r="KZ6" s="158" t="s">
        <v>527</v>
      </c>
      <c r="LA6" s="68">
        <v>0.51800000000000002</v>
      </c>
      <c r="LB6" s="5">
        <v>0.51219999999999999</v>
      </c>
      <c r="LC6" s="5">
        <f t="shared" si="70"/>
        <v>0.5151</v>
      </c>
      <c r="LD6" s="5">
        <v>0.57950000000000002</v>
      </c>
      <c r="LE6" s="5">
        <v>0.59150000000000003</v>
      </c>
      <c r="LF6" s="80">
        <f t="shared" si="71"/>
        <v>0.58550000000000002</v>
      </c>
      <c r="LG6" s="77">
        <f t="shared" si="72"/>
        <v>-7.0400000000000018E-2</v>
      </c>
      <c r="LH6" s="68">
        <v>9.8969000000000005</v>
      </c>
      <c r="LI6" s="5">
        <v>9.1379999999999999</v>
      </c>
      <c r="LJ6" s="5">
        <f t="shared" si="73"/>
        <v>9.5174500000000002</v>
      </c>
      <c r="LK6" s="5">
        <v>16.657599999999999</v>
      </c>
      <c r="LL6" s="5">
        <v>18.543900000000001</v>
      </c>
      <c r="LM6" s="80">
        <f t="shared" si="74"/>
        <v>17.600749999999998</v>
      </c>
      <c r="LN6" s="77">
        <f t="shared" si="75"/>
        <v>-8.0832999999999977</v>
      </c>
      <c r="LO6" s="68">
        <v>1.0285</v>
      </c>
      <c r="LP6" s="5">
        <v>1.0326</v>
      </c>
      <c r="LQ6" s="5">
        <f t="shared" si="61"/>
        <v>1.0305499999999999</v>
      </c>
      <c r="LR6" s="5">
        <v>0.93240000000000001</v>
      </c>
      <c r="LS6" s="5">
        <v>0.91449999999999998</v>
      </c>
      <c r="LT6" s="80">
        <f t="shared" si="62"/>
        <v>0.92344999999999999</v>
      </c>
      <c r="LU6" s="77">
        <f t="shared" si="76"/>
        <v>0.10709999999999986</v>
      </c>
      <c r="LV6" s="68">
        <v>0.35670000000000002</v>
      </c>
      <c r="LW6" s="5">
        <v>0.35659999999999997</v>
      </c>
      <c r="LX6" s="5">
        <f t="shared" si="63"/>
        <v>0.35665000000000002</v>
      </c>
      <c r="LY6" s="5">
        <v>0.51600000000000001</v>
      </c>
      <c r="LZ6" s="5">
        <v>0.53910000000000002</v>
      </c>
      <c r="MA6" s="80">
        <f t="shared" si="64"/>
        <v>0.52754999999999996</v>
      </c>
      <c r="MB6" s="77">
        <f t="shared" si="77"/>
        <v>-0.17089999999999994</v>
      </c>
      <c r="MD6" s="5">
        <v>1.09176501</v>
      </c>
      <c r="ME6" s="5">
        <v>1.5676965709999999</v>
      </c>
      <c r="MF6" s="5">
        <v>2.881681189</v>
      </c>
      <c r="MG6" s="5">
        <v>1.164925768</v>
      </c>
      <c r="MH6" s="292">
        <v>1.533247435</v>
      </c>
      <c r="MI6" s="18">
        <v>-2.6255046279999998</v>
      </c>
      <c r="MJ6" s="18">
        <v>1.2299131910000001</v>
      </c>
      <c r="MK6" s="18">
        <v>1.1511225709999999</v>
      </c>
      <c r="ML6" s="18">
        <v>1.1954893740000001</v>
      </c>
      <c r="MM6" s="18">
        <v>2.2356263059999999</v>
      </c>
      <c r="MN6" s="18">
        <v>-2.6255046279999998</v>
      </c>
      <c r="MP6" s="285">
        <v>4</v>
      </c>
      <c r="MQ6" s="18">
        <v>0.47049999999999997</v>
      </c>
      <c r="MR6" s="18">
        <v>0.45200000000000001</v>
      </c>
      <c r="MS6" s="18">
        <v>-0.30659999999999998</v>
      </c>
      <c r="MT6" s="18">
        <v>-0.1048</v>
      </c>
      <c r="MU6" s="18">
        <v>-0.25619999999999998</v>
      </c>
      <c r="MV6" s="18">
        <v>0.1172</v>
      </c>
      <c r="MW6" s="18">
        <v>9.4100000000000003E-2</v>
      </c>
      <c r="MX6" s="430">
        <v>8.7499999999999994E-2</v>
      </c>
      <c r="MY6" s="18">
        <v>0.1082</v>
      </c>
    </row>
    <row r="7" spans="1:363" ht="15.75" customHeight="1" x14ac:dyDescent="0.2">
      <c r="A7" s="3" t="s">
        <v>5</v>
      </c>
      <c r="B7" s="79"/>
      <c r="C7" s="327"/>
      <c r="D7" s="327"/>
      <c r="E7" s="5">
        <v>81</v>
      </c>
      <c r="F7" s="5">
        <v>54</v>
      </c>
      <c r="G7" s="18">
        <v>37</v>
      </c>
      <c r="H7" s="24">
        <v>117</v>
      </c>
      <c r="I7" s="5">
        <v>15</v>
      </c>
      <c r="J7" s="5">
        <v>134</v>
      </c>
      <c r="K7" s="5">
        <v>106</v>
      </c>
      <c r="L7" s="5">
        <v>126</v>
      </c>
      <c r="M7" s="5">
        <v>91</v>
      </c>
      <c r="N7" s="5">
        <v>162</v>
      </c>
      <c r="O7" s="5">
        <v>0</v>
      </c>
      <c r="P7" s="5">
        <v>1</v>
      </c>
      <c r="Q7" s="5">
        <v>-1</v>
      </c>
      <c r="R7" s="5">
        <v>1</v>
      </c>
      <c r="S7" s="5">
        <v>12</v>
      </c>
      <c r="T7" s="18">
        <v>6</v>
      </c>
      <c r="U7" s="5">
        <v>-1</v>
      </c>
      <c r="V7" s="5">
        <v>7</v>
      </c>
      <c r="W7" s="5">
        <v>-5</v>
      </c>
      <c r="X7" s="5">
        <v>-6</v>
      </c>
      <c r="Y7" s="5">
        <v>-1</v>
      </c>
      <c r="Z7" s="92">
        <v>3.0615902631578998E-2</v>
      </c>
      <c r="AA7" s="88">
        <v>11</v>
      </c>
      <c r="AB7" s="68">
        <v>94</v>
      </c>
      <c r="AC7" s="5">
        <v>88</v>
      </c>
      <c r="AD7" s="5">
        <v>111</v>
      </c>
      <c r="AE7" s="80">
        <v>98</v>
      </c>
      <c r="AF7" s="179">
        <v>-12</v>
      </c>
      <c r="AG7" s="154">
        <v>-8</v>
      </c>
      <c r="AH7" s="154">
        <v>-16</v>
      </c>
      <c r="AI7" s="154">
        <v>-12</v>
      </c>
      <c r="AJ7" s="68">
        <v>82</v>
      </c>
      <c r="AK7" s="5">
        <v>80</v>
      </c>
      <c r="AL7" s="5">
        <v>95</v>
      </c>
      <c r="AM7" s="80">
        <v>86</v>
      </c>
      <c r="AN7" s="68">
        <v>94</v>
      </c>
      <c r="AO7" s="5">
        <v>88</v>
      </c>
      <c r="AP7" s="5">
        <v>111</v>
      </c>
      <c r="AQ7" s="80">
        <v>98</v>
      </c>
      <c r="AR7" s="68">
        <v>82</v>
      </c>
      <c r="AS7" s="5">
        <v>80</v>
      </c>
      <c r="AT7" s="5">
        <v>95</v>
      </c>
      <c r="AU7" s="80">
        <v>86</v>
      </c>
      <c r="AV7" s="179">
        <f t="shared" si="0"/>
        <v>-12</v>
      </c>
      <c r="AW7" s="154">
        <f t="shared" si="1"/>
        <v>-8</v>
      </c>
      <c r="AX7" s="154">
        <f t="shared" si="2"/>
        <v>-16</v>
      </c>
      <c r="AY7" s="185">
        <f t="shared" si="3"/>
        <v>-12</v>
      </c>
      <c r="AZ7" s="9">
        <v>1.1808510638297873</v>
      </c>
      <c r="BA7" s="77">
        <v>2.2314478463933751E-2</v>
      </c>
      <c r="BB7" s="18">
        <v>0.93617021276595747</v>
      </c>
      <c r="BC7" s="77">
        <v>-3.9439543331603488E-2</v>
      </c>
      <c r="BD7" s="154">
        <v>0.28000000000000003</v>
      </c>
      <c r="BE7" s="144">
        <v>0.08</v>
      </c>
      <c r="BF7" s="5">
        <v>-1</v>
      </c>
      <c r="BG7" s="5">
        <v>1</v>
      </c>
      <c r="BK7" s="18" t="s">
        <v>5</v>
      </c>
      <c r="BL7" s="18">
        <v>3</v>
      </c>
      <c r="BM7" s="18">
        <v>5</v>
      </c>
      <c r="BN7" s="18">
        <v>4</v>
      </c>
      <c r="BO7" s="18">
        <v>14</v>
      </c>
      <c r="BP7" s="18">
        <v>23</v>
      </c>
      <c r="BQ7" s="138" t="s">
        <v>474</v>
      </c>
      <c r="BR7" s="138">
        <v>-2.3043923203627099E-27</v>
      </c>
      <c r="BS7" s="138" t="s">
        <v>475</v>
      </c>
      <c r="BT7" s="138">
        <v>-2.4376562637894699E-27</v>
      </c>
      <c r="BU7" s="138">
        <f t="shared" si="4"/>
        <v>-2.3710242920760897E-27</v>
      </c>
      <c r="BW7" s="18">
        <v>0.04</v>
      </c>
      <c r="BX7" s="18">
        <v>0</v>
      </c>
      <c r="BY7" s="18">
        <f t="shared" si="5"/>
        <v>0.04</v>
      </c>
      <c r="BZ7" s="3">
        <v>2.1999999999999999E-2</v>
      </c>
      <c r="CA7" s="18">
        <v>0.03</v>
      </c>
      <c r="CB7" s="18">
        <v>3.3333333333333333E-2</v>
      </c>
      <c r="CC7" s="18">
        <v>0.02</v>
      </c>
      <c r="CD7" s="18">
        <v>0.02</v>
      </c>
      <c r="CE7" s="18">
        <v>0.02</v>
      </c>
      <c r="CF7" s="18">
        <v>2.3333333333333334E-2</v>
      </c>
      <c r="CG7" s="18">
        <v>4.9999999999999996E-2</v>
      </c>
      <c r="CH7" s="18">
        <v>0.02</v>
      </c>
      <c r="CI7" s="18">
        <v>0.02</v>
      </c>
      <c r="CJ7" s="18">
        <v>0.02</v>
      </c>
      <c r="CK7" s="296" t="s">
        <v>528</v>
      </c>
      <c r="CL7" s="18">
        <v>-0.93770227250000004</v>
      </c>
      <c r="CM7" s="18">
        <v>-2.3296673989999999</v>
      </c>
      <c r="CN7" s="18">
        <v>-0.43593042440000002</v>
      </c>
      <c r="CO7" s="18">
        <v>-0.34233468389999999</v>
      </c>
      <c r="CP7" s="18">
        <v>-0.38203062939999999</v>
      </c>
      <c r="CQ7" s="18">
        <v>-0.3960370788</v>
      </c>
      <c r="CR7" s="18">
        <v>-0.50748207099999998</v>
      </c>
      <c r="CS7" s="18">
        <v>-0.1701350174</v>
      </c>
      <c r="CT7" s="18">
        <v>-0.44343836580000001</v>
      </c>
      <c r="CY7" s="18">
        <v>0.16830998289999999</v>
      </c>
      <c r="CZ7" s="296" t="s">
        <v>528</v>
      </c>
      <c r="DA7" s="68">
        <v>16.957525820000001</v>
      </c>
      <c r="DB7" s="5">
        <v>23.4313389</v>
      </c>
      <c r="DC7" s="5">
        <v>20.321211760000001</v>
      </c>
      <c r="DD7" s="80">
        <f t="shared" si="6"/>
        <v>18.639368789999999</v>
      </c>
      <c r="DE7" s="68">
        <v>12.177618369999999</v>
      </c>
      <c r="DF7" s="5">
        <v>13.01592011</v>
      </c>
      <c r="DG7" s="5">
        <v>13.67677627</v>
      </c>
      <c r="DH7" s="80">
        <f t="shared" si="7"/>
        <v>12.927197319999999</v>
      </c>
      <c r="DI7" s="151">
        <f t="shared" si="8"/>
        <v>-4.7799074500000014</v>
      </c>
      <c r="DJ7" s="24">
        <f t="shared" si="9"/>
        <v>-10.41541879</v>
      </c>
      <c r="DK7" s="294">
        <f t="shared" si="10"/>
        <v>-6.6444354900000011</v>
      </c>
      <c r="DL7" s="244">
        <f t="shared" si="11"/>
        <v>-5.7121714699999995</v>
      </c>
      <c r="DM7" s="297" t="s">
        <v>528</v>
      </c>
      <c r="DN7" s="68">
        <v>3.914419192</v>
      </c>
      <c r="DO7" s="5">
        <v>5.1144261359999996</v>
      </c>
      <c r="DP7" s="5">
        <v>4.9803584670000003</v>
      </c>
      <c r="DQ7" s="3">
        <f t="shared" si="12"/>
        <v>4.4473888295000004</v>
      </c>
      <c r="DR7" s="68">
        <v>5.8662962949999997</v>
      </c>
      <c r="DS7" s="5">
        <v>8.7121338999999995</v>
      </c>
      <c r="DT7" s="5">
        <v>6.4452294449999998</v>
      </c>
      <c r="DU7" s="3">
        <f t="shared" si="13"/>
        <v>6.1557628700000002</v>
      </c>
      <c r="DV7" s="24">
        <f t="shared" si="14"/>
        <v>1.9518771029999997</v>
      </c>
      <c r="DW7" s="24">
        <f t="shared" si="15"/>
        <v>3.5977077639999999</v>
      </c>
      <c r="DX7" s="24">
        <f t="shared" si="16"/>
        <v>1.4648709779999995</v>
      </c>
      <c r="DY7" s="188">
        <f t="shared" si="17"/>
        <v>1.7083740404999999</v>
      </c>
      <c r="DZ7" s="297" t="s">
        <v>528</v>
      </c>
      <c r="EA7" s="18">
        <v>16.240393829999999</v>
      </c>
      <c r="EB7" s="18">
        <v>21.022990279999998</v>
      </c>
      <c r="EC7" s="18">
        <v>14.655886199999999</v>
      </c>
      <c r="ED7" s="3">
        <f t="shared" si="18"/>
        <v>15.448140015</v>
      </c>
      <c r="EE7" s="18">
        <v>7.7141648170000003</v>
      </c>
      <c r="EF7" s="18">
        <v>12.19811629</v>
      </c>
      <c r="EG7" s="18">
        <v>8.7892697210000001</v>
      </c>
      <c r="EH7" s="3">
        <f t="shared" si="19"/>
        <v>8.2517172690000002</v>
      </c>
      <c r="EI7" s="24">
        <f t="shared" si="20"/>
        <v>-8.5262290129999982</v>
      </c>
      <c r="EJ7" s="24">
        <f t="shared" si="21"/>
        <v>-8.8248739899999986</v>
      </c>
      <c r="EK7" s="24">
        <f t="shared" si="22"/>
        <v>-5.8666164789999993</v>
      </c>
      <c r="EL7" s="188">
        <f t="shared" si="23"/>
        <v>-7.1964227459999996</v>
      </c>
      <c r="EM7" s="297" t="s">
        <v>528</v>
      </c>
      <c r="EN7" s="151" t="s">
        <v>474</v>
      </c>
      <c r="EO7" s="244">
        <v>79.626639028346801</v>
      </c>
      <c r="EP7" s="151" t="s">
        <v>475</v>
      </c>
      <c r="EQ7" s="244">
        <v>59.657069270252499</v>
      </c>
      <c r="ER7" s="244">
        <f t="shared" si="24"/>
        <v>69.641854149299647</v>
      </c>
      <c r="ES7" s="18">
        <v>-1</v>
      </c>
      <c r="ET7" s="18">
        <v>4</v>
      </c>
      <c r="EU7" s="18">
        <v>0</v>
      </c>
      <c r="EV7" s="18">
        <v>0</v>
      </c>
      <c r="EW7" s="18">
        <v>0</v>
      </c>
      <c r="EX7" s="18">
        <v>0</v>
      </c>
      <c r="EY7" s="18">
        <v>3</v>
      </c>
      <c r="EZ7" s="5">
        <v>-2.3296673989999999</v>
      </c>
      <c r="FA7" s="18">
        <v>-28.033460319303831</v>
      </c>
      <c r="FB7" s="310">
        <v>6</v>
      </c>
      <c r="FC7" s="5">
        <v>81</v>
      </c>
      <c r="FD7" s="18">
        <v>37</v>
      </c>
      <c r="FE7" s="340">
        <v>11</v>
      </c>
      <c r="FF7" s="18">
        <v>1.9999999999999997E-2</v>
      </c>
      <c r="FG7" s="18">
        <v>1.9999999999999997E-2</v>
      </c>
      <c r="FH7" s="18">
        <v>1.9999999999999997E-2</v>
      </c>
      <c r="FI7" s="18">
        <v>0.01</v>
      </c>
      <c r="FJ7" s="18">
        <v>0</v>
      </c>
      <c r="FK7" s="18">
        <v>1.1428571428571429E-2</v>
      </c>
      <c r="FL7" s="18">
        <v>0.02</v>
      </c>
      <c r="FM7" s="18">
        <v>4.3333333333333328E-2</v>
      </c>
      <c r="FN7" s="18">
        <v>0.02</v>
      </c>
      <c r="FO7" s="18">
        <v>1.3333333333333332E-2</v>
      </c>
      <c r="FP7" s="18">
        <v>0.02</v>
      </c>
      <c r="FQ7" s="322">
        <v>-1</v>
      </c>
      <c r="FR7" s="5">
        <v>-1</v>
      </c>
      <c r="FS7" s="5">
        <v>-1</v>
      </c>
      <c r="FT7" s="5">
        <v>-2.3296673989999999</v>
      </c>
      <c r="FU7" s="18">
        <v>-1</v>
      </c>
      <c r="FV7" s="18">
        <v>4</v>
      </c>
      <c r="FW7" s="18">
        <v>0</v>
      </c>
      <c r="FX7" s="18">
        <v>0</v>
      </c>
      <c r="FY7" s="18">
        <v>0</v>
      </c>
      <c r="FZ7" s="18">
        <v>0</v>
      </c>
      <c r="GA7" s="18">
        <v>3</v>
      </c>
      <c r="GC7" s="5">
        <v>134</v>
      </c>
      <c r="GD7" s="5">
        <v>106</v>
      </c>
      <c r="GE7" s="5">
        <v>126</v>
      </c>
      <c r="GF7" s="5">
        <v>91</v>
      </c>
      <c r="GG7" s="5">
        <v>162</v>
      </c>
      <c r="GH7" s="144">
        <v>0.08</v>
      </c>
      <c r="GI7" s="68">
        <v>85.628</v>
      </c>
      <c r="GJ7" s="5">
        <v>76.712999999999994</v>
      </c>
      <c r="GK7" s="5">
        <f t="shared" si="25"/>
        <v>8.9150000000000063</v>
      </c>
      <c r="GL7" s="5">
        <f t="shared" si="26"/>
        <v>1.1162123759988529</v>
      </c>
      <c r="GM7" s="80">
        <f t="shared" si="27"/>
        <v>4.774683344512208E-2</v>
      </c>
      <c r="GN7" s="68">
        <v>70.667699999999996</v>
      </c>
      <c r="GO7" s="5">
        <v>65.108500000000006</v>
      </c>
      <c r="GP7" s="5">
        <f t="shared" si="28"/>
        <v>5.5591999999999899</v>
      </c>
      <c r="GQ7" s="80">
        <f t="shared" si="29"/>
        <v>1.0853836288656626</v>
      </c>
      <c r="GR7" s="68">
        <v>81.119</v>
      </c>
      <c r="GS7" s="5">
        <v>74.483199999999997</v>
      </c>
      <c r="GT7" s="5">
        <f t="shared" si="30"/>
        <v>6.6358000000000033</v>
      </c>
      <c r="GU7" s="80">
        <f t="shared" si="31"/>
        <v>1.089091231311222</v>
      </c>
      <c r="GV7" s="68">
        <v>53.088700000000003</v>
      </c>
      <c r="GW7" s="5">
        <v>50.779800000000002</v>
      </c>
      <c r="GX7" s="5">
        <f t="shared" si="32"/>
        <v>2.3089000000000013</v>
      </c>
      <c r="GY7" s="80">
        <f t="shared" si="33"/>
        <v>1.0454688675418178</v>
      </c>
      <c r="GZ7" s="68">
        <v>107.249</v>
      </c>
      <c r="HA7" s="5">
        <v>86.978499999999997</v>
      </c>
      <c r="HB7" s="5">
        <f t="shared" si="34"/>
        <v>20.270499999999998</v>
      </c>
      <c r="HC7" s="80">
        <f t="shared" si="35"/>
        <v>1.2330518461458866</v>
      </c>
      <c r="HD7" s="68">
        <v>60.04</v>
      </c>
      <c r="HE7" s="5">
        <v>58.5</v>
      </c>
      <c r="HF7" s="5">
        <f t="shared" si="36"/>
        <v>1.5399999999999991</v>
      </c>
      <c r="HG7" s="80">
        <f t="shared" si="37"/>
        <v>1.0263247863247864</v>
      </c>
      <c r="HH7" s="68">
        <v>64.271000000000001</v>
      </c>
      <c r="HI7" s="5">
        <v>60.396000000000001</v>
      </c>
      <c r="HJ7" s="5">
        <f t="shared" si="38"/>
        <v>3.875</v>
      </c>
      <c r="HK7" s="80">
        <f t="shared" si="39"/>
        <v>1.0641598781376249</v>
      </c>
      <c r="HL7" s="68">
        <v>61.438699999999997</v>
      </c>
      <c r="HM7" s="5">
        <v>57.956699999999998</v>
      </c>
      <c r="HN7" s="5">
        <f t="shared" si="40"/>
        <v>3.4819999999999993</v>
      </c>
      <c r="HO7" s="80">
        <f t="shared" si="41"/>
        <v>1.060079335089817</v>
      </c>
      <c r="HP7" s="68">
        <v>49.498899999999999</v>
      </c>
      <c r="HQ7" s="5">
        <v>48.215200000000003</v>
      </c>
      <c r="HR7" s="5">
        <f t="shared" si="42"/>
        <v>1.2836999999999961</v>
      </c>
      <c r="HS7" s="80">
        <f t="shared" si="43"/>
        <v>1.0266243840116809</v>
      </c>
      <c r="HT7" s="68">
        <v>48.0428</v>
      </c>
      <c r="HU7" s="5">
        <v>48.8352</v>
      </c>
      <c r="HV7" s="5">
        <f t="shared" si="44"/>
        <v>-0.79240000000000066</v>
      </c>
      <c r="HW7" s="80">
        <f t="shared" si="45"/>
        <v>0.98377399908262886</v>
      </c>
      <c r="HX7" s="68">
        <v>64.999499999999998</v>
      </c>
      <c r="HY7" s="5">
        <v>62.1633</v>
      </c>
      <c r="HZ7" s="5">
        <f t="shared" si="46"/>
        <v>2.8361999999999981</v>
      </c>
      <c r="IA7" s="80">
        <f t="shared" si="47"/>
        <v>1.0456249909512525</v>
      </c>
      <c r="IB7" s="68">
        <v>79.596500000000006</v>
      </c>
      <c r="IC7" s="5">
        <v>76.849500000000006</v>
      </c>
      <c r="ID7" s="5">
        <f t="shared" si="48"/>
        <v>2.7469999999999999</v>
      </c>
      <c r="IE7" s="5">
        <f t="shared" si="49"/>
        <v>1.0357451902744976</v>
      </c>
      <c r="IF7" s="68">
        <v>52.978499999999997</v>
      </c>
      <c r="IG7" s="5">
        <v>51.260800000000003</v>
      </c>
      <c r="IH7" s="5">
        <f t="shared" si="50"/>
        <v>1.7176999999999936</v>
      </c>
      <c r="II7" s="80">
        <f t="shared" si="51"/>
        <v>1.0335090361445782</v>
      </c>
      <c r="IJ7" s="68">
        <v>60.638800000000003</v>
      </c>
      <c r="IK7" s="5">
        <v>58.650799999999997</v>
      </c>
      <c r="IL7" s="5">
        <f t="shared" si="52"/>
        <v>1.9880000000000067</v>
      </c>
      <c r="IM7" s="80">
        <f t="shared" si="53"/>
        <v>1.0338955308367492</v>
      </c>
      <c r="IN7" s="68">
        <v>68.836500000000001</v>
      </c>
      <c r="IO7" s="5">
        <v>66.759500000000003</v>
      </c>
      <c r="IP7" s="5">
        <f t="shared" si="54"/>
        <v>2.0769999999999982</v>
      </c>
      <c r="IQ7" s="5">
        <f t="shared" si="55"/>
        <v>1.0311116769897917</v>
      </c>
      <c r="IR7" s="80">
        <f t="shared" si="56"/>
        <v>9.0981337764980783E-2</v>
      </c>
      <c r="IS7" s="18">
        <v>69.641854149299647</v>
      </c>
      <c r="IT7" s="18">
        <f t="shared" si="57"/>
        <v>0.69641854149299642</v>
      </c>
      <c r="IV7" s="336" t="s">
        <v>597</v>
      </c>
      <c r="IW7" s="18">
        <v>0.422516335779893</v>
      </c>
      <c r="IX7" s="18">
        <f t="shared" si="58"/>
        <v>0.577483664220107</v>
      </c>
      <c r="IY7" s="336" t="s">
        <v>597</v>
      </c>
      <c r="IZ7" s="18">
        <v>0.41048167516335798</v>
      </c>
      <c r="JB7" s="336" t="s">
        <v>597</v>
      </c>
      <c r="JC7" s="18">
        <v>0.58256470393437898</v>
      </c>
      <c r="JD7" s="18">
        <f t="shared" si="59"/>
        <v>0.41743529606562102</v>
      </c>
      <c r="JE7" s="336" t="s">
        <v>597</v>
      </c>
      <c r="JF7" s="18">
        <v>0.66247459137945697</v>
      </c>
      <c r="JI7" s="336" t="s">
        <v>597</v>
      </c>
      <c r="JJ7" s="18">
        <v>0.50404565549281399</v>
      </c>
      <c r="JL7" s="336" t="s">
        <v>597</v>
      </c>
      <c r="JM7" s="18">
        <v>0.38718098289001301</v>
      </c>
      <c r="JO7" s="336" t="s">
        <v>597</v>
      </c>
      <c r="JP7" s="18">
        <v>0.70200018564972599</v>
      </c>
      <c r="JR7" s="336" t="s">
        <v>597</v>
      </c>
      <c r="JS7" s="18">
        <v>0.693796700720128</v>
      </c>
      <c r="JT7" s="68" t="s">
        <v>528</v>
      </c>
      <c r="JU7" s="347">
        <v>4.2599999999999999E-2</v>
      </c>
      <c r="JV7" s="347">
        <v>3.8699999999999998E-2</v>
      </c>
      <c r="JW7" s="347">
        <f t="shared" si="65"/>
        <v>4.0649999999999999E-2</v>
      </c>
      <c r="JX7" s="348">
        <v>8.14E-2</v>
      </c>
      <c r="JY7" s="348">
        <v>6.2E-2</v>
      </c>
      <c r="JZ7" s="348">
        <f t="shared" si="66"/>
        <v>7.17E-2</v>
      </c>
      <c r="KA7" s="347">
        <f t="shared" si="67"/>
        <v>3.1050000000000001E-2</v>
      </c>
      <c r="KB7" s="347">
        <f t="shared" si="68"/>
        <v>1.7638376383763839</v>
      </c>
      <c r="KC7" s="354">
        <f t="shared" si="60"/>
        <v>5.6418376383763835</v>
      </c>
      <c r="KD7" s="18">
        <f t="shared" si="69"/>
        <v>0.75142058380945509</v>
      </c>
      <c r="KE7" s="18">
        <v>0.75142058380945509</v>
      </c>
      <c r="KF7" s="340">
        <v>11</v>
      </c>
      <c r="KG7" s="18">
        <v>1.9999999999999997E-2</v>
      </c>
      <c r="KH7" s="18">
        <v>1.9999999999999997E-2</v>
      </c>
      <c r="KI7" s="18">
        <v>1.9999999999999997E-2</v>
      </c>
      <c r="KJ7" s="18">
        <v>0.01</v>
      </c>
      <c r="KK7" s="18">
        <v>0</v>
      </c>
      <c r="KL7" s="18">
        <v>1.1428571428571429E-2</v>
      </c>
      <c r="KM7" s="18">
        <v>0.02</v>
      </c>
      <c r="KN7" s="18">
        <v>4.3333333333333328E-2</v>
      </c>
      <c r="KO7" s="18">
        <v>0.02</v>
      </c>
      <c r="KP7" s="18">
        <v>1.3333333333333332E-2</v>
      </c>
      <c r="KQ7" s="18">
        <v>0.02</v>
      </c>
      <c r="KR7" s="358" t="s">
        <v>628</v>
      </c>
      <c r="KS7" s="358">
        <v>8.5</v>
      </c>
      <c r="KT7" s="358">
        <v>0</v>
      </c>
      <c r="KU7" s="358">
        <v>1</v>
      </c>
      <c r="KV7" s="358">
        <v>12</v>
      </c>
      <c r="KW7" s="358">
        <v>-0.5</v>
      </c>
      <c r="KX7" s="358">
        <v>0</v>
      </c>
      <c r="KY7" s="144">
        <v>0.08</v>
      </c>
      <c r="KZ7" s="158" t="s">
        <v>528</v>
      </c>
      <c r="LA7" s="68">
        <v>0.46929999999999999</v>
      </c>
      <c r="LB7" s="5">
        <v>0.47560000000000002</v>
      </c>
      <c r="LC7" s="5">
        <f t="shared" si="70"/>
        <v>0.47245000000000004</v>
      </c>
      <c r="LD7" s="5">
        <v>0.52749999999999997</v>
      </c>
      <c r="LE7" s="5">
        <v>0.52910000000000001</v>
      </c>
      <c r="LF7" s="80">
        <f t="shared" si="71"/>
        <v>0.52829999999999999</v>
      </c>
      <c r="LG7" s="77">
        <f t="shared" si="72"/>
        <v>-5.5849999999999955E-2</v>
      </c>
      <c r="LH7" s="68">
        <v>9.8206000000000007</v>
      </c>
      <c r="LI7" s="5">
        <v>9.9916999999999998</v>
      </c>
      <c r="LJ7" s="5">
        <f t="shared" si="73"/>
        <v>9.9061500000000002</v>
      </c>
      <c r="LK7" s="5">
        <v>17.1663</v>
      </c>
      <c r="LL7" s="5">
        <v>17.659700000000001</v>
      </c>
      <c r="LM7" s="80">
        <f t="shared" si="74"/>
        <v>17.413</v>
      </c>
      <c r="LN7" s="77">
        <f t="shared" si="75"/>
        <v>-7.50685</v>
      </c>
      <c r="LO7" s="68">
        <v>1.0628</v>
      </c>
      <c r="LP7" s="5">
        <v>1.0465</v>
      </c>
      <c r="LQ7" s="5">
        <f t="shared" si="61"/>
        <v>1.0546500000000001</v>
      </c>
      <c r="LR7" s="5">
        <v>0.97719999999999996</v>
      </c>
      <c r="LS7" s="5">
        <v>0.99619999999999997</v>
      </c>
      <c r="LT7" s="80">
        <f t="shared" si="62"/>
        <v>0.98669999999999991</v>
      </c>
      <c r="LU7" s="77">
        <f t="shared" si="76"/>
        <v>6.7950000000000177E-2</v>
      </c>
      <c r="LV7" s="68">
        <v>0.2276</v>
      </c>
      <c r="LW7" s="5">
        <v>0.2495</v>
      </c>
      <c r="LX7" s="5">
        <f t="shared" si="63"/>
        <v>0.23854999999999998</v>
      </c>
      <c r="LY7" s="5">
        <v>0.35930000000000001</v>
      </c>
      <c r="LZ7" s="5">
        <v>0.35210000000000002</v>
      </c>
      <c r="MA7" s="80">
        <f t="shared" si="64"/>
        <v>0.35570000000000002</v>
      </c>
      <c r="MB7" s="77">
        <f t="shared" si="77"/>
        <v>-0.11715000000000003</v>
      </c>
      <c r="MD7" s="5">
        <v>-2.3798406550000002</v>
      </c>
      <c r="ME7" s="5">
        <v>0.35322746189999998</v>
      </c>
      <c r="MF7" s="5">
        <v>1.031002492</v>
      </c>
      <c r="MG7" s="5">
        <v>2.3863939410000001</v>
      </c>
      <c r="MH7" s="292">
        <v>1.6664677139999999</v>
      </c>
      <c r="MI7" s="18">
        <v>-2.3296673989999999</v>
      </c>
      <c r="MJ7" s="18">
        <v>3.9697657780000002</v>
      </c>
      <c r="MK7" s="18">
        <v>1.7819216870000001</v>
      </c>
      <c r="ML7" s="18">
        <v>3.013891256</v>
      </c>
      <c r="MM7" s="18">
        <v>-0.93770227250000004</v>
      </c>
      <c r="MN7" s="18">
        <v>-2.3296673989999999</v>
      </c>
      <c r="MP7" s="296">
        <v>6</v>
      </c>
      <c r="MQ7" s="18">
        <v>2.5000000000000001E-2</v>
      </c>
      <c r="MR7" s="18">
        <v>0.12859999999999999</v>
      </c>
      <c r="MS7" s="18">
        <v>0.3488</v>
      </c>
      <c r="MT7" s="18">
        <v>0.4637</v>
      </c>
      <c r="MU7" s="18">
        <v>0.1115</v>
      </c>
      <c r="MV7" s="18">
        <v>0.80659999999999998</v>
      </c>
      <c r="MW7" s="18">
        <v>0.34639999999999999</v>
      </c>
      <c r="MX7" s="18">
        <v>-4.07E-2</v>
      </c>
      <c r="MY7" s="18">
        <v>-0.35809999999999997</v>
      </c>
    </row>
    <row r="8" spans="1:363" ht="15.75" customHeight="1" thickBot="1" x14ac:dyDescent="0.25">
      <c r="A8" s="3" t="s">
        <v>8</v>
      </c>
      <c r="B8" s="5">
        <v>0</v>
      </c>
      <c r="C8" s="5">
        <v>1</v>
      </c>
      <c r="D8" s="5">
        <v>26</v>
      </c>
      <c r="E8" s="5">
        <v>59</v>
      </c>
      <c r="F8" s="5">
        <v>54</v>
      </c>
      <c r="G8" s="18">
        <v>25</v>
      </c>
      <c r="H8" s="24">
        <v>117</v>
      </c>
      <c r="I8" s="5">
        <v>18</v>
      </c>
      <c r="J8" s="5">
        <v>160</v>
      </c>
      <c r="K8" s="5">
        <v>72</v>
      </c>
      <c r="L8" s="5">
        <v>92</v>
      </c>
      <c r="M8" s="5">
        <v>61</v>
      </c>
      <c r="N8" s="5">
        <v>166</v>
      </c>
      <c r="O8" s="5">
        <v>7</v>
      </c>
      <c r="P8" s="5">
        <v>-1</v>
      </c>
      <c r="Q8" s="5">
        <v>0</v>
      </c>
      <c r="R8" s="5">
        <v>1</v>
      </c>
      <c r="S8" s="5">
        <v>8</v>
      </c>
      <c r="T8" s="18">
        <v>7</v>
      </c>
      <c r="U8" s="5">
        <v>-1</v>
      </c>
      <c r="V8" s="5">
        <v>3</v>
      </c>
      <c r="W8" s="5">
        <v>11</v>
      </c>
      <c r="X8" s="5">
        <v>-8</v>
      </c>
      <c r="Y8" s="5">
        <v>1</v>
      </c>
      <c r="Z8" s="92">
        <v>-3.7704547368421E-2</v>
      </c>
      <c r="AA8" s="88">
        <v>14.5</v>
      </c>
      <c r="AB8" s="68">
        <v>84</v>
      </c>
      <c r="AC8" s="5">
        <v>77</v>
      </c>
      <c r="AD8" s="5">
        <v>108</v>
      </c>
      <c r="AE8" s="80">
        <v>90</v>
      </c>
      <c r="AF8" s="179">
        <v>4</v>
      </c>
      <c r="AG8" s="154">
        <v>7</v>
      </c>
      <c r="AH8" s="154">
        <v>-8</v>
      </c>
      <c r="AI8" s="154">
        <v>1</v>
      </c>
      <c r="AJ8" s="68">
        <v>88</v>
      </c>
      <c r="AK8" s="5">
        <v>84</v>
      </c>
      <c r="AL8" s="5">
        <v>100</v>
      </c>
      <c r="AM8" s="80">
        <v>91</v>
      </c>
      <c r="AN8" s="68">
        <v>84</v>
      </c>
      <c r="AO8" s="5">
        <v>77</v>
      </c>
      <c r="AP8" s="5">
        <v>108</v>
      </c>
      <c r="AQ8" s="80">
        <v>90</v>
      </c>
      <c r="AR8" s="68">
        <v>88</v>
      </c>
      <c r="AS8" s="5">
        <v>84</v>
      </c>
      <c r="AT8" s="5">
        <v>100</v>
      </c>
      <c r="AU8" s="80">
        <v>91</v>
      </c>
      <c r="AV8" s="179">
        <f t="shared" si="0"/>
        <v>4</v>
      </c>
      <c r="AW8" s="154">
        <f t="shared" si="1"/>
        <v>7</v>
      </c>
      <c r="AX8" s="154">
        <f t="shared" si="2"/>
        <v>-8</v>
      </c>
      <c r="AY8" s="185">
        <f t="shared" si="3"/>
        <v>1</v>
      </c>
      <c r="AZ8" s="9">
        <v>1.2857142857142858</v>
      </c>
      <c r="BA8" s="77">
        <v>0.14935064935064934</v>
      </c>
      <c r="BB8" s="18">
        <v>0.91666666666666663</v>
      </c>
      <c r="BC8" s="77">
        <v>-3.7878787878787956E-2</v>
      </c>
      <c r="BD8" s="154">
        <v>1</v>
      </c>
      <c r="BE8" s="144">
        <v>0.25</v>
      </c>
      <c r="BF8" s="5">
        <v>0</v>
      </c>
      <c r="BG8" s="5">
        <v>-1</v>
      </c>
      <c r="BK8" s="18" t="s">
        <v>8</v>
      </c>
      <c r="BL8" s="18">
        <v>0</v>
      </c>
      <c r="BM8" s="18">
        <v>0</v>
      </c>
      <c r="BN8" s="18">
        <v>1</v>
      </c>
      <c r="BO8" s="18">
        <v>1</v>
      </c>
      <c r="BP8" s="18">
        <v>2</v>
      </c>
      <c r="BQ8" s="138" t="s">
        <v>478</v>
      </c>
      <c r="BR8" s="138">
        <v>-1.8204670589212401E-28</v>
      </c>
      <c r="BS8" s="138" t="s">
        <v>479</v>
      </c>
      <c r="BT8" s="138">
        <v>-3.0624075809420199E-28</v>
      </c>
      <c r="BU8" s="138">
        <f t="shared" si="4"/>
        <v>-2.44143731993163E-28</v>
      </c>
      <c r="BW8" s="18">
        <v>1</v>
      </c>
      <c r="BX8" s="18">
        <v>0.30000001192100001</v>
      </c>
      <c r="BY8" s="18">
        <f t="shared" si="5"/>
        <v>0.69999998807899999</v>
      </c>
      <c r="BZ8" s="3">
        <v>0.18800000020000002</v>
      </c>
      <c r="CA8" s="18">
        <v>6.6666666666666671E-3</v>
      </c>
      <c r="CB8" s="18">
        <v>0.29000000133333331</v>
      </c>
      <c r="CC8" s="18">
        <v>0.52999999133333331</v>
      </c>
      <c r="CD8" s="18">
        <v>0.66666666666666663</v>
      </c>
      <c r="CE8" s="18">
        <v>2.4285714571428575E-2</v>
      </c>
      <c r="CF8" s="18">
        <v>0</v>
      </c>
      <c r="CG8" s="18">
        <v>0.45333333799999997</v>
      </c>
      <c r="CH8" s="18">
        <v>1</v>
      </c>
      <c r="CI8" s="18">
        <v>0.72999999933333337</v>
      </c>
      <c r="CJ8" s="18">
        <v>0.54000000166666673</v>
      </c>
      <c r="CK8" s="285" t="s">
        <v>529</v>
      </c>
      <c r="CL8" s="18">
        <v>1.468671265</v>
      </c>
      <c r="CM8" s="18">
        <v>-3.0254243939999999</v>
      </c>
      <c r="CN8" s="18">
        <v>-0.20431877879999999</v>
      </c>
      <c r="CO8" s="18">
        <v>-0.16001067660000001</v>
      </c>
      <c r="CP8" s="18">
        <v>5.5733252490000003E-2</v>
      </c>
      <c r="CQ8" s="18">
        <v>-0.16547764279999999</v>
      </c>
      <c r="CR8" s="18">
        <v>-0.13979975659999999</v>
      </c>
      <c r="CS8" s="18">
        <v>-0.18530570190000001</v>
      </c>
      <c r="CT8" s="18">
        <v>-0.27851456330000002</v>
      </c>
      <c r="CY8" s="18">
        <v>-0.38697662319999998</v>
      </c>
      <c r="CZ8" s="285" t="s">
        <v>529</v>
      </c>
      <c r="DA8" s="68">
        <v>11.497704349999999</v>
      </c>
      <c r="DB8" s="5">
        <v>13.30867402</v>
      </c>
      <c r="DC8" s="5">
        <v>14.96476354</v>
      </c>
      <c r="DD8" s="80">
        <f t="shared" si="6"/>
        <v>13.231233945</v>
      </c>
      <c r="DE8" s="68">
        <v>10.47452399</v>
      </c>
      <c r="DF8" s="5">
        <v>11.16413972</v>
      </c>
      <c r="DG8" s="5">
        <v>12.45880094</v>
      </c>
      <c r="DH8" s="80">
        <f t="shared" si="7"/>
        <v>11.466662464999999</v>
      </c>
      <c r="DI8" s="151">
        <f t="shared" si="8"/>
        <v>-1.0231803599999996</v>
      </c>
      <c r="DJ8" s="24">
        <f t="shared" si="9"/>
        <v>-2.1445343000000001</v>
      </c>
      <c r="DK8" s="294">
        <f t="shared" si="10"/>
        <v>-2.5059626000000002</v>
      </c>
      <c r="DL8" s="244">
        <f t="shared" si="11"/>
        <v>-1.7645714800000007</v>
      </c>
      <c r="DM8" s="295" t="s">
        <v>529</v>
      </c>
      <c r="DN8" s="68">
        <v>2.3381888019999999</v>
      </c>
      <c r="DO8" s="5">
        <v>2.8519991689999999</v>
      </c>
      <c r="DP8" s="5">
        <v>2.8182886960000002</v>
      </c>
      <c r="DQ8" s="3">
        <f t="shared" si="12"/>
        <v>2.5782387490000001</v>
      </c>
      <c r="DR8" s="68">
        <v>3.4219476109999998</v>
      </c>
      <c r="DS8" s="5">
        <v>2.8031716649999998</v>
      </c>
      <c r="DT8" s="5">
        <v>4.4861837580000001</v>
      </c>
      <c r="DU8" s="3">
        <f t="shared" si="13"/>
        <v>3.9540656844999997</v>
      </c>
      <c r="DV8" s="24">
        <f t="shared" si="14"/>
        <v>1.0837588089999999</v>
      </c>
      <c r="DW8" s="24">
        <f t="shared" si="15"/>
        <v>-4.8827504000000133E-2</v>
      </c>
      <c r="DX8" s="24">
        <f t="shared" si="16"/>
        <v>1.6678950619999999</v>
      </c>
      <c r="DY8" s="188">
        <f t="shared" si="17"/>
        <v>1.3758269354999997</v>
      </c>
      <c r="DZ8" s="295" t="s">
        <v>529</v>
      </c>
      <c r="EA8" s="18">
        <v>5.3950692499999997</v>
      </c>
      <c r="EB8" s="18">
        <v>8.1937316649999996</v>
      </c>
      <c r="EC8" s="18">
        <v>7.6361723870000002</v>
      </c>
      <c r="ED8" s="3">
        <f t="shared" si="18"/>
        <v>6.5156208185000004</v>
      </c>
      <c r="EE8" s="18">
        <v>4.6469136730000002</v>
      </c>
      <c r="EF8" s="18">
        <v>4.3288625280000002</v>
      </c>
      <c r="EG8" s="18">
        <v>4.5756612199999998</v>
      </c>
      <c r="EH8" s="3">
        <f t="shared" si="19"/>
        <v>4.6112874465000004</v>
      </c>
      <c r="EI8" s="24">
        <f t="shared" si="20"/>
        <v>-0.74815557699999946</v>
      </c>
      <c r="EJ8" s="24">
        <f t="shared" si="21"/>
        <v>-3.8648691369999995</v>
      </c>
      <c r="EK8" s="24">
        <f t="shared" si="22"/>
        <v>-3.0605111670000005</v>
      </c>
      <c r="EL8" s="188">
        <f t="shared" si="23"/>
        <v>-1.904333372</v>
      </c>
      <c r="EM8" s="295" t="s">
        <v>529</v>
      </c>
      <c r="EN8" s="151" t="s">
        <v>478</v>
      </c>
      <c r="EO8" s="244">
        <v>89.845520028504495</v>
      </c>
      <c r="EP8" s="151" t="s">
        <v>479</v>
      </c>
      <c r="EQ8" s="244">
        <v>69.162383818088998</v>
      </c>
      <c r="ER8" s="244">
        <f t="shared" si="24"/>
        <v>79.503951923296739</v>
      </c>
      <c r="ES8" s="18">
        <v>2</v>
      </c>
      <c r="ET8" s="18">
        <v>7</v>
      </c>
      <c r="EU8" s="18">
        <v>9</v>
      </c>
      <c r="EV8" s="18">
        <v>1</v>
      </c>
      <c r="EW8" s="18">
        <v>2</v>
      </c>
      <c r="EX8" s="18">
        <v>0</v>
      </c>
      <c r="EY8" s="18">
        <v>21</v>
      </c>
      <c r="EZ8" s="5">
        <v>-3.0254243939999999</v>
      </c>
      <c r="FA8" s="18">
        <v>-17.072279242539452</v>
      </c>
      <c r="FB8" s="310">
        <v>9</v>
      </c>
      <c r="FC8" s="5">
        <v>59</v>
      </c>
      <c r="FD8" s="18">
        <v>25</v>
      </c>
      <c r="FE8" s="340">
        <v>14.5</v>
      </c>
      <c r="FF8" s="18">
        <v>0.18800000020000002</v>
      </c>
      <c r="FG8" s="18">
        <v>6.6666666666666671E-3</v>
      </c>
      <c r="FH8" s="18">
        <v>0.29000000133333331</v>
      </c>
      <c r="FI8" s="18">
        <v>0.52999999133333331</v>
      </c>
      <c r="FJ8" s="18">
        <v>0.66666666666666663</v>
      </c>
      <c r="FK8" s="18">
        <v>2.4285714571428575E-2</v>
      </c>
      <c r="FL8" s="18">
        <v>0</v>
      </c>
      <c r="FM8" s="18">
        <v>0.45333333799999997</v>
      </c>
      <c r="FN8" s="18">
        <v>1</v>
      </c>
      <c r="FO8" s="18">
        <v>0.72999999933333337</v>
      </c>
      <c r="FP8" s="18">
        <v>0.54000000166666673</v>
      </c>
      <c r="FQ8" s="322">
        <v>0</v>
      </c>
      <c r="FR8" s="5">
        <v>-1</v>
      </c>
      <c r="FS8" s="5">
        <v>1</v>
      </c>
      <c r="FT8" s="5">
        <v>-3.0254243939999999</v>
      </c>
      <c r="FU8" s="18">
        <v>2</v>
      </c>
      <c r="FV8" s="18">
        <v>7</v>
      </c>
      <c r="FW8" s="18">
        <v>9</v>
      </c>
      <c r="FX8" s="18">
        <v>1</v>
      </c>
      <c r="FY8" s="18">
        <v>2</v>
      </c>
      <c r="FZ8" s="18">
        <v>0</v>
      </c>
      <c r="GA8" s="18">
        <v>21</v>
      </c>
      <c r="GC8" s="5">
        <v>160</v>
      </c>
      <c r="GD8" s="5">
        <v>72</v>
      </c>
      <c r="GE8" s="5">
        <v>92</v>
      </c>
      <c r="GF8" s="5">
        <v>61</v>
      </c>
      <c r="GG8" s="5">
        <v>166</v>
      </c>
      <c r="GH8" s="144">
        <v>0.25</v>
      </c>
      <c r="GI8" s="68">
        <v>93.466999999999999</v>
      </c>
      <c r="GJ8" s="5">
        <v>80.575500000000005</v>
      </c>
      <c r="GK8" s="5">
        <f t="shared" si="25"/>
        <v>12.891499999999994</v>
      </c>
      <c r="GL8" s="5">
        <f t="shared" si="26"/>
        <v>1.1599928017821795</v>
      </c>
      <c r="GM8" s="80">
        <f t="shared" si="27"/>
        <v>6.4455294264868068E-2</v>
      </c>
      <c r="GN8" s="68">
        <v>78.631500000000003</v>
      </c>
      <c r="GO8" s="5">
        <v>70.873199999999997</v>
      </c>
      <c r="GP8" s="5">
        <f t="shared" si="28"/>
        <v>7.7583000000000055</v>
      </c>
      <c r="GQ8" s="80">
        <f t="shared" si="29"/>
        <v>1.1094673303872269</v>
      </c>
      <c r="GR8" s="68">
        <v>92.334199999999996</v>
      </c>
      <c r="GS8" s="5">
        <v>85.747200000000007</v>
      </c>
      <c r="GT8" s="5">
        <f t="shared" si="30"/>
        <v>6.5869999999999891</v>
      </c>
      <c r="GU8" s="80">
        <f t="shared" si="31"/>
        <v>1.0768188349007313</v>
      </c>
      <c r="GV8" s="68">
        <v>41.701700000000002</v>
      </c>
      <c r="GW8" s="5">
        <v>56.959499999999998</v>
      </c>
      <c r="GX8" s="5">
        <f t="shared" si="32"/>
        <v>-15.257799999999996</v>
      </c>
      <c r="GY8" s="80">
        <f t="shared" si="33"/>
        <v>0.73212896882872924</v>
      </c>
      <c r="GZ8" s="68">
        <v>113.14400000000001</v>
      </c>
      <c r="HA8" s="5">
        <v>92.5745</v>
      </c>
      <c r="HB8" s="5">
        <f t="shared" si="34"/>
        <v>20.569500000000005</v>
      </c>
      <c r="HC8" s="80">
        <f t="shared" si="35"/>
        <v>1.2221940167108654</v>
      </c>
      <c r="HD8" s="68">
        <v>61.835500000000003</v>
      </c>
      <c r="HE8" s="5">
        <v>52.742800000000003</v>
      </c>
      <c r="HF8" s="5">
        <f t="shared" si="36"/>
        <v>9.0927000000000007</v>
      </c>
      <c r="HG8" s="80">
        <f t="shared" si="37"/>
        <v>1.1723969906792966</v>
      </c>
      <c r="HH8" s="68">
        <v>63.552300000000002</v>
      </c>
      <c r="HI8" s="5">
        <v>56.298499999999997</v>
      </c>
      <c r="HJ8" s="5">
        <f t="shared" si="38"/>
        <v>7.2538000000000054</v>
      </c>
      <c r="HK8" s="80">
        <f t="shared" si="39"/>
        <v>1.1288453511194794</v>
      </c>
      <c r="HL8" s="68">
        <v>60.647500000000001</v>
      </c>
      <c r="HM8" s="5">
        <v>55.482300000000002</v>
      </c>
      <c r="HN8" s="5">
        <f t="shared" si="40"/>
        <v>5.1651999999999987</v>
      </c>
      <c r="HO8" s="80">
        <f t="shared" si="41"/>
        <v>1.0930963568561505</v>
      </c>
      <c r="HP8" s="68">
        <v>52.150199999999998</v>
      </c>
      <c r="HQ8" s="5">
        <v>45.530099999999997</v>
      </c>
      <c r="HR8" s="5">
        <f t="shared" si="42"/>
        <v>6.6201000000000008</v>
      </c>
      <c r="HS8" s="80">
        <f t="shared" si="43"/>
        <v>1.1454005152635289</v>
      </c>
      <c r="HT8" s="68">
        <v>43.303800000000003</v>
      </c>
      <c r="HU8" s="5">
        <v>50.890300000000003</v>
      </c>
      <c r="HV8" s="5">
        <f t="shared" si="44"/>
        <v>-7.5865000000000009</v>
      </c>
      <c r="HW8" s="80">
        <f t="shared" si="45"/>
        <v>0.85092443943148299</v>
      </c>
      <c r="HX8" s="68">
        <v>65.724999999999994</v>
      </c>
      <c r="HY8" s="5">
        <v>59.487699999999997</v>
      </c>
      <c r="HZ8" s="5">
        <f t="shared" si="46"/>
        <v>6.2372999999999976</v>
      </c>
      <c r="IA8" s="80">
        <f t="shared" si="47"/>
        <v>1.1048502463534478</v>
      </c>
      <c r="IB8" s="68">
        <v>84.295299999999997</v>
      </c>
      <c r="IC8" s="5">
        <v>79.565799999999996</v>
      </c>
      <c r="ID8" s="5">
        <f t="shared" si="48"/>
        <v>4.7295000000000016</v>
      </c>
      <c r="IE8" s="5">
        <f t="shared" si="49"/>
        <v>1.0594413680249555</v>
      </c>
      <c r="IF8" s="68">
        <v>56.403500000000001</v>
      </c>
      <c r="IG8" s="5">
        <v>50.467500000000001</v>
      </c>
      <c r="IH8" s="5">
        <f t="shared" si="50"/>
        <v>5.9359999999999999</v>
      </c>
      <c r="II8" s="80">
        <f t="shared" si="51"/>
        <v>1.1176202506563631</v>
      </c>
      <c r="IJ8" s="68">
        <v>62.968800000000002</v>
      </c>
      <c r="IK8" s="5">
        <v>54.052</v>
      </c>
      <c r="IL8" s="5">
        <f t="shared" si="52"/>
        <v>8.9168000000000021</v>
      </c>
      <c r="IM8" s="80">
        <f t="shared" si="53"/>
        <v>1.1649670687486124</v>
      </c>
      <c r="IN8" s="68">
        <v>70.757499999999993</v>
      </c>
      <c r="IO8" s="5">
        <v>61.775500000000001</v>
      </c>
      <c r="IP8" s="5">
        <f t="shared" si="54"/>
        <v>8.9819999999999922</v>
      </c>
      <c r="IQ8" s="5">
        <f t="shared" si="55"/>
        <v>1.1453974472080355</v>
      </c>
      <c r="IR8" s="80">
        <f t="shared" si="56"/>
        <v>8.7140153286757074E-2</v>
      </c>
      <c r="IS8" s="18">
        <v>79.503951923296739</v>
      </c>
      <c r="IT8" s="18">
        <f t="shared" si="57"/>
        <v>0.79503951923296734</v>
      </c>
      <c r="IV8" s="336" t="s">
        <v>599</v>
      </c>
      <c r="IW8" s="18">
        <v>0.52955631006998105</v>
      </c>
      <c r="IX8" s="18">
        <f t="shared" si="58"/>
        <v>0.47044368993001895</v>
      </c>
      <c r="IY8" s="336" t="s">
        <v>599</v>
      </c>
      <c r="IZ8" s="18">
        <v>0.444742717221358</v>
      </c>
      <c r="JB8" s="336" t="s">
        <v>599</v>
      </c>
      <c r="JC8" s="18">
        <v>0.57132012192061998</v>
      </c>
      <c r="JD8" s="18">
        <f t="shared" si="59"/>
        <v>0.42867987807938002</v>
      </c>
      <c r="JE8" s="336" t="s">
        <v>599</v>
      </c>
      <c r="JF8" s="18">
        <v>0.66814086301810804</v>
      </c>
      <c r="JI8" s="336" t="s">
        <v>599</v>
      </c>
      <c r="JJ8" s="18">
        <v>0.57568601175968503</v>
      </c>
      <c r="JL8" s="336" t="s">
        <v>599</v>
      </c>
      <c r="JM8" s="18">
        <v>0.61226929492436</v>
      </c>
      <c r="JO8" s="336" t="s">
        <v>599</v>
      </c>
      <c r="JP8" s="18">
        <v>0.78780867342828897</v>
      </c>
      <c r="JR8" s="336" t="s">
        <v>599</v>
      </c>
      <c r="JS8" s="18">
        <v>0.80135305576066596</v>
      </c>
      <c r="JT8" s="68" t="s">
        <v>529</v>
      </c>
      <c r="JU8" s="347">
        <v>3.5999999999999999E-3</v>
      </c>
      <c r="JV8" s="347">
        <v>-1.09E-2</v>
      </c>
      <c r="JW8" s="347">
        <f t="shared" si="65"/>
        <v>-3.65E-3</v>
      </c>
      <c r="JX8" s="348">
        <v>1.15E-2</v>
      </c>
      <c r="JY8" s="348">
        <v>1.6799999999999999E-2</v>
      </c>
      <c r="JZ8" s="348">
        <f t="shared" si="66"/>
        <v>1.4149999999999999E-2</v>
      </c>
      <c r="KA8" s="347">
        <f t="shared" si="67"/>
        <v>1.78E-2</v>
      </c>
      <c r="KB8" s="347">
        <f t="shared" si="68"/>
        <v>-3.8767123287671232</v>
      </c>
      <c r="KC8" s="354">
        <f>KB8+3.878</f>
        <v>1.2876712328768747E-3</v>
      </c>
      <c r="KD8" s="18">
        <f t="shared" si="69"/>
        <v>-2.8901950065207025</v>
      </c>
      <c r="KE8" s="145"/>
      <c r="KF8" s="340">
        <v>14.5</v>
      </c>
      <c r="KG8" s="18">
        <v>0.18800000020000002</v>
      </c>
      <c r="KH8" s="18">
        <v>6.6666666666666671E-3</v>
      </c>
      <c r="KI8" s="18">
        <v>0.29000000133333331</v>
      </c>
      <c r="KJ8" s="18">
        <v>0.52999999133333331</v>
      </c>
      <c r="KK8" s="18">
        <v>0.66666666666666663</v>
      </c>
      <c r="KL8" s="18">
        <v>2.4285714571428575E-2</v>
      </c>
      <c r="KM8" s="18">
        <v>0</v>
      </c>
      <c r="KN8" s="18">
        <v>0.45333333799999997</v>
      </c>
      <c r="KO8" s="18">
        <v>1</v>
      </c>
      <c r="KP8" s="18">
        <v>0.72999999933333337</v>
      </c>
      <c r="KQ8" s="18">
        <v>0.54000000166666673</v>
      </c>
      <c r="KR8" s="358" t="s">
        <v>631</v>
      </c>
      <c r="KS8" s="358">
        <v>14.5</v>
      </c>
      <c r="KT8" s="358">
        <v>17</v>
      </c>
      <c r="KU8" s="358">
        <v>17</v>
      </c>
      <c r="KV8" s="358">
        <v>5.5</v>
      </c>
      <c r="KW8" s="358">
        <v>10</v>
      </c>
      <c r="KX8" s="358">
        <v>6</v>
      </c>
      <c r="KY8" s="144">
        <v>0.25</v>
      </c>
      <c r="KZ8" s="158" t="s">
        <v>529</v>
      </c>
      <c r="LA8" s="68">
        <v>0.4834</v>
      </c>
      <c r="LB8" s="5">
        <v>0.4914</v>
      </c>
      <c r="LC8" s="5">
        <f t="shared" si="70"/>
        <v>0.4874</v>
      </c>
      <c r="LD8" s="5">
        <v>0.51880000000000004</v>
      </c>
      <c r="LE8" s="5">
        <v>0.53449999999999998</v>
      </c>
      <c r="LF8" s="80">
        <f t="shared" si="71"/>
        <v>0.52665000000000006</v>
      </c>
      <c r="LG8" s="77">
        <f t="shared" si="72"/>
        <v>-3.9250000000000063E-2</v>
      </c>
      <c r="LH8" s="68">
        <v>9.5755999999999997</v>
      </c>
      <c r="LI8" s="5">
        <v>11.264099999999999</v>
      </c>
      <c r="LJ8" s="5">
        <f t="shared" si="73"/>
        <v>10.41985</v>
      </c>
      <c r="LK8" s="5">
        <v>12.825900000000001</v>
      </c>
      <c r="LL8" s="5">
        <v>14.8575</v>
      </c>
      <c r="LM8" s="80">
        <f t="shared" si="74"/>
        <v>13.841699999999999</v>
      </c>
      <c r="LN8" s="77">
        <f t="shared" si="75"/>
        <v>-3.4218499999999992</v>
      </c>
      <c r="LO8" s="68">
        <v>1.0619000000000001</v>
      </c>
      <c r="LP8" s="5">
        <v>1.0507</v>
      </c>
      <c r="LQ8" s="5">
        <f t="shared" si="61"/>
        <v>1.0563</v>
      </c>
      <c r="LR8" s="5">
        <v>0.98640000000000005</v>
      </c>
      <c r="LS8" s="5">
        <v>0.97729999999999995</v>
      </c>
      <c r="LT8" s="80">
        <f t="shared" si="62"/>
        <v>0.98185</v>
      </c>
      <c r="LU8" s="77">
        <f t="shared" si="76"/>
        <v>7.4450000000000016E-2</v>
      </c>
      <c r="LV8" s="68">
        <v>0.27960000000000002</v>
      </c>
      <c r="LW8" s="5">
        <v>0.30570000000000003</v>
      </c>
      <c r="LX8" s="5">
        <f t="shared" si="63"/>
        <v>0.29265000000000002</v>
      </c>
      <c r="LY8" s="5">
        <v>0.38840000000000002</v>
      </c>
      <c r="LZ8" s="5">
        <v>0.438</v>
      </c>
      <c r="MA8" s="80">
        <f t="shared" si="64"/>
        <v>0.41320000000000001</v>
      </c>
      <c r="MB8" s="77">
        <f t="shared" si="77"/>
        <v>-0.12054999999999999</v>
      </c>
      <c r="MD8" s="5">
        <v>-1.717963288</v>
      </c>
      <c r="ME8" s="5">
        <v>3.823484439</v>
      </c>
      <c r="MF8" s="5">
        <v>3.1657128330000002</v>
      </c>
      <c r="MG8" s="5">
        <v>1.8575094400000001</v>
      </c>
      <c r="MH8" s="292">
        <v>2.5532704329999998</v>
      </c>
      <c r="MI8" s="18">
        <v>-3.0254243939999999</v>
      </c>
      <c r="MJ8" s="18">
        <v>2.397657095</v>
      </c>
      <c r="MK8" s="18">
        <v>4.2232056470000003</v>
      </c>
      <c r="ML8" s="18">
        <v>3.1952437950000001</v>
      </c>
      <c r="MM8" s="18">
        <v>1.468671265</v>
      </c>
      <c r="MN8" s="18">
        <v>-3.0254243939999999</v>
      </c>
      <c r="MP8" s="285">
        <v>9</v>
      </c>
      <c r="MQ8" s="18">
        <v>0.29930000000000001</v>
      </c>
      <c r="MR8" s="18">
        <v>0.2505</v>
      </c>
      <c r="MS8" s="18">
        <v>0.52669999999999995</v>
      </c>
      <c r="MT8" s="18">
        <v>-2.7300000000000001E-2</v>
      </c>
      <c r="MU8" s="18">
        <v>-7.0099999999999996E-2</v>
      </c>
      <c r="MV8" s="18">
        <v>3.15E-2</v>
      </c>
      <c r="MW8" s="18">
        <v>1.3899999999999999E-2</v>
      </c>
      <c r="MX8" s="18">
        <v>0.27710000000000001</v>
      </c>
      <c r="MY8" s="18">
        <v>-1.9151</v>
      </c>
    </row>
    <row r="9" spans="1:363" ht="16.5" customHeight="1" thickBot="1" x14ac:dyDescent="0.25">
      <c r="A9" s="3" t="s">
        <v>9</v>
      </c>
      <c r="B9" s="5">
        <v>0</v>
      </c>
      <c r="C9" s="5">
        <v>5</v>
      </c>
      <c r="D9" s="5">
        <v>29</v>
      </c>
      <c r="E9" s="5">
        <v>19</v>
      </c>
      <c r="F9" s="5">
        <v>44</v>
      </c>
      <c r="G9" s="18">
        <v>40</v>
      </c>
      <c r="H9" s="24">
        <v>118</v>
      </c>
      <c r="I9" s="5">
        <v>15</v>
      </c>
      <c r="J9" s="5">
        <v>106</v>
      </c>
      <c r="K9" s="5">
        <v>118</v>
      </c>
      <c r="L9" s="5">
        <v>101</v>
      </c>
      <c r="M9" s="5">
        <v>78</v>
      </c>
      <c r="N9" s="5">
        <v>109</v>
      </c>
      <c r="O9" s="5">
        <v>2.5</v>
      </c>
      <c r="P9" s="5">
        <v>-10</v>
      </c>
      <c r="Q9" s="5">
        <v>2</v>
      </c>
      <c r="R9" s="5">
        <v>2</v>
      </c>
      <c r="S9" s="5">
        <v>14</v>
      </c>
      <c r="T9" s="18">
        <v>2</v>
      </c>
      <c r="U9" s="5">
        <v>-2</v>
      </c>
      <c r="V9" s="5">
        <v>9</v>
      </c>
      <c r="W9" s="5">
        <v>10</v>
      </c>
      <c r="X9" s="5">
        <v>5</v>
      </c>
      <c r="Y9" s="5">
        <v>10</v>
      </c>
      <c r="Z9" s="92">
        <v>4.3502402631579E-2</v>
      </c>
      <c r="AA9" s="88">
        <v>11</v>
      </c>
      <c r="AB9" s="68">
        <v>95</v>
      </c>
      <c r="AC9" s="5">
        <v>90</v>
      </c>
      <c r="AD9" s="5">
        <v>103</v>
      </c>
      <c r="AE9" s="80">
        <v>96</v>
      </c>
      <c r="AF9" s="179">
        <v>0</v>
      </c>
      <c r="AG9" s="154">
        <v>-2</v>
      </c>
      <c r="AH9" s="154">
        <v>9</v>
      </c>
      <c r="AI9" s="154">
        <v>2</v>
      </c>
      <c r="AJ9" s="68">
        <v>95</v>
      </c>
      <c r="AK9" s="5">
        <v>88</v>
      </c>
      <c r="AL9" s="5">
        <v>112</v>
      </c>
      <c r="AM9" s="80">
        <v>98</v>
      </c>
      <c r="AN9" s="68">
        <v>95</v>
      </c>
      <c r="AO9" s="5">
        <v>90</v>
      </c>
      <c r="AP9" s="5">
        <v>103</v>
      </c>
      <c r="AQ9" s="80">
        <v>96</v>
      </c>
      <c r="AR9" s="68">
        <v>95</v>
      </c>
      <c r="AS9" s="5">
        <v>88</v>
      </c>
      <c r="AT9" s="5">
        <v>112</v>
      </c>
      <c r="AU9" s="80">
        <v>98</v>
      </c>
      <c r="AV9" s="179">
        <f t="shared" si="0"/>
        <v>0</v>
      </c>
      <c r="AW9" s="154">
        <f t="shared" si="1"/>
        <v>-2</v>
      </c>
      <c r="AX9" s="154">
        <f t="shared" si="2"/>
        <v>9</v>
      </c>
      <c r="AY9" s="185">
        <f t="shared" si="3"/>
        <v>2</v>
      </c>
      <c r="AZ9" s="9">
        <v>1.0842105263157895</v>
      </c>
      <c r="BA9" s="77">
        <v>-9.4736842105263008E-2</v>
      </c>
      <c r="BB9" s="18">
        <v>0.94736842105263153</v>
      </c>
      <c r="BC9" s="77">
        <v>2.1052631578947323E-2</v>
      </c>
      <c r="BD9" s="154">
        <v>0.97</v>
      </c>
      <c r="BE9" s="144">
        <v>0</v>
      </c>
      <c r="BF9" s="5">
        <v>2</v>
      </c>
      <c r="BG9" s="5">
        <v>-10</v>
      </c>
      <c r="BK9" s="18" t="s">
        <v>9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38" t="s">
        <v>480</v>
      </c>
      <c r="BR9" s="138">
        <v>4.9383535401985099E-27</v>
      </c>
      <c r="BS9" s="138" t="s">
        <v>481</v>
      </c>
      <c r="BT9" s="138">
        <v>4.7310489295057099E-27</v>
      </c>
      <c r="BU9" s="138">
        <f t="shared" si="4"/>
        <v>4.8347012348521102E-27</v>
      </c>
      <c r="BW9" s="18">
        <v>1</v>
      </c>
      <c r="BX9" s="18">
        <v>0</v>
      </c>
      <c r="BY9" s="18">
        <f t="shared" si="5"/>
        <v>1</v>
      </c>
      <c r="BZ9" s="3">
        <v>0.16200000000000001</v>
      </c>
      <c r="CA9" s="18">
        <v>0.10666666666666667</v>
      </c>
      <c r="CB9" s="18">
        <v>0.11333333333333333</v>
      </c>
      <c r="CC9" s="18">
        <v>7.0000000000000007E-2</v>
      </c>
      <c r="CD9" s="18">
        <v>0.67333333333333334</v>
      </c>
      <c r="CE9" s="18">
        <v>0.63428571428571423</v>
      </c>
      <c r="CF9" s="18">
        <v>0.25333333333333335</v>
      </c>
      <c r="CG9" s="18">
        <v>0.42333333333333334</v>
      </c>
      <c r="CH9" s="18">
        <v>0.96333333333333326</v>
      </c>
      <c r="CI9" s="18">
        <v>0.03</v>
      </c>
      <c r="CJ9" s="18">
        <v>0.15666666666666665</v>
      </c>
      <c r="CK9" s="296" t="s">
        <v>530</v>
      </c>
      <c r="CL9" s="18">
        <v>1.0856230659999999</v>
      </c>
      <c r="CM9" s="18">
        <v>-1.202560635</v>
      </c>
      <c r="CN9" s="18">
        <v>-0.73623574599999997</v>
      </c>
      <c r="CO9" s="18">
        <v>-0.46553508230000001</v>
      </c>
      <c r="CP9" s="18">
        <v>-0.54200883030000002</v>
      </c>
      <c r="CQ9" s="18">
        <v>-0.29437390720000001</v>
      </c>
      <c r="CR9" s="18">
        <v>-0.40736839229999999</v>
      </c>
      <c r="CS9" s="18">
        <v>-6.0932764340000001E-2</v>
      </c>
      <c r="CT9" s="18">
        <v>-0.47228327040000001</v>
      </c>
      <c r="CY9" s="18">
        <v>0.273186333</v>
      </c>
      <c r="CZ9" s="296" t="s">
        <v>530</v>
      </c>
      <c r="DA9" s="68">
        <v>13.627632589999999</v>
      </c>
      <c r="DB9" s="5">
        <v>11.987173200000001</v>
      </c>
      <c r="DC9" s="5">
        <v>18.56488328</v>
      </c>
      <c r="DD9" s="80">
        <f t="shared" si="6"/>
        <v>16.096257935000001</v>
      </c>
      <c r="DE9" s="68">
        <v>8.5172163310000002</v>
      </c>
      <c r="DF9" s="5">
        <v>8.3996779470000007</v>
      </c>
      <c r="DG9" s="5">
        <v>9.2746390099999996</v>
      </c>
      <c r="DH9" s="80">
        <f t="shared" si="7"/>
        <v>8.8959276705000008</v>
      </c>
      <c r="DI9" s="151">
        <f t="shared" si="8"/>
        <v>-5.1104162589999991</v>
      </c>
      <c r="DJ9" s="24">
        <f t="shared" si="9"/>
        <v>-3.5874952530000002</v>
      </c>
      <c r="DK9" s="294">
        <f t="shared" si="10"/>
        <v>-9.2902442700000005</v>
      </c>
      <c r="DL9" s="244">
        <f t="shared" si="11"/>
        <v>-7.2003302644999998</v>
      </c>
      <c r="DM9" s="297" t="s">
        <v>530</v>
      </c>
      <c r="DN9" s="68">
        <v>3.7475685470000002</v>
      </c>
      <c r="DO9" s="5">
        <v>3.83344628</v>
      </c>
      <c r="DP9" s="5">
        <v>5.5062615959999999</v>
      </c>
      <c r="DQ9" s="3">
        <f t="shared" si="12"/>
        <v>4.6269150715</v>
      </c>
      <c r="DR9" s="68">
        <v>4.5413385499999999</v>
      </c>
      <c r="DS9" s="5">
        <v>3.2617624919999999</v>
      </c>
      <c r="DT9" s="5">
        <v>4.6758254570000002</v>
      </c>
      <c r="DU9" s="3">
        <f t="shared" si="13"/>
        <v>4.6085820035000005</v>
      </c>
      <c r="DV9" s="24">
        <f t="shared" si="14"/>
        <v>0.79377000299999967</v>
      </c>
      <c r="DW9" s="24">
        <f t="shared" si="15"/>
        <v>-0.57168378800000008</v>
      </c>
      <c r="DX9" s="24">
        <f t="shared" si="16"/>
        <v>-0.83043613899999968</v>
      </c>
      <c r="DY9" s="188">
        <f t="shared" si="17"/>
        <v>-1.8333067999999564E-2</v>
      </c>
      <c r="DZ9" s="297" t="s">
        <v>530</v>
      </c>
      <c r="EA9" s="18">
        <v>15.535241170000001</v>
      </c>
      <c r="EB9" s="18">
        <v>16.482100549999998</v>
      </c>
      <c r="EC9" s="18">
        <v>23.365291450000001</v>
      </c>
      <c r="ED9" s="3">
        <f t="shared" si="18"/>
        <v>19.45026631</v>
      </c>
      <c r="EE9" s="18">
        <v>11.51627193</v>
      </c>
      <c r="EF9" s="18">
        <v>11.135217730000001</v>
      </c>
      <c r="EG9" s="18">
        <v>10.210541600000001</v>
      </c>
      <c r="EH9" s="3">
        <f t="shared" si="19"/>
        <v>10.863406765000001</v>
      </c>
      <c r="EI9" s="24">
        <f t="shared" si="20"/>
        <v>-4.0189692400000006</v>
      </c>
      <c r="EJ9" s="24">
        <f t="shared" si="21"/>
        <v>-5.3468828199999976</v>
      </c>
      <c r="EK9" s="24">
        <f t="shared" si="22"/>
        <v>-13.15474985</v>
      </c>
      <c r="EL9" s="188">
        <f t="shared" si="23"/>
        <v>-8.5868595449999994</v>
      </c>
      <c r="EM9" s="297" t="s">
        <v>530</v>
      </c>
      <c r="EN9" s="151" t="s">
        <v>480</v>
      </c>
      <c r="EO9" s="244">
        <v>128.777100966365</v>
      </c>
      <c r="EP9" s="151" t="s">
        <v>481</v>
      </c>
      <c r="EQ9" s="244">
        <v>124.65199171866399</v>
      </c>
      <c r="ER9" s="244">
        <f t="shared" si="24"/>
        <v>126.7145463425145</v>
      </c>
      <c r="ES9" s="18">
        <v>2</v>
      </c>
      <c r="ET9" s="18">
        <v>7</v>
      </c>
      <c r="EU9" s="18">
        <v>22</v>
      </c>
      <c r="EV9" s="18">
        <v>-4</v>
      </c>
      <c r="EW9" s="18">
        <v>8</v>
      </c>
      <c r="EX9" s="18">
        <v>2</v>
      </c>
      <c r="EY9" s="18">
        <v>37</v>
      </c>
      <c r="EZ9" s="5">
        <v>-1.202560635</v>
      </c>
      <c r="FA9" s="18">
        <v>-49.416843312340902</v>
      </c>
      <c r="FB9" s="310">
        <v>10</v>
      </c>
      <c r="FC9" s="5">
        <v>19</v>
      </c>
      <c r="FD9" s="18">
        <v>40</v>
      </c>
      <c r="FE9" s="340">
        <v>11</v>
      </c>
      <c r="FF9" s="18">
        <v>0.16200000000000001</v>
      </c>
      <c r="FG9" s="18">
        <v>0.10666666666666667</v>
      </c>
      <c r="FH9" s="18">
        <v>0.11333333333333333</v>
      </c>
      <c r="FI9" s="18">
        <v>7.0000000000000007E-2</v>
      </c>
      <c r="FJ9" s="18">
        <v>0.67333333333333334</v>
      </c>
      <c r="FK9" s="18">
        <v>0.63428571428571423</v>
      </c>
      <c r="FL9" s="18">
        <v>0.25333333333333335</v>
      </c>
      <c r="FM9" s="18">
        <v>0.42333333333333334</v>
      </c>
      <c r="FN9" s="18">
        <v>0.96333333333333326</v>
      </c>
      <c r="FO9" s="18">
        <v>0.03</v>
      </c>
      <c r="FP9" s="18">
        <v>0.15666666666666665</v>
      </c>
      <c r="FQ9" s="322">
        <v>2</v>
      </c>
      <c r="FR9" s="5">
        <v>-2</v>
      </c>
      <c r="FS9" s="5">
        <v>10</v>
      </c>
      <c r="FT9" s="5">
        <v>-1.202560635</v>
      </c>
      <c r="FU9" s="18">
        <v>2</v>
      </c>
      <c r="FV9" s="18">
        <v>7</v>
      </c>
      <c r="FW9" s="18">
        <v>22</v>
      </c>
      <c r="FX9" s="18">
        <v>-4</v>
      </c>
      <c r="FY9" s="18">
        <v>8</v>
      </c>
      <c r="FZ9" s="18">
        <v>2</v>
      </c>
      <c r="GA9" s="18">
        <v>37</v>
      </c>
      <c r="GC9" s="5">
        <v>106</v>
      </c>
      <c r="GD9" s="5">
        <v>118</v>
      </c>
      <c r="GE9" s="5">
        <v>101</v>
      </c>
      <c r="GF9" s="5">
        <v>78</v>
      </c>
      <c r="GG9" s="5">
        <v>109</v>
      </c>
      <c r="GH9" s="144">
        <v>0</v>
      </c>
      <c r="GI9" s="68">
        <v>62.848500000000001</v>
      </c>
      <c r="GJ9" s="5">
        <v>49.441699999999997</v>
      </c>
      <c r="GK9" s="5">
        <f t="shared" si="25"/>
        <v>13.406800000000004</v>
      </c>
      <c r="GL9" s="5">
        <f t="shared" si="26"/>
        <v>1.2711638151600775</v>
      </c>
      <c r="GM9" s="80">
        <f t="shared" si="27"/>
        <v>0.10420152178587605</v>
      </c>
      <c r="GN9" s="68">
        <v>58.258499999999998</v>
      </c>
      <c r="GO9" s="5">
        <v>50.772100000000002</v>
      </c>
      <c r="GP9" s="5">
        <f t="shared" si="28"/>
        <v>7.4863999999999962</v>
      </c>
      <c r="GQ9" s="80">
        <f t="shared" si="29"/>
        <v>1.1474510607203561</v>
      </c>
      <c r="GR9" s="68">
        <v>62.5655</v>
      </c>
      <c r="GS9" s="5">
        <v>52.158200000000001</v>
      </c>
      <c r="GT9" s="5">
        <f t="shared" si="30"/>
        <v>10.407299999999999</v>
      </c>
      <c r="GU9" s="80">
        <f t="shared" si="31"/>
        <v>1.1995333427917374</v>
      </c>
      <c r="GV9" s="68">
        <v>30.526700000000002</v>
      </c>
      <c r="GW9" s="5">
        <v>35.608600000000003</v>
      </c>
      <c r="GX9" s="5">
        <f t="shared" si="32"/>
        <v>-5.081900000000001</v>
      </c>
      <c r="GY9" s="80">
        <f t="shared" si="33"/>
        <v>0.85728447622203618</v>
      </c>
      <c r="GZ9" s="68">
        <v>65.219800000000006</v>
      </c>
      <c r="HA9" s="5">
        <v>41.837899999999998</v>
      </c>
      <c r="HB9" s="5">
        <f t="shared" si="34"/>
        <v>23.381900000000009</v>
      </c>
      <c r="HC9" s="80">
        <f t="shared" si="35"/>
        <v>1.5588688724816497</v>
      </c>
      <c r="HD9" s="68">
        <v>50.633000000000003</v>
      </c>
      <c r="HE9" s="5">
        <v>43.856400000000001</v>
      </c>
      <c r="HF9" s="5">
        <f t="shared" si="36"/>
        <v>6.776600000000002</v>
      </c>
      <c r="HG9" s="80">
        <f t="shared" si="37"/>
        <v>1.154517926688009</v>
      </c>
      <c r="HH9" s="68">
        <v>50.200600000000001</v>
      </c>
      <c r="HI9" s="5">
        <v>52.476700000000001</v>
      </c>
      <c r="HJ9" s="5">
        <f t="shared" si="38"/>
        <v>-2.2760999999999996</v>
      </c>
      <c r="HK9" s="80">
        <f t="shared" si="39"/>
        <v>0.95662646469766588</v>
      </c>
      <c r="HL9" s="68">
        <v>52.735999999999997</v>
      </c>
      <c r="HM9" s="5">
        <v>54.232300000000002</v>
      </c>
      <c r="HN9" s="5">
        <f t="shared" si="40"/>
        <v>-1.4963000000000051</v>
      </c>
      <c r="HO9" s="80">
        <f t="shared" si="41"/>
        <v>0.97240943127988289</v>
      </c>
      <c r="HP9" s="68">
        <v>44.004399999999997</v>
      </c>
      <c r="HQ9" s="5">
        <v>45.985300000000002</v>
      </c>
      <c r="HR9" s="5">
        <f t="shared" si="42"/>
        <v>-1.9809000000000054</v>
      </c>
      <c r="HS9" s="80">
        <f t="shared" si="43"/>
        <v>0.95692319067180154</v>
      </c>
      <c r="HT9" s="68">
        <v>42.220500000000001</v>
      </c>
      <c r="HU9" s="5">
        <v>43.197200000000002</v>
      </c>
      <c r="HV9" s="5">
        <f t="shared" si="44"/>
        <v>-0.97670000000000101</v>
      </c>
      <c r="HW9" s="80">
        <f t="shared" si="45"/>
        <v>0.97738973822377373</v>
      </c>
      <c r="HX9" s="68">
        <v>52.311799999999998</v>
      </c>
      <c r="HY9" s="5">
        <v>51.56</v>
      </c>
      <c r="HZ9" s="5">
        <f t="shared" si="46"/>
        <v>0.7517999999999958</v>
      </c>
      <c r="IA9" s="80">
        <f t="shared" si="47"/>
        <v>1.0145810705973621</v>
      </c>
      <c r="IB9" s="68">
        <v>66.355199999999996</v>
      </c>
      <c r="IC9" s="5">
        <v>65.227999999999994</v>
      </c>
      <c r="ID9" s="5">
        <f t="shared" si="48"/>
        <v>1.127200000000002</v>
      </c>
      <c r="IE9" s="5">
        <f t="shared" si="49"/>
        <v>1.0172809223033055</v>
      </c>
      <c r="IF9" s="68">
        <v>44.939300000000003</v>
      </c>
      <c r="IG9" s="5">
        <v>42.237000000000002</v>
      </c>
      <c r="IH9" s="5">
        <f t="shared" si="50"/>
        <v>2.702300000000001</v>
      </c>
      <c r="II9" s="80">
        <f t="shared" si="51"/>
        <v>1.0639794492980088</v>
      </c>
      <c r="IJ9" s="68">
        <v>48.941699999999997</v>
      </c>
      <c r="IK9" s="5">
        <v>47.719700000000003</v>
      </c>
      <c r="IL9" s="5">
        <f t="shared" si="52"/>
        <v>1.2219999999999942</v>
      </c>
      <c r="IM9" s="80">
        <f t="shared" si="53"/>
        <v>1.0256078726396016</v>
      </c>
      <c r="IN9" s="68">
        <v>56.542200000000001</v>
      </c>
      <c r="IO9" s="5">
        <v>55.5045</v>
      </c>
      <c r="IP9" s="5">
        <f t="shared" si="54"/>
        <v>1.037700000000001</v>
      </c>
      <c r="IQ9" s="5">
        <f t="shared" si="55"/>
        <v>1.0186957814231279</v>
      </c>
      <c r="IR9" s="80">
        <f t="shared" si="56"/>
        <v>0.19280958513577795</v>
      </c>
      <c r="JT9" s="67" t="s">
        <v>530</v>
      </c>
      <c r="JU9" s="343">
        <v>4.4499999999999998E-2</v>
      </c>
      <c r="JV9" s="343">
        <v>5.2699999999999997E-2</v>
      </c>
      <c r="JW9" s="347">
        <f t="shared" si="65"/>
        <v>4.8599999999999997E-2</v>
      </c>
      <c r="JX9" s="344">
        <v>6.6600000000000006E-2</v>
      </c>
      <c r="JY9" s="344">
        <v>4.8000000000000001E-2</v>
      </c>
      <c r="JZ9" s="348">
        <f t="shared" si="66"/>
        <v>5.7300000000000004E-2</v>
      </c>
      <c r="KA9" s="347">
        <f t="shared" si="67"/>
        <v>8.7000000000000063E-3</v>
      </c>
      <c r="KB9" s="347">
        <f t="shared" si="68"/>
        <v>1.1790123456790125</v>
      </c>
      <c r="KC9" s="354">
        <f t="shared" ref="KC9:KC17" si="78">KB9+3.878</f>
        <v>5.0570123456790128</v>
      </c>
      <c r="KD9" s="18">
        <f t="shared" si="69"/>
        <v>0.70389401387650852</v>
      </c>
      <c r="KE9" s="18">
        <v>0.70389401387650852</v>
      </c>
      <c r="KF9" s="340">
        <v>11</v>
      </c>
      <c r="KG9" s="18">
        <v>0.16200000000000001</v>
      </c>
      <c r="KH9" s="18">
        <v>0.10666666666666667</v>
      </c>
      <c r="KI9" s="18">
        <v>0.11333333333333333</v>
      </c>
      <c r="KJ9" s="18">
        <v>7.0000000000000007E-2</v>
      </c>
      <c r="KK9" s="18">
        <v>0.67333333333333334</v>
      </c>
      <c r="KL9" s="18">
        <v>0.63428571428571423</v>
      </c>
      <c r="KM9" s="18">
        <v>0.25333333333333335</v>
      </c>
      <c r="KN9" s="18">
        <v>0.42333333333333334</v>
      </c>
      <c r="KO9" s="18">
        <v>0.96333333333333326</v>
      </c>
      <c r="KP9" s="18">
        <v>0.03</v>
      </c>
      <c r="KQ9" s="18">
        <v>0.15666666666666665</v>
      </c>
      <c r="KR9" s="358" t="s">
        <v>632</v>
      </c>
      <c r="KS9" s="358">
        <v>11</v>
      </c>
      <c r="KT9" s="358">
        <v>0.5</v>
      </c>
      <c r="KU9" s="358">
        <v>0.5</v>
      </c>
      <c r="KV9" s="358">
        <v>12</v>
      </c>
      <c r="KW9" s="358">
        <v>0</v>
      </c>
      <c r="KX9" s="358">
        <v>1</v>
      </c>
      <c r="KY9" s="144">
        <v>0</v>
      </c>
      <c r="KZ9" s="158" t="s">
        <v>530</v>
      </c>
      <c r="LA9" s="68">
        <v>0.44719999999999999</v>
      </c>
      <c r="LB9" s="5">
        <v>0.45229999999999998</v>
      </c>
      <c r="LC9" s="5">
        <f t="shared" si="70"/>
        <v>0.44974999999999998</v>
      </c>
      <c r="LD9" s="5">
        <v>0.54579999999999995</v>
      </c>
      <c r="LE9" s="5">
        <v>0.55259999999999998</v>
      </c>
      <c r="LF9" s="80">
        <f t="shared" si="71"/>
        <v>0.54919999999999991</v>
      </c>
      <c r="LG9" s="77">
        <f t="shared" si="72"/>
        <v>-9.9449999999999927E-2</v>
      </c>
      <c r="LH9" s="68">
        <v>7.5542999999999996</v>
      </c>
      <c r="LI9" s="5">
        <v>7.7354000000000003</v>
      </c>
      <c r="LJ9" s="5">
        <f t="shared" si="73"/>
        <v>7.6448499999999999</v>
      </c>
      <c r="LK9" s="5">
        <v>15.8299</v>
      </c>
      <c r="LL9" s="5">
        <v>18.400400000000001</v>
      </c>
      <c r="LM9" s="80">
        <f t="shared" si="74"/>
        <v>17.11515</v>
      </c>
      <c r="LN9" s="77">
        <f t="shared" si="75"/>
        <v>-9.4702999999999999</v>
      </c>
      <c r="LO9" s="68">
        <v>1.0713999999999999</v>
      </c>
      <c r="LP9" s="5">
        <v>1.0674999999999999</v>
      </c>
      <c r="LQ9" s="5">
        <f t="shared" si="61"/>
        <v>1.0694499999999998</v>
      </c>
      <c r="LR9" s="5">
        <v>0.94159999999999999</v>
      </c>
      <c r="LS9" s="5">
        <v>0.93300000000000005</v>
      </c>
      <c r="LT9" s="80">
        <f t="shared" si="62"/>
        <v>0.93730000000000002</v>
      </c>
      <c r="LU9" s="77">
        <f t="shared" si="76"/>
        <v>0.13214999999999977</v>
      </c>
      <c r="LV9" s="68">
        <v>0.1981</v>
      </c>
      <c r="LW9" s="5">
        <v>0.2102</v>
      </c>
      <c r="LX9" s="5">
        <f t="shared" si="63"/>
        <v>0.20415</v>
      </c>
      <c r="LY9" s="5">
        <v>0.44500000000000001</v>
      </c>
      <c r="LZ9" s="5">
        <v>0.44319999999999998</v>
      </c>
      <c r="MA9" s="80">
        <f t="shared" si="64"/>
        <v>0.44409999999999999</v>
      </c>
      <c r="MB9" s="77">
        <f t="shared" si="77"/>
        <v>-0.23995</v>
      </c>
      <c r="MD9" s="5">
        <v>-4.2447475609999996</v>
      </c>
      <c r="ME9" s="5">
        <v>2.6252675110000001</v>
      </c>
      <c r="MF9" s="5">
        <v>1.9097551779999999</v>
      </c>
      <c r="MG9" s="5">
        <v>1.8739730699999999</v>
      </c>
      <c r="MH9" s="292">
        <v>2.0675218860000002</v>
      </c>
      <c r="MI9" s="18">
        <v>-1.202560635</v>
      </c>
      <c r="MJ9" s="18">
        <v>4.7713950589999996</v>
      </c>
      <c r="MK9" s="18">
        <v>4.3606291920000002</v>
      </c>
      <c r="ML9" s="18">
        <v>4.5919304299999997</v>
      </c>
      <c r="MM9" s="18">
        <v>1.0856230659999999</v>
      </c>
      <c r="MN9" s="18">
        <v>-1.202560635</v>
      </c>
      <c r="MP9" s="296">
        <v>10</v>
      </c>
      <c r="MQ9" s="18">
        <v>0.35920000000000002</v>
      </c>
      <c r="MR9" s="18">
        <v>7.1800000000000003E-2</v>
      </c>
      <c r="MS9" s="18">
        <v>0.72409999999999997</v>
      </c>
      <c r="MT9" s="18">
        <v>0.43070000000000003</v>
      </c>
      <c r="MU9" s="18">
        <v>0.41660000000000003</v>
      </c>
      <c r="MV9" s="18">
        <v>0.35020000000000001</v>
      </c>
      <c r="MW9" s="18">
        <v>0.25779999999999997</v>
      </c>
      <c r="MX9" s="18">
        <v>0.34229999999999999</v>
      </c>
      <c r="MY9" s="18">
        <v>-0.40300000000000002</v>
      </c>
    </row>
    <row r="10" spans="1:363" ht="16.5" customHeight="1" x14ac:dyDescent="0.2">
      <c r="A10" s="3" t="s">
        <v>10</v>
      </c>
      <c r="B10" s="5">
        <v>0</v>
      </c>
      <c r="C10" s="5">
        <v>8</v>
      </c>
      <c r="D10" s="5">
        <v>28</v>
      </c>
      <c r="E10" s="5">
        <v>75</v>
      </c>
      <c r="F10" s="5">
        <v>49</v>
      </c>
      <c r="G10" s="18">
        <v>52</v>
      </c>
      <c r="H10" s="24">
        <v>145</v>
      </c>
      <c r="I10" s="5">
        <v>18</v>
      </c>
      <c r="J10" s="5">
        <v>124</v>
      </c>
      <c r="K10" s="5">
        <v>123</v>
      </c>
      <c r="L10" s="5">
        <v>108</v>
      </c>
      <c r="M10" s="5">
        <v>82</v>
      </c>
      <c r="N10" s="5">
        <v>135</v>
      </c>
      <c r="O10" s="5">
        <v>0.5</v>
      </c>
      <c r="P10" s="5">
        <v>-1</v>
      </c>
      <c r="Q10" s="5">
        <v>2</v>
      </c>
      <c r="R10" s="5">
        <v>1</v>
      </c>
      <c r="S10" s="5">
        <v>9</v>
      </c>
      <c r="T10" s="18">
        <v>9</v>
      </c>
      <c r="U10" s="5">
        <v>-1</v>
      </c>
      <c r="V10" s="5">
        <v>4</v>
      </c>
      <c r="W10" s="5">
        <v>0</v>
      </c>
      <c r="X10" s="5">
        <v>-1</v>
      </c>
      <c r="Y10" s="5">
        <v>1</v>
      </c>
      <c r="Z10" s="92">
        <v>-2.6179147368421002E-2</v>
      </c>
      <c r="AA10" s="88">
        <v>8.5</v>
      </c>
      <c r="AB10" s="68">
        <v>100</v>
      </c>
      <c r="AC10" s="5">
        <v>87</v>
      </c>
      <c r="AD10" s="5">
        <v>115</v>
      </c>
      <c r="AE10" s="80">
        <v>101</v>
      </c>
      <c r="AF10" s="179">
        <v>11</v>
      </c>
      <c r="AG10" s="154">
        <v>15</v>
      </c>
      <c r="AH10" s="154">
        <v>11</v>
      </c>
      <c r="AI10" s="154">
        <v>12</v>
      </c>
      <c r="AJ10" s="68">
        <v>111</v>
      </c>
      <c r="AK10" s="5">
        <v>102</v>
      </c>
      <c r="AL10" s="5">
        <v>126</v>
      </c>
      <c r="AM10" s="80">
        <v>113</v>
      </c>
      <c r="AN10" s="68">
        <v>100</v>
      </c>
      <c r="AO10" s="5">
        <v>87</v>
      </c>
      <c r="AP10" s="5">
        <v>115</v>
      </c>
      <c r="AQ10" s="80">
        <v>101</v>
      </c>
      <c r="AR10" s="68">
        <v>111</v>
      </c>
      <c r="AS10" s="5">
        <v>102</v>
      </c>
      <c r="AT10" s="5">
        <v>126</v>
      </c>
      <c r="AU10" s="80">
        <v>113</v>
      </c>
      <c r="AV10" s="179">
        <f t="shared" si="0"/>
        <v>11</v>
      </c>
      <c r="AW10" s="154">
        <f t="shared" si="1"/>
        <v>15</v>
      </c>
      <c r="AX10" s="154">
        <f t="shared" si="2"/>
        <v>11</v>
      </c>
      <c r="AY10" s="185">
        <f t="shared" si="3"/>
        <v>12</v>
      </c>
      <c r="AZ10" s="9">
        <v>1.1499999999999999</v>
      </c>
      <c r="BA10" s="77">
        <v>1.4864864864864824E-2</v>
      </c>
      <c r="BB10" s="18">
        <v>0.87</v>
      </c>
      <c r="BC10" s="77">
        <v>-4.8918918918918974E-2</v>
      </c>
      <c r="BD10" s="154">
        <v>0.28999999165500001</v>
      </c>
      <c r="BE10" s="144">
        <v>0.10000000149</v>
      </c>
      <c r="BF10" s="5">
        <v>2</v>
      </c>
      <c r="BG10" s="5">
        <v>-1</v>
      </c>
      <c r="BK10" s="18" t="s">
        <v>10</v>
      </c>
      <c r="BL10" s="18">
        <v>-5</v>
      </c>
      <c r="BM10" s="221">
        <v>-10</v>
      </c>
      <c r="BN10" s="21">
        <v>-8</v>
      </c>
      <c r="BO10" s="18">
        <v>-8</v>
      </c>
      <c r="BP10" s="18">
        <v>-26</v>
      </c>
      <c r="BQ10" s="138"/>
      <c r="BR10" s="138"/>
      <c r="BS10" s="138"/>
      <c r="BT10" s="138"/>
      <c r="BU10" s="138"/>
      <c r="BV10" s="222"/>
      <c r="BW10" s="18">
        <v>0.47999998927100002</v>
      </c>
      <c r="BX10" s="18">
        <v>0.109999999404</v>
      </c>
      <c r="BY10" s="18">
        <f t="shared" si="5"/>
        <v>0.369999989867</v>
      </c>
      <c r="BZ10" s="3">
        <v>8.7999998400000001E-2</v>
      </c>
      <c r="CA10" s="18">
        <v>0.16999999933333335</v>
      </c>
      <c r="CB10" s="18">
        <v>0.19333333266666666</v>
      </c>
      <c r="CC10" s="18">
        <v>5.0000000999999995E-2</v>
      </c>
      <c r="CD10" s="18">
        <v>0</v>
      </c>
      <c r="CE10" s="18">
        <v>0.11000000057142857</v>
      </c>
      <c r="CF10" s="18">
        <v>2.4999999666666672E-2</v>
      </c>
      <c r="CG10" s="18">
        <v>0.1766666733333333</v>
      </c>
      <c r="CH10" s="18">
        <v>0.56000000233333325</v>
      </c>
      <c r="CI10" s="18">
        <v>5.9999999333333331E-2</v>
      </c>
      <c r="CJ10" s="18">
        <v>4.3333333666666668E-2</v>
      </c>
      <c r="CK10" s="285" t="s">
        <v>531</v>
      </c>
      <c r="CL10" s="18">
        <v>1.03214019</v>
      </c>
      <c r="CM10" s="18">
        <v>-0.80597653049999995</v>
      </c>
      <c r="CN10" s="18">
        <v>-0.17369222500000001</v>
      </c>
      <c r="CO10" s="18">
        <v>-2.4710641420000001E-3</v>
      </c>
      <c r="CP10" s="18">
        <v>-0.42972363419999998</v>
      </c>
      <c r="CQ10" s="18">
        <v>-0.68886163560000002</v>
      </c>
      <c r="CR10" s="18">
        <v>-0.21420504679999999</v>
      </c>
      <c r="CS10" s="18">
        <v>-0.57120965339999996</v>
      </c>
      <c r="CT10" s="18">
        <v>-0.51399470059999997</v>
      </c>
      <c r="CY10" s="18">
        <v>0.3107015501</v>
      </c>
      <c r="CZ10" s="285" t="s">
        <v>531</v>
      </c>
      <c r="DA10" s="68">
        <v>15.19973283</v>
      </c>
      <c r="DB10" s="5">
        <v>15.39336215</v>
      </c>
      <c r="DC10" s="5">
        <v>14.24500184</v>
      </c>
      <c r="DD10" s="80">
        <f t="shared" si="6"/>
        <v>14.722367335000001</v>
      </c>
      <c r="DE10" s="68">
        <v>9.5187383039999993</v>
      </c>
      <c r="DF10" s="5">
        <v>8.6606581499999997</v>
      </c>
      <c r="DG10" s="5">
        <v>8.7751716399999999</v>
      </c>
      <c r="DH10" s="80">
        <f t="shared" si="7"/>
        <v>9.1469549719999996</v>
      </c>
      <c r="DI10" s="151">
        <f t="shared" si="8"/>
        <v>-5.680994526000001</v>
      </c>
      <c r="DJ10" s="24">
        <f t="shared" si="9"/>
        <v>-6.732704</v>
      </c>
      <c r="DK10" s="294">
        <f t="shared" si="10"/>
        <v>-5.4698302000000005</v>
      </c>
      <c r="DL10" s="244">
        <f t="shared" si="11"/>
        <v>-5.5754123630000016</v>
      </c>
      <c r="DM10" s="295" t="s">
        <v>531</v>
      </c>
      <c r="DN10" s="68">
        <v>4.7950903079999998</v>
      </c>
      <c r="DO10" s="5">
        <v>5.8539388929999996</v>
      </c>
      <c r="DP10" s="5">
        <v>5.3245884830000003</v>
      </c>
      <c r="DQ10" s="3">
        <f t="shared" si="12"/>
        <v>5.0598393955000001</v>
      </c>
      <c r="DR10" s="68">
        <v>3.922202972</v>
      </c>
      <c r="DS10" s="5">
        <v>4.8116416150000001</v>
      </c>
      <c r="DT10" s="5">
        <v>4.2326210809999996</v>
      </c>
      <c r="DU10" s="3">
        <f t="shared" si="13"/>
        <v>4.0774120264999993</v>
      </c>
      <c r="DV10" s="24">
        <f t="shared" si="14"/>
        <v>-0.87288733599999979</v>
      </c>
      <c r="DW10" s="24">
        <f t="shared" si="15"/>
        <v>-1.0422972779999995</v>
      </c>
      <c r="DX10" s="24">
        <f t="shared" si="16"/>
        <v>-1.0919674020000008</v>
      </c>
      <c r="DY10" s="188">
        <f t="shared" si="17"/>
        <v>-0.98242736900000072</v>
      </c>
      <c r="DZ10" s="295" t="s">
        <v>531</v>
      </c>
      <c r="EA10" s="18">
        <v>18.190954219999998</v>
      </c>
      <c r="EB10" s="18">
        <v>11.709819489999999</v>
      </c>
      <c r="EC10" s="18">
        <v>13.89472219</v>
      </c>
      <c r="ED10" s="3">
        <f t="shared" si="18"/>
        <v>16.042838204999999</v>
      </c>
      <c r="EE10" s="18">
        <v>4.3374135530000002</v>
      </c>
      <c r="EF10" s="18">
        <v>5.6419672380000003</v>
      </c>
      <c r="EG10" s="18">
        <v>4.022873658</v>
      </c>
      <c r="EH10" s="3">
        <f t="shared" si="19"/>
        <v>4.1801436054999996</v>
      </c>
      <c r="EI10" s="24">
        <f t="shared" si="20"/>
        <v>-13.853540666999997</v>
      </c>
      <c r="EJ10" s="24">
        <f t="shared" si="21"/>
        <v>-6.0678522519999989</v>
      </c>
      <c r="EK10" s="24">
        <f t="shared" si="22"/>
        <v>-9.8718485319999996</v>
      </c>
      <c r="EL10" s="188">
        <f t="shared" si="23"/>
        <v>-11.862694599499999</v>
      </c>
      <c r="EM10" s="295" t="s">
        <v>531</v>
      </c>
      <c r="EN10" s="195"/>
      <c r="EO10" s="196"/>
      <c r="EP10" s="195"/>
      <c r="EQ10" s="196"/>
      <c r="ER10" s="196"/>
      <c r="ES10" s="18">
        <v>3</v>
      </c>
      <c r="ET10" s="18">
        <v>4</v>
      </c>
      <c r="EU10" s="18">
        <v>9</v>
      </c>
      <c r="EV10" s="18">
        <v>-1</v>
      </c>
      <c r="EW10" s="18">
        <v>0</v>
      </c>
      <c r="EX10" s="18">
        <v>1</v>
      </c>
      <c r="EY10" s="18">
        <v>16</v>
      </c>
      <c r="EZ10" s="5">
        <v>-0.80597653049999995</v>
      </c>
      <c r="FA10" s="18">
        <v>-15.737834870417045</v>
      </c>
      <c r="FB10" s="310">
        <v>11</v>
      </c>
      <c r="FC10" s="5">
        <v>75</v>
      </c>
      <c r="FD10" s="18">
        <v>52</v>
      </c>
      <c r="FE10" s="340">
        <v>8.5</v>
      </c>
      <c r="FF10" s="18">
        <v>8.7999998400000001E-2</v>
      </c>
      <c r="FG10" s="18">
        <v>0.16999999933333335</v>
      </c>
      <c r="FH10" s="18">
        <v>0.18666666600000001</v>
      </c>
      <c r="FI10" s="18">
        <v>5.0000000999999995E-2</v>
      </c>
      <c r="FJ10" s="18">
        <v>0</v>
      </c>
      <c r="FK10" s="18">
        <v>0.11000000057142857</v>
      </c>
      <c r="FL10" s="18">
        <v>2.4999999666666672E-2</v>
      </c>
      <c r="FM10" s="18">
        <v>0.17333333999999997</v>
      </c>
      <c r="FN10" s="18">
        <v>0.56000000233333325</v>
      </c>
      <c r="FO10" s="18">
        <v>5.9999999333333331E-2</v>
      </c>
      <c r="FP10" s="18">
        <v>4.3333333666666668E-2</v>
      </c>
      <c r="FQ10" s="322">
        <v>2</v>
      </c>
      <c r="FR10" s="5">
        <v>-1</v>
      </c>
      <c r="FS10" s="5">
        <v>1</v>
      </c>
      <c r="FT10" s="5">
        <v>-0.80597653049999995</v>
      </c>
      <c r="FU10" s="18">
        <v>3</v>
      </c>
      <c r="FV10" s="18">
        <v>4</v>
      </c>
      <c r="FW10" s="18">
        <v>9</v>
      </c>
      <c r="FX10" s="18">
        <v>-1</v>
      </c>
      <c r="FY10" s="18">
        <v>0</v>
      </c>
      <c r="FZ10" s="18">
        <v>1</v>
      </c>
      <c r="GA10" s="18">
        <v>16</v>
      </c>
      <c r="GC10" s="5">
        <v>124</v>
      </c>
      <c r="GD10" s="5">
        <v>123</v>
      </c>
      <c r="GE10" s="5">
        <v>108</v>
      </c>
      <c r="GF10" s="5">
        <v>82</v>
      </c>
      <c r="GG10" s="5">
        <v>135</v>
      </c>
      <c r="GH10" s="144">
        <v>0.10000000149</v>
      </c>
      <c r="GI10" s="68">
        <v>83.384</v>
      </c>
      <c r="GJ10" s="5">
        <v>86.637500000000003</v>
      </c>
      <c r="GK10" s="5">
        <f t="shared" si="25"/>
        <v>-3.2535000000000025</v>
      </c>
      <c r="GL10" s="5">
        <f t="shared" si="26"/>
        <v>0.96244697734814599</v>
      </c>
      <c r="GM10" s="80">
        <f t="shared" si="27"/>
        <v>-1.6623187096773632E-2</v>
      </c>
      <c r="GN10" s="68">
        <v>75.497299999999996</v>
      </c>
      <c r="GO10" s="5">
        <v>74.965199999999996</v>
      </c>
      <c r="GP10" s="5">
        <f t="shared" si="28"/>
        <v>0.5320999999999998</v>
      </c>
      <c r="GQ10" s="80">
        <f t="shared" si="29"/>
        <v>1.0070979601201624</v>
      </c>
      <c r="GR10" s="68">
        <v>88.269000000000005</v>
      </c>
      <c r="GS10" s="5">
        <v>82.826800000000006</v>
      </c>
      <c r="GT10" s="5">
        <f t="shared" si="30"/>
        <v>5.4421999999999997</v>
      </c>
      <c r="GU10" s="80">
        <f t="shared" si="31"/>
        <v>1.0657057860499259</v>
      </c>
      <c r="GV10" s="68">
        <v>60.139299999999999</v>
      </c>
      <c r="GW10" s="5">
        <v>84.186499999999995</v>
      </c>
      <c r="GX10" s="5">
        <f t="shared" si="32"/>
        <v>-24.047199999999997</v>
      </c>
      <c r="GY10" s="80">
        <f t="shared" si="33"/>
        <v>0.7143580027676647</v>
      </c>
      <c r="GZ10" s="68">
        <v>102.12</v>
      </c>
      <c r="HA10" s="5">
        <v>101.86</v>
      </c>
      <c r="HB10" s="5">
        <f t="shared" si="34"/>
        <v>0.26000000000000512</v>
      </c>
      <c r="HC10" s="80">
        <f t="shared" si="35"/>
        <v>1.0025525230708816</v>
      </c>
      <c r="HD10" s="68">
        <v>55.971499999999999</v>
      </c>
      <c r="HE10" s="5">
        <v>61.247</v>
      </c>
      <c r="HF10" s="5">
        <f t="shared" si="36"/>
        <v>-5.275500000000001</v>
      </c>
      <c r="HG10" s="80">
        <f t="shared" si="37"/>
        <v>0.91386516890623215</v>
      </c>
      <c r="HH10" s="68">
        <v>54.939300000000003</v>
      </c>
      <c r="HI10" s="5">
        <v>65.137699999999995</v>
      </c>
      <c r="HJ10" s="5">
        <f t="shared" si="38"/>
        <v>-10.198399999999992</v>
      </c>
      <c r="HK10" s="80">
        <f t="shared" si="39"/>
        <v>0.84343321916493841</v>
      </c>
      <c r="HL10" s="68">
        <v>50.546999999999997</v>
      </c>
      <c r="HM10" s="5">
        <v>60.912300000000002</v>
      </c>
      <c r="HN10" s="5">
        <f t="shared" si="40"/>
        <v>-10.365300000000005</v>
      </c>
      <c r="HO10" s="80">
        <f t="shared" si="41"/>
        <v>0.8298323983825926</v>
      </c>
      <c r="HP10" s="68">
        <v>43.347099999999998</v>
      </c>
      <c r="HQ10" s="5">
        <v>49.195599999999999</v>
      </c>
      <c r="HR10" s="5">
        <f t="shared" si="42"/>
        <v>-5.8485000000000014</v>
      </c>
      <c r="HS10" s="80">
        <f t="shared" si="43"/>
        <v>0.88111741700477275</v>
      </c>
      <c r="HT10" s="68">
        <v>47.617400000000004</v>
      </c>
      <c r="HU10" s="5">
        <v>41.518000000000001</v>
      </c>
      <c r="HV10" s="5">
        <f t="shared" si="44"/>
        <v>6.0994000000000028</v>
      </c>
      <c r="HW10" s="80">
        <f t="shared" si="45"/>
        <v>1.1469097740738958</v>
      </c>
      <c r="HX10" s="68">
        <v>58.385800000000003</v>
      </c>
      <c r="HY10" s="5">
        <v>66.313699999999997</v>
      </c>
      <c r="HZ10" s="5">
        <f t="shared" si="46"/>
        <v>-7.927899999999994</v>
      </c>
      <c r="IA10" s="80">
        <f t="shared" si="47"/>
        <v>0.88044853476732565</v>
      </c>
      <c r="IB10" s="68">
        <v>71.082999999999998</v>
      </c>
      <c r="IC10" s="5">
        <v>83.578500000000005</v>
      </c>
      <c r="ID10" s="5">
        <f t="shared" si="48"/>
        <v>-12.495500000000007</v>
      </c>
      <c r="IE10" s="5">
        <f t="shared" si="49"/>
        <v>0.85049384710182641</v>
      </c>
      <c r="IF10" s="68">
        <v>51.748800000000003</v>
      </c>
      <c r="IG10" s="5">
        <v>56.300199999999997</v>
      </c>
      <c r="IH10" s="5">
        <f t="shared" si="50"/>
        <v>-4.5513999999999939</v>
      </c>
      <c r="II10" s="80">
        <f t="shared" si="51"/>
        <v>0.91915836888678915</v>
      </c>
      <c r="IJ10" s="68">
        <v>48.759700000000002</v>
      </c>
      <c r="IK10" s="5">
        <v>58.522799999999997</v>
      </c>
      <c r="IL10" s="5">
        <f t="shared" si="52"/>
        <v>-9.7630999999999943</v>
      </c>
      <c r="IM10" s="80">
        <f t="shared" si="53"/>
        <v>0.83317442090945759</v>
      </c>
      <c r="IN10" s="68">
        <v>56.963500000000003</v>
      </c>
      <c r="IO10" s="5">
        <v>66.778499999999994</v>
      </c>
      <c r="IP10" s="5">
        <f t="shared" si="54"/>
        <v>-9.8149999999999906</v>
      </c>
      <c r="IQ10" s="5">
        <f t="shared" si="55"/>
        <v>0.85302155633924104</v>
      </c>
      <c r="IR10" s="80">
        <f t="shared" si="56"/>
        <v>1.1071342920533338E-3</v>
      </c>
      <c r="IV10" s="138"/>
      <c r="IW10" s="138"/>
      <c r="IY10" s="138"/>
      <c r="IZ10" s="138"/>
      <c r="JA10" s="138"/>
      <c r="JB10" s="138"/>
      <c r="JC10" s="138"/>
      <c r="JE10" s="138"/>
      <c r="JF10" s="138"/>
      <c r="JG10" s="138"/>
      <c r="JH10" s="138"/>
      <c r="JI10" s="138"/>
      <c r="JJ10" s="138"/>
      <c r="JK10" s="138"/>
      <c r="JL10" s="138"/>
      <c r="JM10" s="138"/>
      <c r="JN10" s="138"/>
      <c r="JO10" s="138"/>
      <c r="JP10" s="138"/>
      <c r="JQ10" s="138"/>
      <c r="JR10" s="138"/>
      <c r="JS10" s="138"/>
      <c r="JT10" s="68" t="s">
        <v>531</v>
      </c>
      <c r="JU10" s="347">
        <v>1.7399999999999999E-2</v>
      </c>
      <c r="JV10" s="347">
        <v>1.0200000000000001E-2</v>
      </c>
      <c r="JW10" s="347">
        <f t="shared" si="65"/>
        <v>1.38E-2</v>
      </c>
      <c r="JX10" s="348">
        <v>4.2000000000000003E-2</v>
      </c>
      <c r="JY10" s="348">
        <v>2.2100000000000002E-2</v>
      </c>
      <c r="JZ10" s="348">
        <f t="shared" si="66"/>
        <v>3.2050000000000002E-2</v>
      </c>
      <c r="KA10" s="347">
        <f t="shared" si="67"/>
        <v>1.8250000000000002E-2</v>
      </c>
      <c r="KB10" s="347">
        <f t="shared" si="68"/>
        <v>2.3224637681159424</v>
      </c>
      <c r="KC10" s="354">
        <f t="shared" si="78"/>
        <v>6.2004637681159425</v>
      </c>
      <c r="KD10" s="18">
        <f t="shared" si="69"/>
        <v>0.79242417407907229</v>
      </c>
      <c r="KE10" s="18">
        <v>0.79242417407907229</v>
      </c>
      <c r="KF10" s="340">
        <v>8.5</v>
      </c>
      <c r="KG10" s="18">
        <v>8.7999998400000001E-2</v>
      </c>
      <c r="KH10" s="18">
        <v>0.16999999933333335</v>
      </c>
      <c r="KI10" s="18">
        <v>0.18666666600000001</v>
      </c>
      <c r="KJ10" s="18">
        <v>5.0000000999999995E-2</v>
      </c>
      <c r="KK10" s="18">
        <v>0</v>
      </c>
      <c r="KL10" s="18">
        <v>0.11000000057142857</v>
      </c>
      <c r="KM10" s="18">
        <v>2.4999999666666672E-2</v>
      </c>
      <c r="KN10" s="18">
        <v>0.17333333999999997</v>
      </c>
      <c r="KO10" s="18">
        <v>0.56000000233333325</v>
      </c>
      <c r="KP10" s="18">
        <v>5.9999999333333331E-2</v>
      </c>
      <c r="KQ10" s="18">
        <v>4.3333333666666668E-2</v>
      </c>
      <c r="KR10" s="358" t="s">
        <v>633</v>
      </c>
      <c r="KS10" s="358">
        <v>8.5</v>
      </c>
      <c r="KT10" s="358">
        <v>6</v>
      </c>
      <c r="KU10" s="358">
        <v>2.5</v>
      </c>
      <c r="KV10" s="358">
        <v>9.5</v>
      </c>
      <c r="KW10" s="358">
        <v>0.5</v>
      </c>
      <c r="KX10" s="358">
        <v>0</v>
      </c>
      <c r="KY10" s="144">
        <v>0.10000000149</v>
      </c>
      <c r="KZ10" s="158" t="s">
        <v>531</v>
      </c>
      <c r="LA10" s="68">
        <v>0.49099999999999999</v>
      </c>
      <c r="LB10" s="5">
        <v>0.49669999999999997</v>
      </c>
      <c r="LC10" s="5">
        <f t="shared" si="70"/>
        <v>0.49385000000000001</v>
      </c>
      <c r="LD10" s="5">
        <v>0.5554</v>
      </c>
      <c r="LE10" s="5">
        <v>0.55459999999999998</v>
      </c>
      <c r="LF10" s="80">
        <f t="shared" si="71"/>
        <v>0.55499999999999994</v>
      </c>
      <c r="LG10" s="77">
        <f t="shared" si="72"/>
        <v>-6.1149999999999927E-2</v>
      </c>
      <c r="LH10" s="68">
        <v>8.5007999999999999</v>
      </c>
      <c r="LI10" s="5">
        <v>8.4449000000000005</v>
      </c>
      <c r="LJ10" s="5">
        <f t="shared" si="73"/>
        <v>8.4728500000000011</v>
      </c>
      <c r="LK10" s="5">
        <v>16.980899999999998</v>
      </c>
      <c r="LL10" s="5">
        <v>16.044599999999999</v>
      </c>
      <c r="LM10" s="80">
        <f t="shared" si="74"/>
        <v>16.512749999999997</v>
      </c>
      <c r="LN10" s="77">
        <f t="shared" si="75"/>
        <v>-8.0398999999999958</v>
      </c>
      <c r="LO10" s="68">
        <v>1.0485</v>
      </c>
      <c r="LP10" s="5">
        <v>1.0269999999999999</v>
      </c>
      <c r="LQ10" s="5">
        <f t="shared" si="61"/>
        <v>1.03775</v>
      </c>
      <c r="LR10" s="5">
        <v>0.95379999999999998</v>
      </c>
      <c r="LS10" s="5">
        <v>0.94810000000000005</v>
      </c>
      <c r="LT10" s="80">
        <f t="shared" si="62"/>
        <v>0.95094999999999996</v>
      </c>
      <c r="LU10" s="77">
        <f t="shared" si="76"/>
        <v>8.6799999999999988E-2</v>
      </c>
      <c r="LV10" s="68">
        <v>0.31890000000000002</v>
      </c>
      <c r="LW10" s="5">
        <v>0.316</v>
      </c>
      <c r="LX10" s="5">
        <f t="shared" si="63"/>
        <v>0.31745000000000001</v>
      </c>
      <c r="LY10" s="5">
        <v>0.45639999999999997</v>
      </c>
      <c r="LZ10" s="5">
        <v>0.46110000000000001</v>
      </c>
      <c r="MA10" s="80">
        <f t="shared" si="64"/>
        <v>0.45874999999999999</v>
      </c>
      <c r="MB10" s="77">
        <f t="shared" si="77"/>
        <v>-0.14129999999999998</v>
      </c>
      <c r="MD10" s="5">
        <v>0.35526945980000002</v>
      </c>
      <c r="ME10" s="5">
        <v>1.4316235289999999</v>
      </c>
      <c r="MF10" s="5">
        <v>2.9481303080000001</v>
      </c>
      <c r="MG10" s="5">
        <v>2.1556093920000001</v>
      </c>
      <c r="MH10" s="292">
        <v>2.0979807309999998</v>
      </c>
      <c r="MI10" s="18">
        <v>-0.80597653049999995</v>
      </c>
      <c r="MJ10" s="18">
        <v>1.602838309</v>
      </c>
      <c r="MK10" s="18">
        <v>2.859210687</v>
      </c>
      <c r="ML10" s="18">
        <v>2.1517505240000001</v>
      </c>
      <c r="MM10" s="18">
        <v>1.03214019</v>
      </c>
      <c r="MN10" s="18">
        <v>-0.80597653049999995</v>
      </c>
      <c r="MP10" s="285">
        <v>11</v>
      </c>
      <c r="MQ10" s="18">
        <v>0.48859999999999998</v>
      </c>
      <c r="MR10" s="18">
        <v>0.307</v>
      </c>
      <c r="MS10" s="18">
        <v>1.2557</v>
      </c>
      <c r="MT10" s="18">
        <v>-0.31780000000000003</v>
      </c>
      <c r="MU10" s="18">
        <v>4.3099999999999999E-2</v>
      </c>
      <c r="MV10" s="18">
        <v>6.59E-2</v>
      </c>
      <c r="MW10" s="18">
        <v>-0.28570000000000001</v>
      </c>
      <c r="MX10" s="18">
        <v>-5.0900000000000001E-2</v>
      </c>
      <c r="MY10" s="18">
        <v>1.2800000000000001E-2</v>
      </c>
    </row>
    <row r="11" spans="1:363" ht="15.75" customHeight="1" x14ac:dyDescent="0.2">
      <c r="A11" s="3" t="s">
        <v>11</v>
      </c>
      <c r="B11" s="79"/>
      <c r="C11" s="5">
        <v>3</v>
      </c>
      <c r="D11" s="5">
        <v>23</v>
      </c>
      <c r="E11" s="5">
        <v>49</v>
      </c>
      <c r="F11" s="5">
        <v>56</v>
      </c>
      <c r="G11" s="18">
        <v>30</v>
      </c>
      <c r="H11" s="79">
        <v>103</v>
      </c>
      <c r="I11" s="5">
        <v>21</v>
      </c>
      <c r="J11" s="5">
        <v>126</v>
      </c>
      <c r="K11" s="5">
        <v>121</v>
      </c>
      <c r="L11" s="5">
        <v>142</v>
      </c>
      <c r="M11" s="5">
        <v>79</v>
      </c>
      <c r="N11" s="5">
        <v>148</v>
      </c>
      <c r="O11" s="5">
        <v>0</v>
      </c>
      <c r="P11" s="5">
        <v>-2</v>
      </c>
      <c r="Q11" s="5">
        <v>0</v>
      </c>
      <c r="R11" s="5">
        <v>-8</v>
      </c>
      <c r="S11" s="5">
        <v>12</v>
      </c>
      <c r="T11" s="18">
        <v>10</v>
      </c>
      <c r="U11" s="5">
        <v>8</v>
      </c>
      <c r="V11" s="5">
        <v>-14</v>
      </c>
      <c r="W11" s="5">
        <v>4</v>
      </c>
      <c r="X11" s="5">
        <v>-14</v>
      </c>
      <c r="Y11" s="5">
        <v>2</v>
      </c>
      <c r="Z11" s="92">
        <v>-4.0417647368421003E-2</v>
      </c>
      <c r="AA11" s="88">
        <v>4</v>
      </c>
      <c r="AB11" s="68">
        <v>84</v>
      </c>
      <c r="AC11" s="5">
        <v>84</v>
      </c>
      <c r="AD11" s="5">
        <v>88</v>
      </c>
      <c r="AE11" s="80">
        <v>85</v>
      </c>
      <c r="AF11" s="179">
        <v>-5</v>
      </c>
      <c r="AG11" s="154">
        <v>-2</v>
      </c>
      <c r="AH11" s="154">
        <v>7</v>
      </c>
      <c r="AI11" s="154">
        <v>0</v>
      </c>
      <c r="AJ11" s="68">
        <v>79</v>
      </c>
      <c r="AK11" s="5">
        <v>82</v>
      </c>
      <c r="AL11" s="5">
        <v>95</v>
      </c>
      <c r="AM11" s="80">
        <v>85</v>
      </c>
      <c r="AN11" s="68">
        <v>84</v>
      </c>
      <c r="AO11" s="5">
        <v>84</v>
      </c>
      <c r="AP11" s="5">
        <v>88</v>
      </c>
      <c r="AQ11" s="80">
        <v>85</v>
      </c>
      <c r="AR11" s="68">
        <v>79</v>
      </c>
      <c r="AS11" s="5">
        <v>82</v>
      </c>
      <c r="AT11" s="5">
        <v>95</v>
      </c>
      <c r="AU11" s="80">
        <v>85</v>
      </c>
      <c r="AV11" s="179">
        <f t="shared" si="0"/>
        <v>-5</v>
      </c>
      <c r="AW11" s="154">
        <f t="shared" si="1"/>
        <v>-2</v>
      </c>
      <c r="AX11" s="154">
        <f t="shared" si="2"/>
        <v>7</v>
      </c>
      <c r="AY11" s="185">
        <f t="shared" si="3"/>
        <v>0</v>
      </c>
      <c r="AZ11" s="9">
        <v>1.0476190476190477</v>
      </c>
      <c r="BA11" s="77">
        <v>-0.15491259795057255</v>
      </c>
      <c r="BB11" s="18">
        <v>1</v>
      </c>
      <c r="BC11" s="77">
        <v>-3.7974683544303778E-2</v>
      </c>
      <c r="BD11" s="154">
        <v>0.68</v>
      </c>
      <c r="BE11" s="144">
        <v>0.11</v>
      </c>
      <c r="BF11" s="5">
        <v>0</v>
      </c>
      <c r="BG11" s="5">
        <v>-2</v>
      </c>
      <c r="BK11" s="18" t="s">
        <v>11</v>
      </c>
      <c r="BL11" s="18">
        <v>0</v>
      </c>
      <c r="BM11" s="18">
        <v>0</v>
      </c>
      <c r="BN11" s="18">
        <v>-2</v>
      </c>
      <c r="BO11" s="18">
        <v>0</v>
      </c>
      <c r="BP11" s="18">
        <v>-2</v>
      </c>
      <c r="BQ11" s="138" t="s">
        <v>482</v>
      </c>
      <c r="BR11" s="138">
        <v>-7.34009615125169E-27</v>
      </c>
      <c r="BS11" s="138" t="s">
        <v>483</v>
      </c>
      <c r="BT11" s="138">
        <v>-9.3468631265256302E-27</v>
      </c>
      <c r="BU11" s="138">
        <f>AVERAGE(BR11,BT11)</f>
        <v>-8.3434796388886608E-27</v>
      </c>
      <c r="BW11" s="18">
        <v>0.28000000000000003</v>
      </c>
      <c r="BX11" s="18">
        <v>0.18</v>
      </c>
      <c r="BY11" s="18">
        <f t="shared" si="5"/>
        <v>0.10000000000000003</v>
      </c>
      <c r="BZ11" s="3">
        <v>0.16799999999999998</v>
      </c>
      <c r="CA11" s="18">
        <v>0</v>
      </c>
      <c r="CB11" s="18">
        <v>0</v>
      </c>
      <c r="CC11" s="18">
        <v>1.3333333333333334E-2</v>
      </c>
      <c r="CD11" s="18">
        <v>0</v>
      </c>
      <c r="CE11" s="18">
        <v>9.4285714285714278E-2</v>
      </c>
      <c r="CF11" s="18">
        <v>0</v>
      </c>
      <c r="CG11" s="18">
        <v>0.48</v>
      </c>
      <c r="CH11" s="18">
        <v>1</v>
      </c>
      <c r="CI11" s="18">
        <v>1</v>
      </c>
      <c r="CJ11" s="18">
        <v>0</v>
      </c>
      <c r="CK11" s="285" t="s">
        <v>532</v>
      </c>
      <c r="CL11" s="18">
        <v>1.9248468110000001</v>
      </c>
      <c r="CM11" s="18">
        <v>-1.464961551</v>
      </c>
      <c r="CN11" s="18">
        <v>-0.5096687862</v>
      </c>
      <c r="CO11" s="18">
        <v>-0.61029177369999998</v>
      </c>
      <c r="CP11" s="18">
        <v>-0.39863949970000001</v>
      </c>
      <c r="CQ11" s="18">
        <v>-0.32027882969999999</v>
      </c>
      <c r="CR11" s="18">
        <v>-0.42942973109999999</v>
      </c>
      <c r="CS11" s="18">
        <v>-0.33995394410000002</v>
      </c>
      <c r="CT11" s="18">
        <v>-0.56519255069999996</v>
      </c>
      <c r="CY11" s="18">
        <v>-0.1382037357</v>
      </c>
      <c r="CZ11" s="285" t="s">
        <v>532</v>
      </c>
      <c r="DA11" s="68">
        <v>16.638373130000002</v>
      </c>
      <c r="DB11" s="5">
        <v>16.247323260000002</v>
      </c>
      <c r="DC11" s="5">
        <v>20.983431530000001</v>
      </c>
      <c r="DD11" s="80">
        <f t="shared" si="6"/>
        <v>18.810902330000001</v>
      </c>
      <c r="DE11" s="68">
        <v>10.54526188</v>
      </c>
      <c r="DF11" s="5">
        <v>11.107842229999999</v>
      </c>
      <c r="DG11" s="5">
        <v>10.993757349999999</v>
      </c>
      <c r="DH11" s="80">
        <f t="shared" si="7"/>
        <v>10.769509615</v>
      </c>
      <c r="DI11" s="151">
        <f t="shared" si="8"/>
        <v>-6.0931112500000015</v>
      </c>
      <c r="DJ11" s="298">
        <f t="shared" si="9"/>
        <v>-5.1394810300000024</v>
      </c>
      <c r="DK11" s="294">
        <f t="shared" si="10"/>
        <v>-9.9896741800000015</v>
      </c>
      <c r="DL11" s="244">
        <f t="shared" si="11"/>
        <v>-8.0413927150000006</v>
      </c>
      <c r="DM11" s="295" t="s">
        <v>532</v>
      </c>
      <c r="DN11" s="68">
        <v>6.8954525990000004</v>
      </c>
      <c r="DO11" s="5">
        <v>4.7858671680000002</v>
      </c>
      <c r="DP11" s="5">
        <v>6.94477469</v>
      </c>
      <c r="DQ11" s="3">
        <f t="shared" si="12"/>
        <v>6.9201136445000007</v>
      </c>
      <c r="DR11" s="68">
        <v>2.7998925699999999</v>
      </c>
      <c r="DS11" s="5">
        <v>2.6797561820000002</v>
      </c>
      <c r="DT11" s="5">
        <v>2.964048069</v>
      </c>
      <c r="DU11" s="3">
        <f t="shared" si="13"/>
        <v>2.8819703194999997</v>
      </c>
      <c r="DV11" s="24">
        <f t="shared" si="14"/>
        <v>-4.0955600290000005</v>
      </c>
      <c r="DW11" s="298">
        <f t="shared" si="15"/>
        <v>-2.106110986</v>
      </c>
      <c r="DX11" s="24">
        <f t="shared" si="16"/>
        <v>-3.9807266210000001</v>
      </c>
      <c r="DY11" s="188">
        <f t="shared" si="17"/>
        <v>-4.0381433250000009</v>
      </c>
      <c r="DZ11" s="295" t="s">
        <v>532</v>
      </c>
      <c r="EA11" s="18">
        <v>11.63639622</v>
      </c>
      <c r="EB11" s="18">
        <v>10.41976618</v>
      </c>
      <c r="EC11" s="18">
        <v>11.610182760000001</v>
      </c>
      <c r="ED11" s="3">
        <f t="shared" si="18"/>
        <v>11.623289490000001</v>
      </c>
      <c r="EE11" s="18">
        <v>4.0648692430000004</v>
      </c>
      <c r="EF11" s="18">
        <v>4.0911439679999999</v>
      </c>
      <c r="EG11" s="18">
        <v>3.382114375</v>
      </c>
      <c r="EH11" s="3">
        <f t="shared" si="19"/>
        <v>3.7234918090000004</v>
      </c>
      <c r="EI11" s="24">
        <f t="shared" si="20"/>
        <v>-7.5715269769999995</v>
      </c>
      <c r="EJ11" s="298">
        <f t="shared" si="21"/>
        <v>-6.328622212</v>
      </c>
      <c r="EK11" s="24">
        <f t="shared" si="22"/>
        <v>-8.2280683850000003</v>
      </c>
      <c r="EL11" s="188">
        <f t="shared" si="23"/>
        <v>-7.8997976810000008</v>
      </c>
      <c r="EM11" s="295" t="s">
        <v>532</v>
      </c>
      <c r="EN11" s="151" t="s">
        <v>482</v>
      </c>
      <c r="EO11" s="244">
        <v>39.902176146699702</v>
      </c>
      <c r="EP11" s="151" t="s">
        <v>483</v>
      </c>
      <c r="EQ11" s="244">
        <v>27.929237024576199</v>
      </c>
      <c r="ER11" s="244">
        <f>AVERAGE(EO11,EQ11)</f>
        <v>33.915706585637949</v>
      </c>
      <c r="ES11" s="18">
        <v>-2</v>
      </c>
      <c r="ET11" s="18">
        <v>1</v>
      </c>
      <c r="EU11" s="18">
        <v>4</v>
      </c>
      <c r="EV11" s="18">
        <v>1</v>
      </c>
      <c r="EW11" s="18">
        <v>2</v>
      </c>
      <c r="EX11" s="18">
        <v>0</v>
      </c>
      <c r="EY11" s="18">
        <v>6</v>
      </c>
      <c r="EZ11" s="5">
        <v>-1.464961551</v>
      </c>
      <c r="FA11" s="18">
        <v>-44.743404562670186</v>
      </c>
      <c r="FB11" s="310">
        <v>12</v>
      </c>
      <c r="FC11" s="5">
        <v>49</v>
      </c>
      <c r="FD11" s="18">
        <v>30</v>
      </c>
      <c r="FE11" s="340">
        <v>4</v>
      </c>
      <c r="FF11" s="18">
        <v>0.16799999999999998</v>
      </c>
      <c r="FG11" s="18">
        <v>0</v>
      </c>
      <c r="FH11" s="18">
        <v>0</v>
      </c>
      <c r="FI11" s="18">
        <v>1.3333333333333334E-2</v>
      </c>
      <c r="FJ11" s="18">
        <v>0</v>
      </c>
      <c r="FK11" s="18">
        <v>9.1428571428571415E-2</v>
      </c>
      <c r="FL11" s="18">
        <v>0</v>
      </c>
      <c r="FM11" s="18">
        <v>0.48</v>
      </c>
      <c r="FN11" s="18">
        <v>0.98666666666666669</v>
      </c>
      <c r="FO11" s="18">
        <v>0.97666666666666668</v>
      </c>
      <c r="FP11" s="18">
        <v>0</v>
      </c>
      <c r="FQ11" s="322">
        <v>0</v>
      </c>
      <c r="FR11" s="5">
        <v>8</v>
      </c>
      <c r="FS11" s="5">
        <v>2</v>
      </c>
      <c r="FT11" s="5">
        <v>-1.464961551</v>
      </c>
      <c r="FU11" s="18">
        <v>-2</v>
      </c>
      <c r="FV11" s="18">
        <v>1</v>
      </c>
      <c r="FW11" s="18">
        <v>4</v>
      </c>
      <c r="FX11" s="18">
        <v>1</v>
      </c>
      <c r="FY11" s="18">
        <v>2</v>
      </c>
      <c r="FZ11" s="18">
        <v>0</v>
      </c>
      <c r="GA11" s="18">
        <v>6</v>
      </c>
      <c r="GC11" s="5">
        <v>126</v>
      </c>
      <c r="GD11" s="5">
        <v>121</v>
      </c>
      <c r="GE11" s="5">
        <v>142</v>
      </c>
      <c r="GF11" s="5">
        <v>79</v>
      </c>
      <c r="GG11" s="5">
        <v>148</v>
      </c>
      <c r="GH11" s="144">
        <v>0.11</v>
      </c>
      <c r="GI11" s="68">
        <v>63.950699999999998</v>
      </c>
      <c r="GJ11" s="5">
        <v>58.256</v>
      </c>
      <c r="GK11" s="5">
        <f t="shared" si="25"/>
        <v>5.6946999999999974</v>
      </c>
      <c r="GL11" s="5">
        <f t="shared" si="26"/>
        <v>1.0977530211480362</v>
      </c>
      <c r="GM11" s="80">
        <f t="shared" si="27"/>
        <v>4.050464100859634E-2</v>
      </c>
      <c r="GN11" s="68">
        <v>55.167999999999999</v>
      </c>
      <c r="GO11" s="5">
        <v>47.944099999999999</v>
      </c>
      <c r="GP11" s="5">
        <f t="shared" si="28"/>
        <v>7.2239000000000004</v>
      </c>
      <c r="GQ11" s="80">
        <f t="shared" si="29"/>
        <v>1.1506733883835549</v>
      </c>
      <c r="GR11" s="68">
        <v>60.094299999999997</v>
      </c>
      <c r="GS11" s="5">
        <v>51.881500000000003</v>
      </c>
      <c r="GT11" s="5">
        <f t="shared" si="30"/>
        <v>8.2127999999999943</v>
      </c>
      <c r="GU11" s="80">
        <f t="shared" si="31"/>
        <v>1.158299201063963</v>
      </c>
      <c r="GV11" s="68">
        <v>36.954799999999999</v>
      </c>
      <c r="GW11" s="5">
        <v>46.120800000000003</v>
      </c>
      <c r="GX11" s="5">
        <f t="shared" si="32"/>
        <v>-9.1660000000000039</v>
      </c>
      <c r="GY11" s="80">
        <f t="shared" si="33"/>
        <v>0.80126103623527767</v>
      </c>
      <c r="GZ11" s="68">
        <v>78.503699999999995</v>
      </c>
      <c r="HA11" s="5">
        <v>61.514499999999998</v>
      </c>
      <c r="HB11" s="5">
        <f t="shared" si="34"/>
        <v>16.989199999999997</v>
      </c>
      <c r="HC11" s="80">
        <f t="shared" si="35"/>
        <v>1.2761820383811946</v>
      </c>
      <c r="HD11" s="68">
        <v>50.860399999999998</v>
      </c>
      <c r="HE11" s="5">
        <v>51.941499999999998</v>
      </c>
      <c r="HF11" s="5">
        <f t="shared" si="36"/>
        <v>-1.0810999999999993</v>
      </c>
      <c r="HG11" s="80">
        <f t="shared" si="37"/>
        <v>0.97918619985945732</v>
      </c>
      <c r="HH11" s="68">
        <v>52.973199999999999</v>
      </c>
      <c r="HI11" s="5">
        <v>57.261800000000001</v>
      </c>
      <c r="HJ11" s="5">
        <f t="shared" si="38"/>
        <v>-4.2886000000000024</v>
      </c>
      <c r="HK11" s="80">
        <f t="shared" si="39"/>
        <v>0.92510539312421192</v>
      </c>
      <c r="HL11" s="68">
        <v>53.551699999999997</v>
      </c>
      <c r="HM11" s="5">
        <v>54.403500000000001</v>
      </c>
      <c r="HN11" s="5">
        <f t="shared" si="40"/>
        <v>-0.85180000000000433</v>
      </c>
      <c r="HO11" s="80">
        <f t="shared" si="41"/>
        <v>0.9843429191136599</v>
      </c>
      <c r="HP11" s="68">
        <v>46.323300000000003</v>
      </c>
      <c r="HQ11" s="5">
        <v>49.111499999999999</v>
      </c>
      <c r="HR11" s="5">
        <f t="shared" si="42"/>
        <v>-2.7881999999999962</v>
      </c>
      <c r="HS11" s="80">
        <f t="shared" si="43"/>
        <v>0.94322714639137484</v>
      </c>
      <c r="HT11" s="68">
        <v>47.684100000000001</v>
      </c>
      <c r="HU11" s="5">
        <v>44.785800000000002</v>
      </c>
      <c r="HV11" s="5">
        <f t="shared" si="44"/>
        <v>2.898299999999999</v>
      </c>
      <c r="HW11" s="80">
        <f t="shared" si="45"/>
        <v>1.0647147086799833</v>
      </c>
      <c r="HX11" s="68">
        <v>58.941699999999997</v>
      </c>
      <c r="HY11" s="5">
        <v>60.303800000000003</v>
      </c>
      <c r="HZ11" s="5">
        <f t="shared" si="46"/>
        <v>-1.3621000000000052</v>
      </c>
      <c r="IA11" s="80">
        <f t="shared" si="47"/>
        <v>0.97741270036050787</v>
      </c>
      <c r="IB11" s="68">
        <v>69.585999999999999</v>
      </c>
      <c r="IC11" s="5">
        <v>76.763999999999996</v>
      </c>
      <c r="ID11" s="5">
        <f t="shared" si="48"/>
        <v>-7.1779999999999973</v>
      </c>
      <c r="IE11" s="5">
        <f t="shared" si="49"/>
        <v>0.90649262675212339</v>
      </c>
      <c r="IF11" s="68">
        <v>45.022100000000002</v>
      </c>
      <c r="IG11" s="5">
        <v>45.204700000000003</v>
      </c>
      <c r="IH11" s="5">
        <f t="shared" si="50"/>
        <v>-0.18260000000000076</v>
      </c>
      <c r="II11" s="80">
        <f t="shared" si="51"/>
        <v>0.99596059701756678</v>
      </c>
      <c r="IJ11" s="68">
        <v>51.340400000000002</v>
      </c>
      <c r="IK11" s="5">
        <v>53.494500000000002</v>
      </c>
      <c r="IL11" s="5">
        <f t="shared" si="52"/>
        <v>-2.1540999999999997</v>
      </c>
      <c r="IM11" s="80">
        <f t="shared" si="53"/>
        <v>0.95973230892895534</v>
      </c>
      <c r="IN11" s="68">
        <v>60.508699999999997</v>
      </c>
      <c r="IO11" s="5">
        <v>65.884</v>
      </c>
      <c r="IP11" s="5">
        <f t="shared" si="54"/>
        <v>-5.3753000000000029</v>
      </c>
      <c r="IQ11" s="5">
        <f t="shared" si="55"/>
        <v>0.9184126646833829</v>
      </c>
      <c r="IR11" s="80">
        <f t="shared" si="56"/>
        <v>0.10591262785350319</v>
      </c>
      <c r="IS11" s="18">
        <v>33.915706585637949</v>
      </c>
      <c r="IT11" s="18">
        <f>IS11/100</f>
        <v>0.3391570658563795</v>
      </c>
      <c r="IV11" s="336" t="s">
        <v>600</v>
      </c>
      <c r="IW11" s="18">
        <v>0.45074725458954601</v>
      </c>
      <c r="IX11" s="18">
        <f>1-IW11</f>
        <v>0.54925274541045399</v>
      </c>
      <c r="IY11" s="336" t="s">
        <v>600</v>
      </c>
      <c r="IZ11" s="18">
        <v>0.13695586756907999</v>
      </c>
      <c r="JB11" s="336" t="s">
        <v>600</v>
      </c>
      <c r="JC11" s="18">
        <v>0.41898596648429598</v>
      </c>
      <c r="JD11" s="18">
        <f>1-JC11</f>
        <v>0.58101403351570402</v>
      </c>
      <c r="JE11" s="336" t="s">
        <v>600</v>
      </c>
      <c r="JF11" s="18">
        <v>0.556797753637713</v>
      </c>
      <c r="JI11" s="336" t="s">
        <v>600</v>
      </c>
      <c r="JJ11" s="18">
        <v>0.48387493329701498</v>
      </c>
      <c r="JL11" s="336" t="s">
        <v>600</v>
      </c>
      <c r="JM11" s="18">
        <v>0.15888542134873901</v>
      </c>
      <c r="JO11" s="336" t="s">
        <v>600</v>
      </c>
      <c r="JP11" s="18">
        <v>0.339413542425751</v>
      </c>
      <c r="JR11" s="336" t="s">
        <v>600</v>
      </c>
      <c r="JS11" s="18">
        <v>0.40430423876962901</v>
      </c>
      <c r="JT11" s="68" t="s">
        <v>532</v>
      </c>
      <c r="JU11" s="347">
        <v>3.9600000000000003E-2</v>
      </c>
      <c r="JV11" s="347">
        <v>3.32E-2</v>
      </c>
      <c r="JW11" s="347">
        <f t="shared" si="65"/>
        <v>3.6400000000000002E-2</v>
      </c>
      <c r="JX11" s="348">
        <v>8.0799999999999997E-2</v>
      </c>
      <c r="JY11" s="348">
        <v>5.5199999999999999E-2</v>
      </c>
      <c r="JZ11" s="348">
        <f t="shared" si="66"/>
        <v>6.8000000000000005E-2</v>
      </c>
      <c r="KA11" s="347">
        <f t="shared" si="67"/>
        <v>3.1600000000000003E-2</v>
      </c>
      <c r="KB11" s="347">
        <f t="shared" si="68"/>
        <v>1.8681318681318682</v>
      </c>
      <c r="KC11" s="354">
        <f t="shared" si="78"/>
        <v>5.7461318681318687</v>
      </c>
      <c r="KD11" s="18">
        <f t="shared" si="69"/>
        <v>0.75937558840581787</v>
      </c>
      <c r="KE11" s="18">
        <v>0.75937558840581787</v>
      </c>
      <c r="KF11" s="340">
        <v>4</v>
      </c>
      <c r="KG11" s="18">
        <v>0.16799999999999998</v>
      </c>
      <c r="KH11" s="18">
        <v>0</v>
      </c>
      <c r="KI11" s="18">
        <v>0</v>
      </c>
      <c r="KJ11" s="18">
        <v>1.3333333333333334E-2</v>
      </c>
      <c r="KK11" s="18">
        <v>0</v>
      </c>
      <c r="KL11" s="18">
        <v>9.1428571428571415E-2</v>
      </c>
      <c r="KM11" s="18">
        <v>0</v>
      </c>
      <c r="KN11" s="18">
        <v>0.48</v>
      </c>
      <c r="KO11" s="18">
        <v>0.98666666666666669</v>
      </c>
      <c r="KP11" s="18">
        <v>0.97666666666666668</v>
      </c>
      <c r="KQ11" s="18">
        <v>0</v>
      </c>
      <c r="KR11" s="358" t="s">
        <v>634</v>
      </c>
      <c r="KS11" s="358">
        <v>4</v>
      </c>
      <c r="KT11" s="358">
        <v>4</v>
      </c>
      <c r="KU11" s="358">
        <v>0</v>
      </c>
      <c r="KV11" s="358">
        <v>5</v>
      </c>
      <c r="KW11" s="358">
        <v>6.5</v>
      </c>
      <c r="KX11" s="358">
        <v>0</v>
      </c>
      <c r="KY11" s="144">
        <v>0.11</v>
      </c>
      <c r="KZ11" s="158" t="s">
        <v>532</v>
      </c>
      <c r="LA11" s="68">
        <v>0.47589999999999999</v>
      </c>
      <c r="LB11" s="5">
        <v>0.48330000000000001</v>
      </c>
      <c r="LC11" s="5">
        <f t="shared" si="70"/>
        <v>0.47960000000000003</v>
      </c>
      <c r="LD11" s="5">
        <v>0.55230000000000001</v>
      </c>
      <c r="LE11" s="5">
        <v>0.53269999999999995</v>
      </c>
      <c r="LF11" s="80">
        <f t="shared" si="71"/>
        <v>0.54249999999999998</v>
      </c>
      <c r="LG11" s="77">
        <f t="shared" si="72"/>
        <v>-6.2899999999999956E-2</v>
      </c>
      <c r="LH11" s="68">
        <v>8.9411000000000005</v>
      </c>
      <c r="LI11" s="5">
        <v>9.7805</v>
      </c>
      <c r="LJ11" s="5">
        <f t="shared" si="73"/>
        <v>9.3608000000000011</v>
      </c>
      <c r="LK11" s="5">
        <v>18.723299999999998</v>
      </c>
      <c r="LL11" s="5">
        <v>18.832599999999999</v>
      </c>
      <c r="LM11" s="80">
        <f t="shared" si="74"/>
        <v>18.777949999999997</v>
      </c>
      <c r="LN11" s="77">
        <f t="shared" si="75"/>
        <v>-9.4171499999999959</v>
      </c>
      <c r="LO11" s="68">
        <v>1.0734999999999999</v>
      </c>
      <c r="LP11" s="5">
        <v>1.0567</v>
      </c>
      <c r="LQ11" s="5">
        <f t="shared" si="61"/>
        <v>1.0650999999999999</v>
      </c>
      <c r="LR11" s="5">
        <v>0.94720000000000004</v>
      </c>
      <c r="LS11" s="5">
        <v>0.97750000000000004</v>
      </c>
      <c r="LT11" s="80">
        <f t="shared" si="62"/>
        <v>0.96235000000000004</v>
      </c>
      <c r="LU11" s="77">
        <f t="shared" si="76"/>
        <v>0.1027499999999999</v>
      </c>
      <c r="LV11" s="68">
        <v>0.2437</v>
      </c>
      <c r="LW11" s="5">
        <v>0.27100000000000002</v>
      </c>
      <c r="LX11" s="5">
        <f t="shared" si="63"/>
        <v>0.25735000000000002</v>
      </c>
      <c r="LY11" s="5">
        <v>0.45669999999999999</v>
      </c>
      <c r="LZ11" s="5">
        <v>0.42330000000000001</v>
      </c>
      <c r="MA11" s="80">
        <f t="shared" si="64"/>
        <v>0.44</v>
      </c>
      <c r="MB11" s="77">
        <f t="shared" si="77"/>
        <v>-0.18264999999999998</v>
      </c>
      <c r="MD11" s="5">
        <v>0.29598647630000002</v>
      </c>
      <c r="ME11" s="5">
        <v>2.664299722</v>
      </c>
      <c r="MF11" s="5">
        <v>4.1392239169999998</v>
      </c>
      <c r="MG11" s="5">
        <v>2.5048735259999999</v>
      </c>
      <c r="MH11" s="292">
        <v>2.7994683899999999</v>
      </c>
      <c r="MI11" s="18">
        <v>-1.464961551</v>
      </c>
      <c r="MJ11" s="18">
        <v>0.27721569089999998</v>
      </c>
      <c r="MK11" s="18">
        <v>0.70734676549999997</v>
      </c>
      <c r="ML11" s="18">
        <v>0.4651410265</v>
      </c>
      <c r="MM11" s="18">
        <v>1.9248468110000001</v>
      </c>
      <c r="MN11" s="18">
        <v>-1.464961551</v>
      </c>
      <c r="MP11" s="285">
        <v>12</v>
      </c>
      <c r="MQ11" s="18">
        <v>-3.9100000000000003E-2</v>
      </c>
      <c r="MR11" s="18">
        <v>0.57199999999999995</v>
      </c>
      <c r="MS11" s="18">
        <v>0.91410000000000002</v>
      </c>
      <c r="MT11" s="18">
        <v>0.25890000000000002</v>
      </c>
      <c r="MU11" s="18">
        <v>0.55910000000000004</v>
      </c>
      <c r="MV11" s="18">
        <v>0.64629999999999999</v>
      </c>
      <c r="MW11" s="18">
        <v>0.22189999999999999</v>
      </c>
      <c r="MX11" s="18">
        <v>0.1532</v>
      </c>
      <c r="MY11" s="18">
        <v>-0.65600000000000003</v>
      </c>
    </row>
    <row r="12" spans="1:363" ht="16.5" customHeight="1" x14ac:dyDescent="0.2">
      <c r="A12" s="3" t="s">
        <v>12</v>
      </c>
      <c r="B12" s="5">
        <v>0</v>
      </c>
      <c r="C12" s="5">
        <v>6</v>
      </c>
      <c r="D12" s="5">
        <v>29</v>
      </c>
      <c r="E12" s="5">
        <v>56</v>
      </c>
      <c r="F12" s="5">
        <v>48</v>
      </c>
      <c r="G12" s="18">
        <v>32</v>
      </c>
      <c r="H12" s="24">
        <v>123</v>
      </c>
      <c r="I12" s="5">
        <v>12</v>
      </c>
      <c r="J12" s="5">
        <v>110</v>
      </c>
      <c r="K12" s="5">
        <v>106</v>
      </c>
      <c r="L12" s="5">
        <v>110</v>
      </c>
      <c r="M12" s="5">
        <v>94</v>
      </c>
      <c r="N12" s="5">
        <v>130</v>
      </c>
      <c r="O12" s="5">
        <v>0</v>
      </c>
      <c r="P12" s="5">
        <v>1</v>
      </c>
      <c r="Q12" s="5">
        <v>2</v>
      </c>
      <c r="R12" s="5">
        <v>-4</v>
      </c>
      <c r="S12" s="5">
        <v>17</v>
      </c>
      <c r="T12" s="18">
        <v>5</v>
      </c>
      <c r="U12" s="5">
        <v>4</v>
      </c>
      <c r="V12" s="5">
        <v>4</v>
      </c>
      <c r="W12" s="5">
        <v>0</v>
      </c>
      <c r="X12" s="5">
        <v>-10</v>
      </c>
      <c r="Y12" s="5">
        <v>-1</v>
      </c>
      <c r="Z12" s="92">
        <v>3.2763402631579001E-2</v>
      </c>
      <c r="AA12" s="88">
        <v>13</v>
      </c>
      <c r="AB12" s="68"/>
      <c r="AC12" s="5"/>
      <c r="AD12" s="5"/>
      <c r="AE12" s="80"/>
      <c r="AF12" s="179"/>
      <c r="AG12" s="154"/>
      <c r="AH12" s="154"/>
      <c r="AI12" s="154"/>
      <c r="AJ12" s="68"/>
      <c r="AK12" s="5"/>
      <c r="AL12" s="5"/>
      <c r="AM12" s="80"/>
      <c r="AN12" s="127">
        <v>72</v>
      </c>
      <c r="AO12" s="79">
        <v>69</v>
      </c>
      <c r="AP12" s="79">
        <v>80</v>
      </c>
      <c r="AQ12" s="128">
        <v>74</v>
      </c>
      <c r="AR12" s="127">
        <v>84</v>
      </c>
      <c r="AS12" s="79">
        <v>81</v>
      </c>
      <c r="AT12" s="79">
        <v>89</v>
      </c>
      <c r="AU12" s="128">
        <v>85</v>
      </c>
      <c r="AV12" s="179">
        <f t="shared" si="0"/>
        <v>12</v>
      </c>
      <c r="AW12" s="154">
        <f t="shared" si="1"/>
        <v>12</v>
      </c>
      <c r="AX12" s="154">
        <f t="shared" si="2"/>
        <v>9</v>
      </c>
      <c r="AY12" s="185">
        <f t="shared" si="3"/>
        <v>11</v>
      </c>
      <c r="AZ12" s="9"/>
      <c r="BA12" s="77"/>
      <c r="BC12" s="77"/>
      <c r="BD12" s="154">
        <v>0.17000000178800001</v>
      </c>
      <c r="BE12" s="144">
        <v>0</v>
      </c>
      <c r="BF12" s="5">
        <v>2</v>
      </c>
      <c r="BG12" s="5">
        <v>1</v>
      </c>
      <c r="BK12" s="18" t="s">
        <v>12</v>
      </c>
      <c r="BL12" s="18">
        <v>-7</v>
      </c>
      <c r="BM12" s="221">
        <v>-20</v>
      </c>
      <c r="BN12" s="21">
        <v>-21</v>
      </c>
      <c r="BO12" s="18">
        <v>-15</v>
      </c>
      <c r="BP12" s="18">
        <v>-56</v>
      </c>
      <c r="BQ12" s="138" t="s">
        <v>484</v>
      </c>
      <c r="BR12" s="138">
        <v>-9.0182271931635306E-27</v>
      </c>
      <c r="BS12" s="138" t="s">
        <v>485</v>
      </c>
      <c r="BT12" s="138">
        <v>-8.7769157560261197E-27</v>
      </c>
      <c r="BU12" s="138">
        <f>AVERAGE(BR12,BT12)</f>
        <v>-8.8975714745948245E-27</v>
      </c>
      <c r="BW12" s="18">
        <v>0</v>
      </c>
      <c r="BX12" s="18">
        <v>0.33000001311299998</v>
      </c>
      <c r="BY12" s="18">
        <f t="shared" si="5"/>
        <v>-0.33000001311299998</v>
      </c>
      <c r="BZ12" s="3">
        <v>0.22399999722841998</v>
      </c>
      <c r="CA12" s="18">
        <v>0.34333332690082669</v>
      </c>
      <c r="CB12" s="18">
        <v>0.23666665578900001</v>
      </c>
      <c r="CC12" s="18">
        <v>0.45999999841066669</v>
      </c>
      <c r="CD12" s="18">
        <v>0</v>
      </c>
      <c r="CE12" s="18">
        <v>0.32714286313521146</v>
      </c>
      <c r="CF12" s="18">
        <v>0.26333333024150002</v>
      </c>
      <c r="CG12" s="18">
        <v>0.78666667143500002</v>
      </c>
      <c r="CH12" s="18">
        <v>0.85666666428233329</v>
      </c>
      <c r="CI12" s="18">
        <v>0.91666664679833332</v>
      </c>
      <c r="CJ12" s="18">
        <v>0.26000000039733334</v>
      </c>
      <c r="CK12" s="296" t="s">
        <v>533</v>
      </c>
      <c r="CL12" s="18">
        <v>2.5291545759999998</v>
      </c>
      <c r="CM12" s="18">
        <v>-2.4568252099999999</v>
      </c>
      <c r="CN12" s="18">
        <v>-0.16142878090000001</v>
      </c>
      <c r="CO12" s="18">
        <v>-0.1936849632</v>
      </c>
      <c r="CP12" s="18">
        <v>-0.14744812900000001</v>
      </c>
      <c r="CQ12" s="18">
        <v>-0.12919013200000001</v>
      </c>
      <c r="CR12" s="18">
        <v>-9.5423213189999995E-2</v>
      </c>
      <c r="CS12" s="18">
        <v>1.8204501389999999E-2</v>
      </c>
      <c r="CT12" s="18">
        <v>0.13647798799999999</v>
      </c>
      <c r="CY12" s="18">
        <v>-0.1220478493</v>
      </c>
      <c r="CZ12" s="296" t="s">
        <v>533</v>
      </c>
      <c r="DA12" s="68">
        <v>11.15136846</v>
      </c>
      <c r="DB12" s="5">
        <v>11.704502509999999</v>
      </c>
      <c r="DC12" s="5">
        <v>9.2459522819999993</v>
      </c>
      <c r="DD12" s="80">
        <f t="shared" si="6"/>
        <v>10.198660370999999</v>
      </c>
      <c r="DE12" s="68">
        <v>14.551470180000001</v>
      </c>
      <c r="DF12" s="5">
        <v>11.138767359999999</v>
      </c>
      <c r="DG12" s="5">
        <v>11.34871231</v>
      </c>
      <c r="DH12" s="80">
        <f t="shared" si="7"/>
        <v>12.950091244999999</v>
      </c>
      <c r="DI12" s="151">
        <f t="shared" si="8"/>
        <v>3.4001017200000003</v>
      </c>
      <c r="DJ12" s="24">
        <f t="shared" si="9"/>
        <v>-0.56573515000000008</v>
      </c>
      <c r="DK12" s="294">
        <f t="shared" si="10"/>
        <v>2.1027600280000005</v>
      </c>
      <c r="DL12" s="244">
        <f t="shared" si="11"/>
        <v>2.7514308740000004</v>
      </c>
      <c r="DM12" s="297" t="s">
        <v>533</v>
      </c>
      <c r="DN12" s="68">
        <v>2.3970312109999998</v>
      </c>
      <c r="DO12" s="5">
        <v>2.7319091819999999</v>
      </c>
      <c r="DP12" s="5">
        <v>2.4690295199999999</v>
      </c>
      <c r="DQ12" s="3">
        <f t="shared" si="12"/>
        <v>2.4330303654999996</v>
      </c>
      <c r="DR12" s="68">
        <v>8.6300701390000008</v>
      </c>
      <c r="DS12" s="5">
        <v>8.9645766990000002</v>
      </c>
      <c r="DT12" s="5">
        <v>8.2010395220000003</v>
      </c>
      <c r="DU12" s="3">
        <f t="shared" si="13"/>
        <v>8.4155548304999996</v>
      </c>
      <c r="DV12" s="24">
        <f t="shared" si="14"/>
        <v>6.2330389280000009</v>
      </c>
      <c r="DW12" s="24">
        <f t="shared" si="15"/>
        <v>6.2326675170000003</v>
      </c>
      <c r="DX12" s="24">
        <f t="shared" si="16"/>
        <v>5.7320100020000009</v>
      </c>
      <c r="DY12" s="188">
        <f t="shared" si="17"/>
        <v>5.982524465</v>
      </c>
      <c r="DZ12" s="297" t="s">
        <v>533</v>
      </c>
      <c r="EA12" s="18">
        <v>3.4608413090000001</v>
      </c>
      <c r="EB12" s="18">
        <v>3.8564063709999998</v>
      </c>
      <c r="EC12" s="18">
        <v>4.2031446350000001</v>
      </c>
      <c r="ED12" s="3">
        <f t="shared" si="18"/>
        <v>3.8319929720000001</v>
      </c>
      <c r="EE12" s="18">
        <v>5.7949181449999996</v>
      </c>
      <c r="EF12" s="18">
        <v>4.793611855</v>
      </c>
      <c r="EG12" s="18">
        <v>5.2584251130000004</v>
      </c>
      <c r="EH12" s="3">
        <f t="shared" si="19"/>
        <v>5.526671629</v>
      </c>
      <c r="EI12" s="24">
        <f t="shared" si="20"/>
        <v>2.3340768359999995</v>
      </c>
      <c r="EJ12" s="24">
        <f t="shared" si="21"/>
        <v>0.93720548400000014</v>
      </c>
      <c r="EK12" s="24">
        <f t="shared" si="22"/>
        <v>1.0552804780000002</v>
      </c>
      <c r="EL12" s="188">
        <f t="shared" si="23"/>
        <v>1.6946786569999999</v>
      </c>
      <c r="EM12" s="297" t="s">
        <v>533</v>
      </c>
      <c r="EN12" s="151" t="s">
        <v>484</v>
      </c>
      <c r="EO12" s="244">
        <v>33.449927609530803</v>
      </c>
      <c r="EP12" s="151" t="s">
        <v>485</v>
      </c>
      <c r="EQ12" s="244">
        <v>27.466217800960798</v>
      </c>
      <c r="ER12" s="244">
        <f>AVERAGE(EO12,EQ12)</f>
        <v>30.458072705245801</v>
      </c>
      <c r="ES12" s="18">
        <v>9</v>
      </c>
      <c r="ET12" s="18">
        <v>12</v>
      </c>
      <c r="EU12" s="18">
        <v>14</v>
      </c>
      <c r="EV12" s="18">
        <v>0</v>
      </c>
      <c r="EW12" s="18">
        <v>10</v>
      </c>
      <c r="EX12" s="18">
        <v>8</v>
      </c>
      <c r="EY12" s="18">
        <v>53</v>
      </c>
      <c r="EZ12" s="5">
        <v>-2.4568252099999999</v>
      </c>
      <c r="FA12" s="18">
        <v>-14.171700224610195</v>
      </c>
      <c r="FB12" s="310">
        <v>13</v>
      </c>
      <c r="FC12" s="5">
        <v>56</v>
      </c>
      <c r="FD12" s="18">
        <v>32</v>
      </c>
      <c r="FE12" s="340">
        <v>13</v>
      </c>
      <c r="FF12" s="18">
        <v>0.21599999740722797</v>
      </c>
      <c r="FG12" s="18">
        <v>0.33333332712433333</v>
      </c>
      <c r="FH12" s="18">
        <v>0.23333332253017333</v>
      </c>
      <c r="FI12" s="18">
        <v>0.45666666515184001</v>
      </c>
      <c r="FJ12" s="18">
        <v>0</v>
      </c>
      <c r="FK12" s="18">
        <v>0.20142857836814859</v>
      </c>
      <c r="FL12" s="18">
        <v>0.25666666372384667</v>
      </c>
      <c r="FM12" s="18">
        <v>0.77333333839970664</v>
      </c>
      <c r="FN12" s="18">
        <v>0.84999999776467994</v>
      </c>
      <c r="FO12" s="18">
        <v>0.90666664702183997</v>
      </c>
      <c r="FP12" s="18">
        <v>0.25333333387967999</v>
      </c>
      <c r="FQ12" s="322">
        <v>2</v>
      </c>
      <c r="FR12" s="5">
        <v>4</v>
      </c>
      <c r="FS12" s="5">
        <v>-1</v>
      </c>
      <c r="FT12" s="5">
        <v>-2.4568252099999999</v>
      </c>
      <c r="FU12" s="18">
        <v>9</v>
      </c>
      <c r="FV12" s="18">
        <v>12</v>
      </c>
      <c r="FW12" s="18">
        <v>14</v>
      </c>
      <c r="FX12" s="18">
        <v>0</v>
      </c>
      <c r="FY12" s="18">
        <v>10</v>
      </c>
      <c r="FZ12" s="18">
        <v>8</v>
      </c>
      <c r="GA12" s="18">
        <v>53</v>
      </c>
      <c r="GC12" s="5">
        <v>110</v>
      </c>
      <c r="GD12" s="5">
        <v>106</v>
      </c>
      <c r="GE12" s="5">
        <v>110</v>
      </c>
      <c r="GF12" s="5">
        <v>94</v>
      </c>
      <c r="GG12" s="5">
        <v>130</v>
      </c>
      <c r="GH12" s="144">
        <v>0</v>
      </c>
      <c r="GI12" s="68">
        <v>87.306299999999993</v>
      </c>
      <c r="GJ12" s="5">
        <v>72.881200000000007</v>
      </c>
      <c r="GK12" s="5">
        <f t="shared" si="25"/>
        <v>14.425099999999986</v>
      </c>
      <c r="GL12" s="5">
        <f t="shared" si="26"/>
        <v>1.1979262141677138</v>
      </c>
      <c r="GM12" s="80">
        <f t="shared" si="27"/>
        <v>7.8430068665414798E-2</v>
      </c>
      <c r="GN12" s="68">
        <v>79.683800000000005</v>
      </c>
      <c r="GO12" s="5">
        <v>71.456699999999998</v>
      </c>
      <c r="GP12" s="5">
        <f t="shared" si="28"/>
        <v>8.2271000000000072</v>
      </c>
      <c r="GQ12" s="80">
        <f t="shared" si="29"/>
        <v>1.1151340602070905</v>
      </c>
      <c r="GR12" s="68">
        <v>92.716700000000003</v>
      </c>
      <c r="GS12" s="5">
        <v>76.600800000000007</v>
      </c>
      <c r="GT12" s="5">
        <f t="shared" si="30"/>
        <v>16.115899999999996</v>
      </c>
      <c r="GU12" s="80">
        <f t="shared" si="31"/>
        <v>1.210388142160395</v>
      </c>
      <c r="GV12" s="68">
        <v>18.858499999999999</v>
      </c>
      <c r="GW12" s="5">
        <v>31.942900000000002</v>
      </c>
      <c r="GX12" s="5">
        <f t="shared" si="32"/>
        <v>-13.084400000000002</v>
      </c>
      <c r="GY12" s="80">
        <f t="shared" si="33"/>
        <v>0.59038158714456102</v>
      </c>
      <c r="GZ12" s="68">
        <v>97.450299999999999</v>
      </c>
      <c r="HA12" s="5">
        <v>68.361800000000002</v>
      </c>
      <c r="HB12" s="5">
        <f t="shared" si="34"/>
        <v>29.088499999999996</v>
      </c>
      <c r="HC12" s="80">
        <f t="shared" si="35"/>
        <v>1.4255081054038952</v>
      </c>
      <c r="HD12" s="68">
        <v>60.066000000000003</v>
      </c>
      <c r="HE12" s="5">
        <v>55.732999999999997</v>
      </c>
      <c r="HF12" s="5">
        <f t="shared" si="36"/>
        <v>4.3330000000000055</v>
      </c>
      <c r="HG12" s="80">
        <f t="shared" si="37"/>
        <v>1.077745680297131</v>
      </c>
      <c r="HH12" s="68">
        <v>54.769199999999998</v>
      </c>
      <c r="HI12" s="5">
        <v>54.5505</v>
      </c>
      <c r="HJ12" s="5">
        <f t="shared" si="38"/>
        <v>0.21869999999999834</v>
      </c>
      <c r="HK12" s="80">
        <f t="shared" si="39"/>
        <v>1.0040091291555531</v>
      </c>
      <c r="HL12" s="68">
        <v>54.628700000000002</v>
      </c>
      <c r="HM12" s="5">
        <v>54.026200000000003</v>
      </c>
      <c r="HN12" s="5">
        <f t="shared" si="40"/>
        <v>0.60249999999999915</v>
      </c>
      <c r="HO12" s="80">
        <f t="shared" si="41"/>
        <v>1.0111519966238602</v>
      </c>
      <c r="HP12" s="68">
        <v>44.230800000000002</v>
      </c>
      <c r="HQ12" s="5">
        <v>46.600700000000003</v>
      </c>
      <c r="HR12" s="5">
        <f t="shared" si="42"/>
        <v>-2.3699000000000012</v>
      </c>
      <c r="HS12" s="80">
        <f t="shared" si="43"/>
        <v>0.94914454074724197</v>
      </c>
      <c r="HT12" s="68">
        <v>40.200899999999997</v>
      </c>
      <c r="HU12" s="5">
        <v>40.547600000000003</v>
      </c>
      <c r="HV12" s="5">
        <f t="shared" si="44"/>
        <v>-0.34670000000000556</v>
      </c>
      <c r="HW12" s="80">
        <f t="shared" si="45"/>
        <v>0.99144955558405412</v>
      </c>
      <c r="HX12" s="68">
        <v>55.444000000000003</v>
      </c>
      <c r="HY12" s="5">
        <v>54.529000000000003</v>
      </c>
      <c r="HZ12" s="5">
        <f t="shared" si="46"/>
        <v>0.91499999999999915</v>
      </c>
      <c r="IA12" s="80">
        <f t="shared" si="47"/>
        <v>1.0167800619853655</v>
      </c>
      <c r="IB12" s="68">
        <v>74.649699999999996</v>
      </c>
      <c r="IC12" s="5">
        <v>68.677000000000007</v>
      </c>
      <c r="ID12" s="5">
        <f t="shared" si="48"/>
        <v>5.972699999999989</v>
      </c>
      <c r="IE12" s="5">
        <f t="shared" si="49"/>
        <v>1.0869679805466166</v>
      </c>
      <c r="IF12" s="68">
        <v>53.734299999999998</v>
      </c>
      <c r="IG12" s="5">
        <v>52.527500000000003</v>
      </c>
      <c r="IH12" s="5">
        <f t="shared" si="50"/>
        <v>1.2067999999999941</v>
      </c>
      <c r="II12" s="80">
        <f t="shared" si="51"/>
        <v>1.0229746323354432</v>
      </c>
      <c r="IJ12" s="68">
        <v>48.323700000000002</v>
      </c>
      <c r="IK12" s="5">
        <v>49.0777</v>
      </c>
      <c r="IL12" s="5">
        <f t="shared" si="52"/>
        <v>-0.75399999999999778</v>
      </c>
      <c r="IM12" s="80">
        <f t="shared" si="53"/>
        <v>0.98463660684995435</v>
      </c>
      <c r="IN12" s="68">
        <v>57.869</v>
      </c>
      <c r="IO12" s="5">
        <v>53.752299999999998</v>
      </c>
      <c r="IP12" s="5">
        <f t="shared" si="54"/>
        <v>4.1167000000000016</v>
      </c>
      <c r="IQ12" s="5">
        <f t="shared" si="55"/>
        <v>1.0765864902525102</v>
      </c>
      <c r="IR12" s="80">
        <f t="shared" si="56"/>
        <v>0.15396969104020175</v>
      </c>
      <c r="IS12" s="18">
        <v>30.458072705245801</v>
      </c>
      <c r="IT12" s="18">
        <f>IS12/100</f>
        <v>0.30458072705245803</v>
      </c>
      <c r="IV12" s="336" t="s">
        <v>601</v>
      </c>
      <c r="IW12" s="18">
        <v>0.86475330332808598</v>
      </c>
      <c r="IX12" s="18">
        <f>1-IW12</f>
        <v>0.13524669667191402</v>
      </c>
      <c r="IY12" s="336" t="s">
        <v>601</v>
      </c>
      <c r="IZ12" s="18">
        <v>0.44840550636168702</v>
      </c>
      <c r="JB12" s="336" t="s">
        <v>601</v>
      </c>
      <c r="JC12" s="18">
        <v>0.22169790828017299</v>
      </c>
      <c r="JD12" s="18">
        <f>1-JC12</f>
        <v>0.77830209171982701</v>
      </c>
      <c r="JE12" s="336" t="s">
        <v>601</v>
      </c>
      <c r="JF12" s="18">
        <v>1.0452296563539301</v>
      </c>
      <c r="JI12" s="336" t="s">
        <v>601</v>
      </c>
      <c r="JJ12" s="18">
        <v>1.2112296365055899</v>
      </c>
      <c r="JL12" s="336" t="s">
        <v>601</v>
      </c>
      <c r="JM12" s="18">
        <v>0.67474344867617897</v>
      </c>
      <c r="JO12" s="336" t="s">
        <v>601</v>
      </c>
      <c r="JP12" s="18">
        <v>0.30438071930323501</v>
      </c>
      <c r="JR12" s="336" t="s">
        <v>601</v>
      </c>
      <c r="JS12" s="18">
        <v>1.04861229876158</v>
      </c>
      <c r="JT12" s="68" t="s">
        <v>533</v>
      </c>
      <c r="JU12" s="347">
        <v>7.3000000000000001E-3</v>
      </c>
      <c r="JV12" s="347">
        <v>1.41E-2</v>
      </c>
      <c r="JW12" s="347">
        <f t="shared" si="65"/>
        <v>1.0699999999999999E-2</v>
      </c>
      <c r="JX12" s="348">
        <v>2.46E-2</v>
      </c>
      <c r="JY12" s="348">
        <v>5.4199999999999998E-2</v>
      </c>
      <c r="JZ12" s="348">
        <f t="shared" si="66"/>
        <v>3.9399999999999998E-2</v>
      </c>
      <c r="KA12" s="347">
        <f t="shared" si="67"/>
        <v>2.8699999999999996E-2</v>
      </c>
      <c r="KB12" s="347">
        <f t="shared" si="68"/>
        <v>3.6822429906542054</v>
      </c>
      <c r="KC12" s="354">
        <f t="shared" si="78"/>
        <v>7.5602429906542055</v>
      </c>
      <c r="KD12" s="18">
        <f t="shared" si="69"/>
        <v>0.87853575420548791</v>
      </c>
      <c r="KE12" s="18">
        <v>0.87853575420548791</v>
      </c>
      <c r="KF12" s="340">
        <v>13</v>
      </c>
      <c r="KG12" s="18">
        <v>0.21599999740722797</v>
      </c>
      <c r="KH12" s="18">
        <v>0.33333332712433333</v>
      </c>
      <c r="KI12" s="18">
        <v>0.23333332253017333</v>
      </c>
      <c r="KJ12" s="18">
        <v>0.45666666515184001</v>
      </c>
      <c r="KK12" s="18">
        <v>0</v>
      </c>
      <c r="KL12" s="18">
        <v>0.20142857836814859</v>
      </c>
      <c r="KM12" s="18">
        <v>0.25666666372384667</v>
      </c>
      <c r="KN12" s="18">
        <v>0.77333333839970664</v>
      </c>
      <c r="KO12" s="18">
        <v>0.84999999776467994</v>
      </c>
      <c r="KP12" s="18">
        <v>0.90666664702183997</v>
      </c>
      <c r="KQ12" s="18">
        <v>0.25333333387967999</v>
      </c>
      <c r="KR12" s="358" t="s">
        <v>635</v>
      </c>
      <c r="KS12" s="358">
        <v>13</v>
      </c>
      <c r="KT12" s="358">
        <v>10.5</v>
      </c>
      <c r="KU12" s="358">
        <v>3</v>
      </c>
      <c r="KV12" s="358">
        <v>10</v>
      </c>
      <c r="KW12" s="358">
        <v>0</v>
      </c>
      <c r="KX12" s="358">
        <v>0</v>
      </c>
      <c r="KY12" s="144">
        <v>0</v>
      </c>
      <c r="KZ12" s="158" t="s">
        <v>533</v>
      </c>
      <c r="LA12" s="68">
        <v>0.47949999999999998</v>
      </c>
      <c r="LB12" s="5">
        <v>0.47170000000000001</v>
      </c>
      <c r="LC12" s="5">
        <f t="shared" si="70"/>
        <v>0.47560000000000002</v>
      </c>
      <c r="LD12" s="5">
        <v>0.52729999999999999</v>
      </c>
      <c r="LE12" s="5">
        <v>0.50970000000000004</v>
      </c>
      <c r="LF12" s="80">
        <f t="shared" si="71"/>
        <v>0.51849999999999996</v>
      </c>
      <c r="LG12" s="77">
        <f t="shared" si="72"/>
        <v>-4.2899999999999938E-2</v>
      </c>
      <c r="LH12" s="68">
        <v>9.3074999999999992</v>
      </c>
      <c r="LI12" s="5">
        <v>8.2177000000000007</v>
      </c>
      <c r="LJ12" s="5">
        <f t="shared" si="73"/>
        <v>8.7625999999999991</v>
      </c>
      <c r="LK12" s="5">
        <v>11.643599999999999</v>
      </c>
      <c r="LL12" s="5">
        <v>9.3986000000000001</v>
      </c>
      <c r="LM12" s="80">
        <f t="shared" si="74"/>
        <v>10.521100000000001</v>
      </c>
      <c r="LN12" s="77">
        <f t="shared" si="75"/>
        <v>-1.7585000000000015</v>
      </c>
      <c r="LO12" s="68">
        <v>1.0339</v>
      </c>
      <c r="LP12" s="5">
        <v>1.0162</v>
      </c>
      <c r="LQ12" s="5">
        <f t="shared" si="61"/>
        <v>1.02505</v>
      </c>
      <c r="LR12" s="5">
        <v>0.97299999999999998</v>
      </c>
      <c r="LS12" s="5">
        <v>0.98380000000000001</v>
      </c>
      <c r="LT12" s="80">
        <f t="shared" si="62"/>
        <v>0.97839999999999994</v>
      </c>
      <c r="LU12" s="77">
        <f t="shared" si="76"/>
        <v>4.665000000000008E-2</v>
      </c>
      <c r="LV12" s="68">
        <v>0.27210000000000001</v>
      </c>
      <c r="LW12" s="5">
        <v>0.25869999999999999</v>
      </c>
      <c r="LX12" s="5">
        <f t="shared" si="63"/>
        <v>0.26539999999999997</v>
      </c>
      <c r="LY12" s="5">
        <v>0.39789999999999998</v>
      </c>
      <c r="LZ12" s="5">
        <v>0.33860000000000001</v>
      </c>
      <c r="MA12" s="80">
        <f t="shared" si="64"/>
        <v>0.36824999999999997</v>
      </c>
      <c r="MB12" s="77">
        <f t="shared" si="77"/>
        <v>-0.10285</v>
      </c>
      <c r="MD12" s="5">
        <v>-1.2205032899999999</v>
      </c>
      <c r="ME12" s="5">
        <v>0.2022895408</v>
      </c>
      <c r="MF12" s="5">
        <v>0.68542742150000002</v>
      </c>
      <c r="MG12" s="5">
        <v>0.93827117390000003</v>
      </c>
      <c r="MH12" s="292">
        <v>0.71472542989999999</v>
      </c>
      <c r="MI12" s="18">
        <v>-2.4568252099999999</v>
      </c>
      <c r="MJ12" s="18">
        <v>0.53457400649999998</v>
      </c>
      <c r="MK12" s="18">
        <v>1.817774848</v>
      </c>
      <c r="ML12" s="18">
        <v>1.095207644</v>
      </c>
      <c r="MM12" s="18">
        <v>2.5291545759999998</v>
      </c>
      <c r="MN12" s="18">
        <v>-2.4568252099999999</v>
      </c>
      <c r="MP12" s="296">
        <v>13</v>
      </c>
      <c r="MQ12" s="18">
        <v>0.1051</v>
      </c>
      <c r="MR12" s="18">
        <v>0.42359999999999998</v>
      </c>
      <c r="MS12" s="18">
        <v>0.65839999999999999</v>
      </c>
      <c r="MT12" s="18">
        <v>-0.16120000000000001</v>
      </c>
      <c r="MU12" s="18">
        <v>-0.24759999999999999</v>
      </c>
      <c r="MV12" s="18">
        <v>0.31090000000000001</v>
      </c>
      <c r="MW12" s="18">
        <v>8.3699999999999997E-2</v>
      </c>
      <c r="MX12" s="18">
        <v>-0.3039</v>
      </c>
      <c r="MY12" s="18">
        <v>0.43880000000000002</v>
      </c>
    </row>
    <row r="13" spans="1:363" ht="15.75" customHeight="1" x14ac:dyDescent="0.2">
      <c r="A13" s="3" t="s">
        <v>14</v>
      </c>
      <c r="B13" s="79"/>
      <c r="C13" s="5">
        <v>6</v>
      </c>
      <c r="D13" s="5">
        <v>38</v>
      </c>
      <c r="E13" s="5">
        <v>63</v>
      </c>
      <c r="F13" s="5">
        <v>44</v>
      </c>
      <c r="G13" s="18">
        <v>35</v>
      </c>
      <c r="H13" s="24">
        <v>124</v>
      </c>
      <c r="I13" s="5">
        <v>11</v>
      </c>
      <c r="J13" s="5">
        <v>127</v>
      </c>
      <c r="K13" s="5">
        <v>128</v>
      </c>
      <c r="L13" s="5">
        <v>115</v>
      </c>
      <c r="M13" s="5">
        <v>93</v>
      </c>
      <c r="N13" s="5">
        <v>130</v>
      </c>
      <c r="O13" s="5">
        <v>3.5</v>
      </c>
      <c r="P13" s="5">
        <v>-12</v>
      </c>
      <c r="Q13" s="5">
        <v>4</v>
      </c>
      <c r="R13" s="5">
        <v>2</v>
      </c>
      <c r="S13" s="5">
        <v>17</v>
      </c>
      <c r="T13" s="18">
        <v>8</v>
      </c>
      <c r="U13" s="5">
        <v>-2</v>
      </c>
      <c r="V13" s="5">
        <v>-2</v>
      </c>
      <c r="W13" s="5">
        <v>1</v>
      </c>
      <c r="X13" s="5">
        <v>0</v>
      </c>
      <c r="Y13" s="5">
        <v>12</v>
      </c>
      <c r="Z13" s="92">
        <v>-1.866409736842102E-2</v>
      </c>
      <c r="AA13" s="88">
        <v>10.5</v>
      </c>
      <c r="AB13" s="68">
        <v>84</v>
      </c>
      <c r="AC13" s="5">
        <v>84</v>
      </c>
      <c r="AD13" s="5">
        <v>89</v>
      </c>
      <c r="AE13" s="80">
        <v>86</v>
      </c>
      <c r="AF13" s="179">
        <v>0</v>
      </c>
      <c r="AG13" s="154">
        <v>-2</v>
      </c>
      <c r="AH13" s="154">
        <v>9</v>
      </c>
      <c r="AI13" s="154">
        <v>2</v>
      </c>
      <c r="AJ13" s="68">
        <v>84</v>
      </c>
      <c r="AK13" s="5">
        <v>82</v>
      </c>
      <c r="AL13" s="5">
        <v>98</v>
      </c>
      <c r="AM13" s="80">
        <v>88</v>
      </c>
      <c r="AN13" s="68">
        <v>84</v>
      </c>
      <c r="AO13" s="5">
        <v>84</v>
      </c>
      <c r="AP13" s="5">
        <v>89</v>
      </c>
      <c r="AQ13" s="80">
        <v>86</v>
      </c>
      <c r="AR13" s="68">
        <v>84</v>
      </c>
      <c r="AS13" s="5">
        <v>82</v>
      </c>
      <c r="AT13" s="5">
        <v>98</v>
      </c>
      <c r="AU13" s="80">
        <v>88</v>
      </c>
      <c r="AV13" s="179">
        <f t="shared" si="0"/>
        <v>0</v>
      </c>
      <c r="AW13" s="154">
        <f t="shared" si="1"/>
        <v>-2</v>
      </c>
      <c r="AX13" s="154">
        <f t="shared" si="2"/>
        <v>9</v>
      </c>
      <c r="AY13" s="185">
        <f t="shared" si="3"/>
        <v>2</v>
      </c>
      <c r="AZ13" s="9">
        <v>1.0595238095238095</v>
      </c>
      <c r="BA13" s="77">
        <v>-0.10714285714285721</v>
      </c>
      <c r="BB13" s="18">
        <v>1</v>
      </c>
      <c r="BC13" s="77">
        <v>2.3809523809523836E-2</v>
      </c>
      <c r="BD13" s="154">
        <v>0.69999998807899999</v>
      </c>
      <c r="BE13" s="144">
        <v>0.119999997318</v>
      </c>
      <c r="BF13" s="5">
        <v>4</v>
      </c>
      <c r="BG13" s="5">
        <v>-12</v>
      </c>
      <c r="BK13" s="18" t="s">
        <v>14</v>
      </c>
      <c r="BL13" s="18">
        <v>2</v>
      </c>
      <c r="BM13" s="18">
        <v>-1</v>
      </c>
      <c r="BN13" s="18">
        <v>-1</v>
      </c>
      <c r="BO13" s="18">
        <v>-1</v>
      </c>
      <c r="BP13" s="18">
        <v>-3</v>
      </c>
      <c r="BQ13" s="138"/>
      <c r="BR13" s="138"/>
      <c r="BS13" s="138"/>
      <c r="BT13" s="138"/>
      <c r="BU13" s="138"/>
      <c r="BV13" s="222"/>
      <c r="BW13" s="18">
        <v>0.76999998092699995</v>
      </c>
      <c r="BX13" s="18">
        <v>7.99999982119E-2</v>
      </c>
      <c r="BY13" s="18">
        <f t="shared" si="5"/>
        <v>0.68999998271509999</v>
      </c>
      <c r="BZ13" s="3">
        <v>0.24000000159999998</v>
      </c>
      <c r="CA13" s="18">
        <v>9.6666668999999997E-2</v>
      </c>
      <c r="CB13" s="18">
        <v>0.249999999</v>
      </c>
      <c r="CC13" s="18">
        <v>0.24666666733333331</v>
      </c>
      <c r="CD13" s="18">
        <v>0.50333332999999991</v>
      </c>
      <c r="CE13" s="18">
        <v>0.34571428385714287</v>
      </c>
      <c r="CF13" s="18">
        <v>0.14166666983333334</v>
      </c>
      <c r="CG13" s="18">
        <v>0.45000000299999998</v>
      </c>
      <c r="CH13" s="18">
        <v>0.61333334433333331</v>
      </c>
      <c r="CI13" s="18">
        <v>0.34000000866666663</v>
      </c>
      <c r="CJ13" s="18">
        <v>0.15666666600000001</v>
      </c>
      <c r="CK13" s="285" t="s">
        <v>534</v>
      </c>
      <c r="CL13" s="18">
        <v>1.3882512170000001</v>
      </c>
      <c r="CM13" s="18">
        <v>-1.0380202569999999</v>
      </c>
      <c r="CN13" s="18">
        <v>-0.2362861718</v>
      </c>
      <c r="CO13" s="18">
        <v>2.1932579319999999E-2</v>
      </c>
      <c r="CP13" s="18">
        <v>1.037390843E-2</v>
      </c>
      <c r="CQ13" s="18">
        <v>-0.1017831725</v>
      </c>
      <c r="CR13" s="18">
        <v>-0.27230852290000002</v>
      </c>
      <c r="CS13" s="18">
        <v>-3.9106451440000002E-2</v>
      </c>
      <c r="CT13" s="18">
        <v>-0.23104913360000001</v>
      </c>
      <c r="CY13" s="379">
        <v>-0.16677156870000001</v>
      </c>
      <c r="CZ13" s="285" t="s">
        <v>534</v>
      </c>
      <c r="DA13" s="68">
        <v>18.15889469</v>
      </c>
      <c r="DB13" s="5">
        <v>20.04946356</v>
      </c>
      <c r="DC13" s="5">
        <v>16.55728096</v>
      </c>
      <c r="DD13" s="80">
        <f t="shared" si="6"/>
        <v>17.358087824999998</v>
      </c>
      <c r="DE13" s="68">
        <v>21.83163132</v>
      </c>
      <c r="DF13" s="5">
        <v>22.44596812</v>
      </c>
      <c r="DG13" s="5">
        <v>20.226681660000001</v>
      </c>
      <c r="DH13" s="80">
        <f t="shared" si="7"/>
        <v>21.029156489999998</v>
      </c>
      <c r="DI13" s="151">
        <f t="shared" si="8"/>
        <v>3.6727366299999993</v>
      </c>
      <c r="DJ13" s="298">
        <f t="shared" si="9"/>
        <v>2.3965045600000003</v>
      </c>
      <c r="DK13" s="294">
        <f t="shared" si="10"/>
        <v>3.6694007000000006</v>
      </c>
      <c r="DL13" s="244">
        <f t="shared" si="11"/>
        <v>3.671068665</v>
      </c>
      <c r="DM13" s="295" t="s">
        <v>534</v>
      </c>
      <c r="DN13" s="68">
        <v>3.2649478869999999</v>
      </c>
      <c r="DO13" s="5">
        <v>4.5316817</v>
      </c>
      <c r="DP13" s="5">
        <v>4.168603075</v>
      </c>
      <c r="DQ13" s="3">
        <f t="shared" si="12"/>
        <v>3.716775481</v>
      </c>
      <c r="DR13" s="68">
        <v>8.3921747579999995</v>
      </c>
      <c r="DS13" s="5">
        <v>9.1209061190000007</v>
      </c>
      <c r="DT13" s="5">
        <v>9.9370600759999999</v>
      </c>
      <c r="DU13" s="3">
        <f t="shared" si="13"/>
        <v>9.1646174169999988</v>
      </c>
      <c r="DV13" s="24">
        <f t="shared" si="14"/>
        <v>5.1272268709999995</v>
      </c>
      <c r="DW13" s="298">
        <f t="shared" si="15"/>
        <v>4.5892244190000007</v>
      </c>
      <c r="DX13" s="24">
        <f t="shared" si="16"/>
        <v>5.7684570009999998</v>
      </c>
      <c r="DY13" s="188">
        <f t="shared" si="17"/>
        <v>5.4478419359999988</v>
      </c>
      <c r="DZ13" s="295" t="s">
        <v>534</v>
      </c>
      <c r="EA13" s="18">
        <v>8.8694863270000006</v>
      </c>
      <c r="EB13" s="18">
        <v>9.0768014560000001</v>
      </c>
      <c r="EC13" s="18">
        <v>9.4826658179999992</v>
      </c>
      <c r="ED13" s="3">
        <f t="shared" si="18"/>
        <v>9.176076072499999</v>
      </c>
      <c r="EE13" s="18">
        <v>10.61285166</v>
      </c>
      <c r="EF13" s="18">
        <v>15.0244576</v>
      </c>
      <c r="EG13" s="18">
        <v>11.04089065</v>
      </c>
      <c r="EH13" s="3">
        <f t="shared" si="19"/>
        <v>10.826871154999999</v>
      </c>
      <c r="EI13" s="24">
        <f t="shared" si="20"/>
        <v>1.7433653329999999</v>
      </c>
      <c r="EJ13" s="298">
        <f t="shared" si="21"/>
        <v>5.9476561439999998</v>
      </c>
      <c r="EK13" s="24">
        <f t="shared" si="22"/>
        <v>1.5582248320000005</v>
      </c>
      <c r="EL13" s="188">
        <f t="shared" si="23"/>
        <v>1.6507950825000002</v>
      </c>
      <c r="EM13" s="295" t="s">
        <v>534</v>
      </c>
      <c r="EN13" s="195"/>
      <c r="EO13" s="196"/>
      <c r="EP13" s="195"/>
      <c r="EQ13" s="196"/>
      <c r="ER13" s="196"/>
      <c r="ES13" s="18">
        <v>7</v>
      </c>
      <c r="ET13" s="18">
        <v>6</v>
      </c>
      <c r="EU13" s="18">
        <v>22</v>
      </c>
      <c r="EV13" s="18">
        <v>1</v>
      </c>
      <c r="EW13" s="18">
        <v>3</v>
      </c>
      <c r="EX13" s="18">
        <v>14</v>
      </c>
      <c r="EY13" s="18">
        <v>53</v>
      </c>
      <c r="EZ13" s="5">
        <v>-1.0380202569999999</v>
      </c>
      <c r="FA13" s="18">
        <v>-13.588911120727094</v>
      </c>
      <c r="FB13" s="310">
        <v>15</v>
      </c>
      <c r="FC13" s="5">
        <v>63</v>
      </c>
      <c r="FD13" s="18">
        <v>35</v>
      </c>
      <c r="FE13" s="340">
        <v>10.5</v>
      </c>
      <c r="FF13" s="18">
        <v>0.24000000159999998</v>
      </c>
      <c r="FG13" s="18">
        <v>9.6666668999999997E-2</v>
      </c>
      <c r="FH13" s="18">
        <v>0.249999999</v>
      </c>
      <c r="FI13" s="18">
        <v>0.21666666599999998</v>
      </c>
      <c r="FJ13" s="18">
        <v>0.50333332999999991</v>
      </c>
      <c r="FK13" s="18">
        <v>0.33142856942857146</v>
      </c>
      <c r="FL13" s="18">
        <v>0.11166666866666668</v>
      </c>
      <c r="FM13" s="18">
        <v>0.37333333499999999</v>
      </c>
      <c r="FN13" s="18">
        <v>0.58333334299999995</v>
      </c>
      <c r="FO13" s="18">
        <v>0.34000000866666663</v>
      </c>
      <c r="FP13" s="18">
        <v>0.15666666600000001</v>
      </c>
      <c r="FQ13" s="322">
        <v>4</v>
      </c>
      <c r="FR13" s="5">
        <v>-2</v>
      </c>
      <c r="FS13" s="5">
        <v>12</v>
      </c>
      <c r="FT13" s="5">
        <v>-1.0380202569999999</v>
      </c>
      <c r="FU13" s="18">
        <v>7</v>
      </c>
      <c r="FV13" s="18">
        <v>6</v>
      </c>
      <c r="FW13" s="18">
        <v>22</v>
      </c>
      <c r="FX13" s="18">
        <v>1</v>
      </c>
      <c r="FY13" s="18">
        <v>3</v>
      </c>
      <c r="FZ13" s="18">
        <v>14</v>
      </c>
      <c r="GA13" s="18">
        <v>53</v>
      </c>
      <c r="GC13" s="5">
        <v>127</v>
      </c>
      <c r="GD13" s="5">
        <v>128</v>
      </c>
      <c r="GE13" s="5">
        <v>115</v>
      </c>
      <c r="GF13" s="5">
        <v>93</v>
      </c>
      <c r="GG13" s="5">
        <v>130</v>
      </c>
      <c r="GH13" s="144">
        <v>0.119999997318</v>
      </c>
      <c r="GI13" s="68">
        <v>91.512500000000003</v>
      </c>
      <c r="GJ13" s="5">
        <v>78.600200000000001</v>
      </c>
      <c r="GK13" s="5">
        <f t="shared" si="25"/>
        <v>12.912300000000002</v>
      </c>
      <c r="GL13" s="5">
        <f t="shared" si="26"/>
        <v>1.1642782079434912</v>
      </c>
      <c r="GM13" s="80">
        <f t="shared" si="27"/>
        <v>6.6056768748467165E-2</v>
      </c>
      <c r="GN13" s="68">
        <v>73.028000000000006</v>
      </c>
      <c r="GO13" s="5">
        <v>64.151799999999994</v>
      </c>
      <c r="GP13" s="5">
        <f t="shared" si="28"/>
        <v>8.8762000000000114</v>
      </c>
      <c r="GQ13" s="80">
        <f t="shared" si="29"/>
        <v>1.1383624465720372</v>
      </c>
      <c r="GR13" s="68">
        <v>87.273200000000003</v>
      </c>
      <c r="GS13" s="5">
        <v>65.180000000000007</v>
      </c>
      <c r="GT13" s="5">
        <f t="shared" si="30"/>
        <v>22.093199999999996</v>
      </c>
      <c r="GU13" s="80">
        <f t="shared" si="31"/>
        <v>1.338956735194845</v>
      </c>
      <c r="GV13" s="68">
        <v>26.916</v>
      </c>
      <c r="GW13" s="5">
        <v>58.088299999999997</v>
      </c>
      <c r="GX13" s="5">
        <f t="shared" si="32"/>
        <v>-31.172299999999996</v>
      </c>
      <c r="GY13" s="80">
        <f t="shared" si="33"/>
        <v>0.46336353448112616</v>
      </c>
      <c r="GZ13" s="68">
        <v>122.42700000000001</v>
      </c>
      <c r="HA13" s="5">
        <v>90.058000000000007</v>
      </c>
      <c r="HB13" s="5">
        <f t="shared" si="34"/>
        <v>32.369</v>
      </c>
      <c r="HC13" s="80">
        <f t="shared" si="35"/>
        <v>1.3594239268027271</v>
      </c>
      <c r="HD13" s="68">
        <v>62.807200000000002</v>
      </c>
      <c r="HE13" s="5">
        <v>59.402700000000003</v>
      </c>
      <c r="HF13" s="5">
        <f t="shared" si="36"/>
        <v>3.4044999999999987</v>
      </c>
      <c r="HG13" s="80">
        <f t="shared" si="37"/>
        <v>1.0573122097143732</v>
      </c>
      <c r="HH13" s="68">
        <v>63.833500000000001</v>
      </c>
      <c r="HI13" s="5">
        <v>61.945300000000003</v>
      </c>
      <c r="HJ13" s="5">
        <f t="shared" si="38"/>
        <v>1.8881999999999977</v>
      </c>
      <c r="HK13" s="80">
        <f t="shared" si="39"/>
        <v>1.0304817314630812</v>
      </c>
      <c r="HL13" s="68">
        <v>60.128700000000002</v>
      </c>
      <c r="HM13" s="5">
        <v>57.317999999999998</v>
      </c>
      <c r="HN13" s="5">
        <f t="shared" si="40"/>
        <v>2.8107000000000042</v>
      </c>
      <c r="HO13" s="80">
        <f t="shared" si="41"/>
        <v>1.0490369517429081</v>
      </c>
      <c r="HP13" s="68">
        <v>49.909500000000001</v>
      </c>
      <c r="HQ13" s="5">
        <v>52.951300000000003</v>
      </c>
      <c r="HR13" s="5">
        <f t="shared" si="42"/>
        <v>-3.0418000000000021</v>
      </c>
      <c r="HS13" s="80">
        <f t="shared" si="43"/>
        <v>0.94255476258373261</v>
      </c>
      <c r="HT13" s="68">
        <v>51.003599999999999</v>
      </c>
      <c r="HU13" s="5">
        <v>48.471899999999998</v>
      </c>
      <c r="HV13" s="5">
        <f t="shared" si="44"/>
        <v>2.5317000000000007</v>
      </c>
      <c r="HW13" s="80">
        <f t="shared" si="45"/>
        <v>1.0522302612441434</v>
      </c>
      <c r="HX13" s="68">
        <v>67.900000000000006</v>
      </c>
      <c r="HY13" s="5">
        <v>64.647499999999994</v>
      </c>
      <c r="HZ13" s="5">
        <f t="shared" si="46"/>
        <v>3.2525000000000119</v>
      </c>
      <c r="IA13" s="80">
        <f t="shared" si="47"/>
        <v>1.0503113036080283</v>
      </c>
      <c r="IB13" s="68">
        <v>93.947699999999998</v>
      </c>
      <c r="IC13" s="5">
        <v>84.956999999999994</v>
      </c>
      <c r="ID13" s="5">
        <f t="shared" si="48"/>
        <v>8.9907000000000039</v>
      </c>
      <c r="IE13" s="5">
        <f t="shared" si="49"/>
        <v>1.1058264769236201</v>
      </c>
      <c r="IF13" s="68">
        <v>53.287500000000001</v>
      </c>
      <c r="IG13" s="5">
        <v>50.970300000000002</v>
      </c>
      <c r="IH13" s="5">
        <f t="shared" si="50"/>
        <v>2.3171999999999997</v>
      </c>
      <c r="II13" s="80">
        <f t="shared" si="51"/>
        <v>1.0454617689124843</v>
      </c>
      <c r="IJ13" s="68">
        <v>61.4895</v>
      </c>
      <c r="IK13" s="5">
        <v>61.401499999999999</v>
      </c>
      <c r="IL13" s="5">
        <f t="shared" si="52"/>
        <v>8.8000000000000966E-2</v>
      </c>
      <c r="IM13" s="80">
        <f t="shared" si="53"/>
        <v>1.0014331897429216</v>
      </c>
      <c r="IN13" s="68">
        <v>70.879499999999993</v>
      </c>
      <c r="IO13" s="5">
        <v>70.402500000000003</v>
      </c>
      <c r="IP13" s="5">
        <f t="shared" si="54"/>
        <v>0.47699999999998965</v>
      </c>
      <c r="IQ13" s="5">
        <f t="shared" si="55"/>
        <v>1.0067753275806965</v>
      </c>
      <c r="IR13" s="80">
        <f t="shared" si="56"/>
        <v>0.13335490953721138</v>
      </c>
      <c r="IV13" s="138"/>
      <c r="IW13" s="138"/>
      <c r="IY13" s="138"/>
      <c r="IZ13" s="138"/>
      <c r="JA13" s="138"/>
      <c r="JB13" s="138"/>
      <c r="JC13" s="138"/>
      <c r="JE13" s="138"/>
      <c r="JF13" s="138"/>
      <c r="JG13" s="138"/>
      <c r="JH13" s="138"/>
      <c r="JI13" s="138"/>
      <c r="JJ13" s="138"/>
      <c r="JK13" s="138"/>
      <c r="JL13" s="138"/>
      <c r="JM13" s="138"/>
      <c r="JN13" s="138"/>
      <c r="JO13" s="138"/>
      <c r="JP13" s="138"/>
      <c r="JQ13" s="138"/>
      <c r="JR13" s="138"/>
      <c r="JS13" s="138"/>
      <c r="JT13" s="68" t="s">
        <v>534</v>
      </c>
      <c r="JU13" s="347">
        <v>-1E-4</v>
      </c>
      <c r="JV13" s="347">
        <v>2.9100000000000001E-2</v>
      </c>
      <c r="JW13" s="347">
        <f t="shared" si="65"/>
        <v>1.4500000000000001E-2</v>
      </c>
      <c r="JX13" s="348">
        <v>6.4000000000000001E-2</v>
      </c>
      <c r="JY13" s="348">
        <v>8.1000000000000003E-2</v>
      </c>
      <c r="JZ13" s="348">
        <f t="shared" si="66"/>
        <v>7.2500000000000009E-2</v>
      </c>
      <c r="KA13" s="347">
        <f t="shared" si="67"/>
        <v>5.800000000000001E-2</v>
      </c>
      <c r="KB13" s="347">
        <f t="shared" si="68"/>
        <v>5</v>
      </c>
      <c r="KC13" s="354">
        <f t="shared" si="78"/>
        <v>8.8780000000000001</v>
      </c>
      <c r="KD13" s="18">
        <f t="shared" si="69"/>
        <v>0.94831514068934786</v>
      </c>
      <c r="KE13" s="18">
        <v>0.94831514068934786</v>
      </c>
      <c r="KF13" s="340">
        <v>10.5</v>
      </c>
      <c r="KG13" s="18">
        <v>0.24000000159999998</v>
      </c>
      <c r="KH13" s="18">
        <v>9.6666668999999997E-2</v>
      </c>
      <c r="KI13" s="18">
        <v>0.249999999</v>
      </c>
      <c r="KJ13" s="18">
        <v>0.21666666599999998</v>
      </c>
      <c r="KK13" s="18">
        <v>0.50333332999999991</v>
      </c>
      <c r="KL13" s="18">
        <v>0.33142856942857146</v>
      </c>
      <c r="KM13" s="18">
        <v>0.11166666866666668</v>
      </c>
      <c r="KN13" s="18">
        <v>0.37333333499999999</v>
      </c>
      <c r="KO13" s="18">
        <v>0.58333334299999995</v>
      </c>
      <c r="KP13" s="18">
        <v>0.34000000866666663</v>
      </c>
      <c r="KQ13" s="18">
        <v>0.15666666600000001</v>
      </c>
      <c r="KR13" s="358" t="s">
        <v>637</v>
      </c>
      <c r="KS13" s="358">
        <v>10.5</v>
      </c>
      <c r="KT13" s="358">
        <v>9</v>
      </c>
      <c r="KU13" s="358">
        <v>10</v>
      </c>
      <c r="KV13" s="358">
        <v>9.5</v>
      </c>
      <c r="KW13" s="358">
        <v>12</v>
      </c>
      <c r="KX13" s="358">
        <v>3</v>
      </c>
      <c r="KY13" s="144">
        <v>0.119999997318</v>
      </c>
      <c r="KZ13" s="158" t="s">
        <v>534</v>
      </c>
      <c r="LA13" s="68">
        <v>0.52880000000000005</v>
      </c>
      <c r="LB13" s="5">
        <v>0.54600000000000004</v>
      </c>
      <c r="LC13" s="5">
        <f t="shared" si="70"/>
        <v>0.5374000000000001</v>
      </c>
      <c r="LD13" s="5">
        <v>0.54620000000000002</v>
      </c>
      <c r="LE13" s="5">
        <v>0.53459999999999996</v>
      </c>
      <c r="LF13" s="80">
        <f t="shared" si="71"/>
        <v>0.54039999999999999</v>
      </c>
      <c r="LG13" s="77">
        <f t="shared" si="72"/>
        <v>-2.9999999999998916E-3</v>
      </c>
      <c r="LH13" s="68">
        <v>13.6952</v>
      </c>
      <c r="LI13" s="5">
        <v>13.450799999999999</v>
      </c>
      <c r="LJ13" s="5">
        <f t="shared" si="73"/>
        <v>13.573</v>
      </c>
      <c r="LK13" s="5">
        <v>17.220600000000001</v>
      </c>
      <c r="LL13" s="5">
        <v>16.691299999999998</v>
      </c>
      <c r="LM13" s="80">
        <f t="shared" si="74"/>
        <v>16.955950000000001</v>
      </c>
      <c r="LN13" s="77">
        <f t="shared" si="75"/>
        <v>-3.382950000000001</v>
      </c>
      <c r="LO13" s="68">
        <v>1.0125</v>
      </c>
      <c r="LP13" s="5">
        <v>0.99139999999999995</v>
      </c>
      <c r="LQ13" s="5">
        <f t="shared" si="61"/>
        <v>1.0019499999999999</v>
      </c>
      <c r="LR13" s="5">
        <v>0.97160000000000002</v>
      </c>
      <c r="LS13" s="5">
        <v>0.99270000000000003</v>
      </c>
      <c r="LT13" s="80">
        <f t="shared" si="62"/>
        <v>0.98215000000000008</v>
      </c>
      <c r="LU13" s="77">
        <f t="shared" si="76"/>
        <v>1.9799999999999818E-2</v>
      </c>
      <c r="LV13" s="68">
        <v>0.36449999999999999</v>
      </c>
      <c r="LW13" s="5">
        <v>0.43309999999999998</v>
      </c>
      <c r="LX13" s="5">
        <f t="shared" si="63"/>
        <v>0.39879999999999999</v>
      </c>
      <c r="LY13" s="5">
        <v>0.40760000000000002</v>
      </c>
      <c r="LZ13" s="5">
        <v>0.4143</v>
      </c>
      <c r="MA13" s="80">
        <f t="shared" si="64"/>
        <v>0.41095000000000004</v>
      </c>
      <c r="MB13" s="77">
        <f t="shared" si="77"/>
        <v>-1.215000000000005E-2</v>
      </c>
      <c r="MD13" s="5">
        <v>-0.64642609920000005</v>
      </c>
      <c r="ME13" s="5">
        <v>2.5420213949999999</v>
      </c>
      <c r="MF13" s="5">
        <v>2.280006722</v>
      </c>
      <c r="MG13" s="5">
        <v>2.3561155650000001</v>
      </c>
      <c r="MH13" s="292">
        <v>2.3907675720000001</v>
      </c>
      <c r="MI13" s="18">
        <v>-1.0380202569999999</v>
      </c>
      <c r="MJ13" s="18">
        <v>2.1420394580000002</v>
      </c>
      <c r="MK13" s="18">
        <v>1.534072337</v>
      </c>
      <c r="ML13" s="18">
        <v>1.8764171119999999</v>
      </c>
      <c r="MM13" s="18">
        <v>1.3882512170000001</v>
      </c>
      <c r="MN13" s="18">
        <v>-1.0380202569999999</v>
      </c>
      <c r="MP13" s="285">
        <v>15</v>
      </c>
      <c r="MQ13" s="18">
        <v>0.62909999999999999</v>
      </c>
      <c r="MR13" s="18">
        <v>-4.1700000000000001E-2</v>
      </c>
      <c r="MS13" s="18">
        <v>-0.37790000000000001</v>
      </c>
      <c r="MT13" s="18">
        <v>0.19070000000000001</v>
      </c>
      <c r="MU13" s="18">
        <v>0.21690000000000001</v>
      </c>
      <c r="MV13" s="18">
        <v>0.1326</v>
      </c>
      <c r="MW13" s="18">
        <v>0.58989999999999998</v>
      </c>
      <c r="MX13" s="18">
        <v>0.34029999999999999</v>
      </c>
      <c r="MY13" s="18">
        <v>-0.80700000000000005</v>
      </c>
    </row>
    <row r="14" spans="1:363" ht="14.25" customHeight="1" x14ac:dyDescent="0.2">
      <c r="A14" s="3" t="s">
        <v>16</v>
      </c>
      <c r="B14" s="5">
        <v>1</v>
      </c>
      <c r="C14" s="5">
        <v>1</v>
      </c>
      <c r="D14" s="5">
        <v>27</v>
      </c>
      <c r="E14" s="5">
        <v>89</v>
      </c>
      <c r="F14" s="5">
        <v>48</v>
      </c>
      <c r="G14" s="18">
        <v>31</v>
      </c>
      <c r="H14" s="24">
        <v>86</v>
      </c>
      <c r="I14" s="5">
        <v>19</v>
      </c>
      <c r="J14" s="5">
        <v>120</v>
      </c>
      <c r="K14" s="5">
        <v>121</v>
      </c>
      <c r="L14" s="5">
        <v>125</v>
      </c>
      <c r="M14" s="5">
        <v>58</v>
      </c>
      <c r="N14" s="5">
        <v>152</v>
      </c>
      <c r="O14" s="5">
        <v>20</v>
      </c>
      <c r="P14" s="5">
        <v>0</v>
      </c>
      <c r="Q14" s="5">
        <v>4</v>
      </c>
      <c r="R14" s="5">
        <v>0</v>
      </c>
      <c r="S14" s="5">
        <v>5</v>
      </c>
      <c r="T14" s="18">
        <v>8</v>
      </c>
      <c r="U14" s="5">
        <v>0</v>
      </c>
      <c r="V14" s="5">
        <v>-1</v>
      </c>
      <c r="W14" s="5">
        <v>0</v>
      </c>
      <c r="X14" s="5">
        <v>0</v>
      </c>
      <c r="Y14" s="5">
        <v>0</v>
      </c>
      <c r="Z14" s="92">
        <v>6.6691526315789855E-3</v>
      </c>
      <c r="AA14" s="88">
        <v>18.5</v>
      </c>
      <c r="AB14" s="68"/>
      <c r="AC14" s="5"/>
      <c r="AD14" s="5"/>
      <c r="AE14" s="80"/>
      <c r="AF14" s="179"/>
      <c r="AG14" s="154"/>
      <c r="AH14" s="154"/>
      <c r="AI14" s="154"/>
      <c r="AJ14" s="68"/>
      <c r="AK14" s="5"/>
      <c r="AL14" s="5"/>
      <c r="AM14" s="80"/>
      <c r="AN14" s="127">
        <v>77</v>
      </c>
      <c r="AO14" s="79">
        <v>74</v>
      </c>
      <c r="AP14" s="79">
        <v>90</v>
      </c>
      <c r="AQ14" s="128">
        <v>80</v>
      </c>
      <c r="AR14" s="127">
        <v>85</v>
      </c>
      <c r="AS14" s="79">
        <v>84</v>
      </c>
      <c r="AT14" s="79">
        <v>93</v>
      </c>
      <c r="AU14" s="128">
        <v>87</v>
      </c>
      <c r="AV14" s="179">
        <f t="shared" si="0"/>
        <v>8</v>
      </c>
      <c r="AW14" s="154">
        <f t="shared" si="1"/>
        <v>10</v>
      </c>
      <c r="AX14" s="154">
        <f t="shared" si="2"/>
        <v>3</v>
      </c>
      <c r="AY14" s="185">
        <f t="shared" si="3"/>
        <v>7</v>
      </c>
      <c r="AZ14" s="9"/>
      <c r="BA14" s="77"/>
      <c r="BC14" s="77"/>
      <c r="BD14" s="154">
        <v>1</v>
      </c>
      <c r="BE14" s="144">
        <v>1</v>
      </c>
      <c r="BF14" s="5">
        <v>4</v>
      </c>
      <c r="BG14" s="5">
        <v>0</v>
      </c>
      <c r="BK14" s="18" t="s">
        <v>16</v>
      </c>
      <c r="BL14" s="18">
        <v>-1</v>
      </c>
      <c r="BM14" s="18">
        <v>-1</v>
      </c>
      <c r="BN14" s="18">
        <v>-1</v>
      </c>
      <c r="BO14" s="18">
        <v>-2</v>
      </c>
      <c r="BP14" s="18">
        <v>-4</v>
      </c>
      <c r="BQ14" s="138"/>
      <c r="BR14" s="138"/>
      <c r="BS14" s="138"/>
      <c r="BT14" s="138"/>
      <c r="BU14" s="138"/>
      <c r="BV14" s="222"/>
      <c r="BW14" s="18">
        <v>0.49000000953700001</v>
      </c>
      <c r="BX14" s="18">
        <v>1.9999999553000001E-2</v>
      </c>
      <c r="BY14" s="18">
        <f t="shared" si="5"/>
        <v>0.47000000998399999</v>
      </c>
      <c r="BZ14" s="3">
        <v>0.76000000219999997</v>
      </c>
      <c r="CA14" s="18">
        <v>0.75666667033333335</v>
      </c>
      <c r="CB14" s="18">
        <v>1</v>
      </c>
      <c r="CC14" s="18">
        <v>0.58666665833333331</v>
      </c>
      <c r="CD14" s="18">
        <v>0.43666666633333334</v>
      </c>
      <c r="CE14" s="18">
        <v>0.20428571428571426</v>
      </c>
      <c r="CF14" s="18">
        <v>1.9999999666666667E-2</v>
      </c>
      <c r="CG14" s="18">
        <v>0.81333333266666674</v>
      </c>
      <c r="CH14" s="18">
        <v>1</v>
      </c>
      <c r="CI14" s="18">
        <v>0.82000000266666662</v>
      </c>
      <c r="CJ14" s="18">
        <v>0.65999999133333331</v>
      </c>
      <c r="CK14" s="296" t="s">
        <v>535</v>
      </c>
      <c r="CL14" s="18">
        <v>1.9359505480000001</v>
      </c>
      <c r="CM14" s="18">
        <v>-2.7068470590000002</v>
      </c>
      <c r="CN14" s="18">
        <v>-0.67649976499999998</v>
      </c>
      <c r="CO14" s="18">
        <v>-1.5287844950000001E-2</v>
      </c>
      <c r="CP14" s="18">
        <v>-0.34223544379999998</v>
      </c>
      <c r="CQ14" s="18">
        <v>-0.63179311019999995</v>
      </c>
      <c r="CR14" s="18">
        <v>-0.42971111299999998</v>
      </c>
      <c r="CS14" s="18">
        <v>-0.1475830165</v>
      </c>
      <c r="CT14" s="18">
        <v>-0.67822281240000004</v>
      </c>
      <c r="CY14" s="9"/>
      <c r="CZ14" s="296" t="s">
        <v>535</v>
      </c>
      <c r="DA14" s="68">
        <v>28.825896620000002</v>
      </c>
      <c r="DB14" s="5">
        <v>24.80795148</v>
      </c>
      <c r="DC14" s="5">
        <v>26.206632389999999</v>
      </c>
      <c r="DD14" s="80">
        <f t="shared" si="6"/>
        <v>27.516264505000002</v>
      </c>
      <c r="DE14" s="68">
        <v>22.982507680000001</v>
      </c>
      <c r="DF14" s="5">
        <v>27.009913099999999</v>
      </c>
      <c r="DG14" s="5">
        <v>22.240975649999999</v>
      </c>
      <c r="DH14" s="80">
        <f t="shared" si="7"/>
        <v>22.611741665</v>
      </c>
      <c r="DI14" s="151">
        <f t="shared" si="8"/>
        <v>-5.8433889400000005</v>
      </c>
      <c r="DJ14" s="24">
        <f t="shared" si="9"/>
        <v>2.2019616199999987</v>
      </c>
      <c r="DK14" s="294">
        <f t="shared" si="10"/>
        <v>-3.96565674</v>
      </c>
      <c r="DL14" s="244">
        <f t="shared" si="11"/>
        <v>-4.904522840000002</v>
      </c>
      <c r="DM14" s="297" t="s">
        <v>535</v>
      </c>
      <c r="DN14" s="68">
        <v>4.9414054350000001</v>
      </c>
      <c r="DO14" s="5">
        <v>4.3662860950000004</v>
      </c>
      <c r="DP14" s="5">
        <v>5.6494851019999999</v>
      </c>
      <c r="DQ14" s="3">
        <f t="shared" si="12"/>
        <v>5.2954452685</v>
      </c>
      <c r="DR14" s="68">
        <v>6.356784534</v>
      </c>
      <c r="DS14" s="5">
        <v>6.0814861410000001</v>
      </c>
      <c r="DT14" s="5">
        <v>5.8412807229999997</v>
      </c>
      <c r="DU14" s="3">
        <f t="shared" si="13"/>
        <v>6.0990326284999998</v>
      </c>
      <c r="DV14" s="24">
        <f t="shared" si="14"/>
        <v>1.4153790989999999</v>
      </c>
      <c r="DW14" s="24">
        <f t="shared" si="15"/>
        <v>1.7152000459999996</v>
      </c>
      <c r="DX14" s="24">
        <f t="shared" si="16"/>
        <v>0.19179562099999981</v>
      </c>
      <c r="DY14" s="188">
        <f t="shared" si="17"/>
        <v>0.80358735999999986</v>
      </c>
      <c r="DZ14" s="297" t="s">
        <v>535</v>
      </c>
      <c r="EA14" s="18">
        <v>35.417729459999997</v>
      </c>
      <c r="EB14" s="18">
        <v>13.14274438</v>
      </c>
      <c r="EC14" s="18">
        <v>16.174543289999999</v>
      </c>
      <c r="ED14" s="3">
        <f t="shared" si="18"/>
        <v>25.796136374999996</v>
      </c>
      <c r="EE14" s="18">
        <v>10.71398954</v>
      </c>
      <c r="EF14" s="18">
        <v>14.38832161</v>
      </c>
      <c r="EG14" s="18">
        <v>11.85521443</v>
      </c>
      <c r="EH14" s="3">
        <f t="shared" si="19"/>
        <v>11.284601985</v>
      </c>
      <c r="EI14" s="24">
        <f t="shared" si="20"/>
        <v>-24.703739919999997</v>
      </c>
      <c r="EJ14" s="24">
        <f t="shared" si="21"/>
        <v>1.2455772300000003</v>
      </c>
      <c r="EK14" s="24">
        <f t="shared" si="22"/>
        <v>-4.3193288599999988</v>
      </c>
      <c r="EL14" s="188">
        <f t="shared" si="23"/>
        <v>-14.511534389999996</v>
      </c>
      <c r="EM14" s="297" t="s">
        <v>535</v>
      </c>
      <c r="EN14" s="195"/>
      <c r="EO14" s="196"/>
      <c r="EP14" s="195"/>
      <c r="EQ14" s="196"/>
      <c r="ER14" s="196"/>
      <c r="ES14" s="18">
        <v>8</v>
      </c>
      <c r="ET14" s="18">
        <v>9</v>
      </c>
      <c r="EU14" s="18">
        <v>19</v>
      </c>
      <c r="EV14" s="18">
        <v>2</v>
      </c>
      <c r="EW14" s="18">
        <v>8</v>
      </c>
      <c r="EX14" s="18">
        <v>0</v>
      </c>
      <c r="EY14" s="18">
        <v>46</v>
      </c>
      <c r="EZ14" s="5">
        <v>-2.7068470590000002</v>
      </c>
      <c r="FA14" s="18">
        <v>-34.232210553106704</v>
      </c>
      <c r="FB14" s="310">
        <v>17</v>
      </c>
      <c r="FC14" s="5">
        <v>89</v>
      </c>
      <c r="FD14" s="18">
        <v>31</v>
      </c>
      <c r="FE14" s="340">
        <v>18.5</v>
      </c>
      <c r="FF14" s="18">
        <v>0.69200000219999991</v>
      </c>
      <c r="FG14" s="18">
        <v>0.55333333699999998</v>
      </c>
      <c r="FH14" s="18">
        <v>0.47333333333333327</v>
      </c>
      <c r="FI14" s="18">
        <v>0.3266666583333333</v>
      </c>
      <c r="FJ14" s="18">
        <v>0.32999999966666665</v>
      </c>
      <c r="FK14" s="18">
        <v>-2.2857142857142854E-2</v>
      </c>
      <c r="FL14" s="18">
        <v>-9.8333333666666661E-2</v>
      </c>
      <c r="FM14" s="18">
        <v>0.5299999993333333</v>
      </c>
      <c r="FN14" s="18">
        <v>0.24333333333333329</v>
      </c>
      <c r="FO14" s="18">
        <v>3.0000002666666581E-2</v>
      </c>
      <c r="FP14" s="18">
        <v>0.65999999133333331</v>
      </c>
      <c r="FQ14" s="322">
        <v>4</v>
      </c>
      <c r="FR14" s="5">
        <v>0</v>
      </c>
      <c r="FS14" s="5">
        <v>0</v>
      </c>
      <c r="FT14" s="5">
        <v>-2.7068470590000002</v>
      </c>
      <c r="FU14" s="18">
        <v>8</v>
      </c>
      <c r="FV14" s="18">
        <v>9</v>
      </c>
      <c r="FW14" s="18">
        <v>19</v>
      </c>
      <c r="FX14" s="18">
        <v>2</v>
      </c>
      <c r="FY14" s="18">
        <v>8</v>
      </c>
      <c r="FZ14" s="18">
        <v>0</v>
      </c>
      <c r="GA14" s="18">
        <v>46</v>
      </c>
      <c r="GC14" s="5">
        <v>120</v>
      </c>
      <c r="GD14" s="5">
        <v>121</v>
      </c>
      <c r="GE14" s="5">
        <v>125</v>
      </c>
      <c r="GF14" s="5">
        <v>58</v>
      </c>
      <c r="GG14" s="5">
        <v>152</v>
      </c>
      <c r="GH14" s="144">
        <v>1</v>
      </c>
      <c r="GI14" s="68">
        <v>77.106800000000007</v>
      </c>
      <c r="GJ14" s="5">
        <v>80.825000000000003</v>
      </c>
      <c r="GK14" s="5">
        <f t="shared" si="25"/>
        <v>-3.718199999999996</v>
      </c>
      <c r="GL14" s="5">
        <f t="shared" si="26"/>
        <v>0.9539969068976184</v>
      </c>
      <c r="GM14" s="80">
        <f t="shared" si="27"/>
        <v>-2.0453033387596683E-2</v>
      </c>
      <c r="GN14" s="68">
        <v>64.108500000000006</v>
      </c>
      <c r="GO14" s="5">
        <v>68.987499999999997</v>
      </c>
      <c r="GP14" s="5">
        <f t="shared" si="28"/>
        <v>-4.8789999999999907</v>
      </c>
      <c r="GQ14" s="80">
        <f t="shared" si="29"/>
        <v>0.92927704294256219</v>
      </c>
      <c r="GR14" s="68">
        <v>71.340199999999996</v>
      </c>
      <c r="GS14" s="5">
        <v>78.730800000000002</v>
      </c>
      <c r="GT14" s="5">
        <f t="shared" si="30"/>
        <v>-7.3906000000000063</v>
      </c>
      <c r="GU14" s="80">
        <f t="shared" si="31"/>
        <v>0.90612822427817319</v>
      </c>
      <c r="GV14" s="68">
        <v>56.014299999999999</v>
      </c>
      <c r="GW14" s="5">
        <v>91.918000000000006</v>
      </c>
      <c r="GX14" s="5">
        <f t="shared" si="32"/>
        <v>-35.903700000000008</v>
      </c>
      <c r="GY14" s="80">
        <f t="shared" si="33"/>
        <v>0.60939424269457554</v>
      </c>
      <c r="GZ14" s="68">
        <v>97.404499999999999</v>
      </c>
      <c r="HA14" s="5">
        <v>88.583200000000005</v>
      </c>
      <c r="HB14" s="5">
        <f t="shared" si="34"/>
        <v>8.8212999999999937</v>
      </c>
      <c r="HC14" s="80">
        <f t="shared" si="35"/>
        <v>1.099582087799944</v>
      </c>
      <c r="HD14" s="68">
        <v>57.272500000000001</v>
      </c>
      <c r="HE14" s="5">
        <v>58.653500000000001</v>
      </c>
      <c r="HF14" s="5">
        <f t="shared" si="36"/>
        <v>-1.3810000000000002</v>
      </c>
      <c r="HG14" s="80">
        <f t="shared" si="37"/>
        <v>0.97645494301277846</v>
      </c>
      <c r="HH14" s="68">
        <v>59.308999999999997</v>
      </c>
      <c r="HI14" s="5">
        <v>62.993000000000002</v>
      </c>
      <c r="HJ14" s="5">
        <f t="shared" si="38"/>
        <v>-3.6840000000000046</v>
      </c>
      <c r="HK14" s="80">
        <f t="shared" si="39"/>
        <v>0.94151731144730355</v>
      </c>
      <c r="HL14" s="68">
        <v>61.984999999999999</v>
      </c>
      <c r="HM14" s="5">
        <v>60.761699999999998</v>
      </c>
      <c r="HN14" s="5">
        <f t="shared" si="40"/>
        <v>1.2233000000000018</v>
      </c>
      <c r="HO14" s="80">
        <f t="shared" si="41"/>
        <v>1.0201327480962514</v>
      </c>
      <c r="HP14" s="68">
        <v>52.838000000000001</v>
      </c>
      <c r="HQ14" s="5">
        <v>57.491500000000002</v>
      </c>
      <c r="HR14" s="5">
        <f t="shared" si="42"/>
        <v>-4.6535000000000011</v>
      </c>
      <c r="HS14" s="80">
        <f t="shared" si="43"/>
        <v>0.91905759981910373</v>
      </c>
      <c r="HT14" s="68">
        <v>43.712200000000003</v>
      </c>
      <c r="HU14" s="5">
        <v>45.2254</v>
      </c>
      <c r="HV14" s="5">
        <f t="shared" si="44"/>
        <v>-1.5131999999999977</v>
      </c>
      <c r="HW14" s="80">
        <f t="shared" si="45"/>
        <v>0.96654092611673981</v>
      </c>
      <c r="HX14" s="68">
        <v>64.4285</v>
      </c>
      <c r="HY14" s="5">
        <v>65.380200000000002</v>
      </c>
      <c r="HZ14" s="5">
        <f t="shared" si="46"/>
        <v>-0.95170000000000243</v>
      </c>
      <c r="IA14" s="80">
        <f t="shared" si="47"/>
        <v>0.98544360525051922</v>
      </c>
      <c r="IB14" s="68">
        <v>78.576499999999996</v>
      </c>
      <c r="IC14" s="5">
        <v>83.207800000000006</v>
      </c>
      <c r="ID14" s="5">
        <f t="shared" si="48"/>
        <v>-4.6313000000000102</v>
      </c>
      <c r="IE14" s="5">
        <f t="shared" si="49"/>
        <v>0.9443405546114666</v>
      </c>
      <c r="IF14" s="68">
        <v>51.669199999999996</v>
      </c>
      <c r="IG14" s="5">
        <v>53.401499999999999</v>
      </c>
      <c r="IH14" s="5">
        <f t="shared" si="50"/>
        <v>-1.7323000000000022</v>
      </c>
      <c r="II14" s="80">
        <f t="shared" si="51"/>
        <v>0.96756083630609624</v>
      </c>
      <c r="IJ14" s="68">
        <v>58.425699999999999</v>
      </c>
      <c r="IK14" s="5">
        <v>61.759500000000003</v>
      </c>
      <c r="IL14" s="5">
        <f t="shared" si="52"/>
        <v>-3.3338000000000036</v>
      </c>
      <c r="IM14" s="80">
        <f t="shared" si="53"/>
        <v>0.94601964070304967</v>
      </c>
      <c r="IN14" s="68">
        <v>63.12</v>
      </c>
      <c r="IO14" s="5">
        <v>67.227500000000006</v>
      </c>
      <c r="IP14" s="5">
        <f t="shared" si="54"/>
        <v>-4.1075000000000088</v>
      </c>
      <c r="IQ14" s="5">
        <f t="shared" si="55"/>
        <v>0.93890149120523581</v>
      </c>
      <c r="IR14" s="80">
        <f t="shared" si="56"/>
        <v>4.1227656568844397E-2</v>
      </c>
      <c r="IV14" s="138"/>
      <c r="IW14" s="138"/>
      <c r="IY14" s="138"/>
      <c r="IZ14" s="138"/>
      <c r="JA14" s="138"/>
      <c r="JB14" s="138"/>
      <c r="JC14" s="138"/>
      <c r="JE14" s="138"/>
      <c r="JF14" s="138"/>
      <c r="JG14" s="138"/>
      <c r="JH14" s="138"/>
      <c r="JI14" s="138"/>
      <c r="JJ14" s="138"/>
      <c r="JK14" s="138"/>
      <c r="JL14" s="138"/>
      <c r="JM14" s="138"/>
      <c r="JN14" s="138"/>
      <c r="JO14" s="138"/>
      <c r="JP14" s="138"/>
      <c r="JQ14" s="138"/>
      <c r="JR14" s="138"/>
      <c r="JS14" s="138"/>
      <c r="JT14" s="68" t="s">
        <v>535</v>
      </c>
      <c r="JU14" s="347">
        <v>4.4699999999999997E-2</v>
      </c>
      <c r="JV14" s="347">
        <v>5.0200000000000002E-2</v>
      </c>
      <c r="JW14" s="347">
        <f t="shared" si="65"/>
        <v>4.7449999999999999E-2</v>
      </c>
      <c r="JX14" s="348">
        <v>9.1200000000000003E-2</v>
      </c>
      <c r="JY14" s="348">
        <v>8.4699999999999998E-2</v>
      </c>
      <c r="JZ14" s="348">
        <f t="shared" si="66"/>
        <v>8.795E-2</v>
      </c>
      <c r="KA14" s="347">
        <f t="shared" si="67"/>
        <v>4.0500000000000001E-2</v>
      </c>
      <c r="KB14" s="347">
        <f t="shared" si="68"/>
        <v>1.8535300316122234</v>
      </c>
      <c r="KC14" s="354">
        <f t="shared" si="78"/>
        <v>5.7315300316122233</v>
      </c>
      <c r="KD14" s="18">
        <f t="shared" si="69"/>
        <v>0.75827057233151074</v>
      </c>
      <c r="KE14" s="18">
        <v>0.75827057233151074</v>
      </c>
      <c r="KF14" s="340">
        <v>18.5</v>
      </c>
      <c r="KG14" s="18">
        <v>0.69200000219999991</v>
      </c>
      <c r="KH14" s="18">
        <v>0.55333333699999998</v>
      </c>
      <c r="KI14" s="18">
        <v>0.47333333333333327</v>
      </c>
      <c r="KJ14" s="18">
        <v>0.3266666583333333</v>
      </c>
      <c r="KK14" s="18">
        <v>0.32999999966666665</v>
      </c>
      <c r="KL14" s="18">
        <v>-2.2857142857142854E-2</v>
      </c>
      <c r="KM14" s="18">
        <v>-9.8333333666666661E-2</v>
      </c>
      <c r="KN14" s="18">
        <v>0.5299999993333333</v>
      </c>
      <c r="KO14" s="18">
        <v>0.24333333333333329</v>
      </c>
      <c r="KP14" s="18">
        <v>3.0000002666666581E-2</v>
      </c>
      <c r="KQ14" s="18">
        <v>0.65999999133333331</v>
      </c>
      <c r="KR14" s="358" t="s">
        <v>639</v>
      </c>
      <c r="KS14" s="358">
        <v>18.5</v>
      </c>
      <c r="KT14" s="358">
        <v>15</v>
      </c>
      <c r="KU14" s="358">
        <v>11.5</v>
      </c>
      <c r="KV14" s="358">
        <v>19</v>
      </c>
      <c r="KW14" s="358">
        <v>18.5</v>
      </c>
      <c r="KX14" s="358">
        <v>20</v>
      </c>
      <c r="KY14" s="144">
        <v>1</v>
      </c>
      <c r="KZ14" s="158" t="s">
        <v>535</v>
      </c>
      <c r="LA14" s="68">
        <v>0.53820000000000001</v>
      </c>
      <c r="LB14" s="5">
        <v>0.52370000000000005</v>
      </c>
      <c r="LC14" s="5">
        <f t="shared" si="70"/>
        <v>0.53095000000000003</v>
      </c>
      <c r="LD14" s="5">
        <v>0.58330000000000004</v>
      </c>
      <c r="LE14" s="5">
        <v>0.56840000000000002</v>
      </c>
      <c r="LF14" s="80">
        <f t="shared" si="71"/>
        <v>0.57584999999999997</v>
      </c>
      <c r="LG14" s="77">
        <f t="shared" si="72"/>
        <v>-4.489999999999994E-2</v>
      </c>
      <c r="LH14" s="68">
        <v>17.132100000000001</v>
      </c>
      <c r="LI14" s="5">
        <v>16.788499999999999</v>
      </c>
      <c r="LJ14" s="5">
        <f t="shared" si="73"/>
        <v>16.9603</v>
      </c>
      <c r="LK14" s="5">
        <v>29.2026</v>
      </c>
      <c r="LL14" s="5">
        <v>23.573899999999998</v>
      </c>
      <c r="LM14" s="80">
        <f t="shared" si="74"/>
        <v>26.388249999999999</v>
      </c>
      <c r="LN14" s="77">
        <f t="shared" si="75"/>
        <v>-9.4279499999999992</v>
      </c>
      <c r="LO14" s="68">
        <v>0.97660000000000002</v>
      </c>
      <c r="LP14" s="5">
        <v>0.9788</v>
      </c>
      <c r="LQ14" s="5">
        <f t="shared" si="61"/>
        <v>0.97770000000000001</v>
      </c>
      <c r="LR14" s="5">
        <v>0.87190000000000001</v>
      </c>
      <c r="LS14" s="5">
        <v>0.91859999999999997</v>
      </c>
      <c r="LT14" s="80">
        <f t="shared" si="62"/>
        <v>0.89524999999999999</v>
      </c>
      <c r="LU14" s="77">
        <f t="shared" si="76"/>
        <v>8.2450000000000023E-2</v>
      </c>
      <c r="LV14" s="68">
        <v>0.41820000000000002</v>
      </c>
      <c r="LW14" s="5">
        <v>0.38429999999999997</v>
      </c>
      <c r="LX14" s="5">
        <f t="shared" si="63"/>
        <v>0.40125</v>
      </c>
      <c r="LY14" s="5">
        <v>0.55169999999999997</v>
      </c>
      <c r="LZ14" s="5">
        <v>0.4879</v>
      </c>
      <c r="MA14" s="80">
        <f t="shared" si="64"/>
        <v>0.51980000000000004</v>
      </c>
      <c r="MB14" s="77">
        <f t="shared" si="77"/>
        <v>-0.11855000000000004</v>
      </c>
      <c r="MD14" s="5">
        <v>-0.28403142190000003</v>
      </c>
      <c r="ME14" s="5">
        <v>2.9395903309999998</v>
      </c>
      <c r="MF14" s="5">
        <v>3.3450313239999998</v>
      </c>
      <c r="MG14" s="5">
        <v>3.5318881279999998</v>
      </c>
      <c r="MH14" s="292">
        <v>3.3545755779999999</v>
      </c>
      <c r="MI14" s="18">
        <v>-2.7068470590000002</v>
      </c>
      <c r="MJ14" s="18">
        <v>1.7311244180000001</v>
      </c>
      <c r="MK14" s="18">
        <v>-0.2580061917</v>
      </c>
      <c r="ML14" s="18">
        <v>0.8620683106</v>
      </c>
      <c r="MM14" s="18">
        <v>1.9359505480000001</v>
      </c>
      <c r="MN14" s="18">
        <v>-2.7068470590000002</v>
      </c>
      <c r="MP14" s="296">
        <v>17</v>
      </c>
      <c r="MQ14" s="18">
        <v>0.34420000000000001</v>
      </c>
      <c r="MR14" s="18">
        <v>0.51770000000000005</v>
      </c>
      <c r="MS14" s="18">
        <v>-0.67669999999999997</v>
      </c>
      <c r="MT14" s="18">
        <v>0.30740000000000001</v>
      </c>
      <c r="MU14" s="18">
        <v>0.31180000000000002</v>
      </c>
      <c r="MV14" s="18">
        <v>0.13719999999999999</v>
      </c>
      <c r="MW14" s="18">
        <v>0.66690000000000005</v>
      </c>
      <c r="MX14" s="18">
        <v>0.25679999999999997</v>
      </c>
      <c r="MY14" s="18">
        <v>-0.3196</v>
      </c>
    </row>
    <row r="15" spans="1:363" ht="14.25" customHeight="1" x14ac:dyDescent="0.2">
      <c r="A15" s="3" t="s">
        <v>17</v>
      </c>
      <c r="B15" s="5">
        <v>2</v>
      </c>
      <c r="C15" s="5">
        <v>8</v>
      </c>
      <c r="D15" s="5">
        <v>33</v>
      </c>
      <c r="E15" s="5">
        <v>76</v>
      </c>
      <c r="F15" s="5">
        <v>43</v>
      </c>
      <c r="G15" s="18">
        <v>43</v>
      </c>
      <c r="H15" s="24">
        <v>107</v>
      </c>
      <c r="I15" s="5">
        <v>15</v>
      </c>
      <c r="J15" s="5">
        <v>113</v>
      </c>
      <c r="K15" s="5">
        <v>106</v>
      </c>
      <c r="L15" s="5">
        <v>122</v>
      </c>
      <c r="M15" s="5">
        <v>86</v>
      </c>
      <c r="N15" s="5">
        <v>128</v>
      </c>
      <c r="O15" s="5">
        <v>6</v>
      </c>
      <c r="P15" s="5">
        <v>-1</v>
      </c>
      <c r="Q15" s="5">
        <v>7</v>
      </c>
      <c r="R15" s="5">
        <v>-10</v>
      </c>
      <c r="S15" s="5">
        <v>13</v>
      </c>
      <c r="T15" s="18">
        <v>11</v>
      </c>
      <c r="U15" s="5">
        <v>10</v>
      </c>
      <c r="V15" s="5">
        <v>-1</v>
      </c>
      <c r="W15" s="5">
        <v>-9</v>
      </c>
      <c r="X15" s="5">
        <v>-19</v>
      </c>
      <c r="Y15" s="5">
        <v>1</v>
      </c>
      <c r="Z15" s="92">
        <v>-2.7838047368421E-2</v>
      </c>
      <c r="AA15" s="88">
        <v>14.5</v>
      </c>
      <c r="AB15" s="68">
        <v>88</v>
      </c>
      <c r="AC15" s="5">
        <v>89</v>
      </c>
      <c r="AD15" s="5">
        <v>100</v>
      </c>
      <c r="AE15" s="80">
        <v>92</v>
      </c>
      <c r="AF15" s="179">
        <v>-4</v>
      </c>
      <c r="AG15" s="154">
        <v>-6</v>
      </c>
      <c r="AH15" s="154">
        <v>7</v>
      </c>
      <c r="AI15" s="154">
        <v>-1</v>
      </c>
      <c r="AJ15" s="68">
        <v>84</v>
      </c>
      <c r="AK15" s="5">
        <v>83</v>
      </c>
      <c r="AL15" s="5">
        <v>107</v>
      </c>
      <c r="AM15" s="80">
        <v>91</v>
      </c>
      <c r="AN15" s="68">
        <v>88</v>
      </c>
      <c r="AO15" s="5">
        <v>89</v>
      </c>
      <c r="AP15" s="5">
        <v>100</v>
      </c>
      <c r="AQ15" s="80">
        <v>92</v>
      </c>
      <c r="AR15" s="68">
        <v>84</v>
      </c>
      <c r="AS15" s="5">
        <v>83</v>
      </c>
      <c r="AT15" s="5">
        <v>107</v>
      </c>
      <c r="AU15" s="80">
        <v>91</v>
      </c>
      <c r="AV15" s="179">
        <f t="shared" si="0"/>
        <v>-4</v>
      </c>
      <c r="AW15" s="154">
        <f t="shared" si="1"/>
        <v>-6</v>
      </c>
      <c r="AX15" s="154">
        <f t="shared" si="2"/>
        <v>7</v>
      </c>
      <c r="AY15" s="185">
        <f t="shared" si="3"/>
        <v>-1</v>
      </c>
      <c r="AZ15" s="9">
        <v>1.1363636363636365</v>
      </c>
      <c r="BA15" s="77">
        <v>-0.13744588744588726</v>
      </c>
      <c r="BB15" s="18">
        <v>1.0113636363636365</v>
      </c>
      <c r="BC15" s="77">
        <v>2.3268398268398327E-2</v>
      </c>
      <c r="BD15" s="154">
        <v>0.76999998092699995</v>
      </c>
      <c r="BE15" s="144">
        <v>0.83999997377400004</v>
      </c>
      <c r="BF15" s="5">
        <v>7</v>
      </c>
      <c r="BG15" s="5">
        <v>-1</v>
      </c>
      <c r="BK15" s="18" t="s">
        <v>17</v>
      </c>
      <c r="BL15" s="18">
        <v>-10</v>
      </c>
      <c r="BM15" s="221">
        <v>-16</v>
      </c>
      <c r="BN15" s="21">
        <v>-17</v>
      </c>
      <c r="BO15" s="18">
        <v>-34</v>
      </c>
      <c r="BP15" s="18">
        <v>-67</v>
      </c>
      <c r="BQ15" s="138" t="s">
        <v>490</v>
      </c>
      <c r="BR15" s="138">
        <v>4.2323659582691703E-28</v>
      </c>
      <c r="BS15" s="138" t="s">
        <v>491</v>
      </c>
      <c r="BT15" s="138">
        <v>-1.71345022949556E-27</v>
      </c>
      <c r="BU15" s="138">
        <f>AVERAGE(BR15,BT15)</f>
        <v>-6.4510681683432144E-28</v>
      </c>
      <c r="BW15" s="18">
        <v>0.5</v>
      </c>
      <c r="BX15" s="18">
        <v>0.12999999523200001</v>
      </c>
      <c r="BY15" s="18">
        <f t="shared" si="5"/>
        <v>0.37000000476799999</v>
      </c>
      <c r="BZ15" s="3">
        <v>0.35799999840000002</v>
      </c>
      <c r="CA15" s="18">
        <v>0.3166666726666667</v>
      </c>
      <c r="CB15" s="18">
        <v>0.31666666766666668</v>
      </c>
      <c r="CC15" s="18">
        <v>0.18333333366666668</v>
      </c>
      <c r="CD15" s="18">
        <v>0.33000000666666662</v>
      </c>
      <c r="CE15" s="18">
        <v>0.16142857342857142</v>
      </c>
      <c r="CF15" s="18">
        <v>5.0000000000000001E-3</v>
      </c>
      <c r="CG15" s="18">
        <v>0.176666667</v>
      </c>
      <c r="CH15" s="18">
        <v>0.46666665899999998</v>
      </c>
      <c r="CI15" s="18">
        <v>0.57999998333333336</v>
      </c>
      <c r="CJ15" s="18">
        <v>0.51000001033333331</v>
      </c>
      <c r="CK15" s="285" t="s">
        <v>536</v>
      </c>
      <c r="CL15" s="18">
        <v>1.8900219229999999</v>
      </c>
      <c r="CM15" s="18">
        <v>-4.1567060470000001</v>
      </c>
      <c r="CN15" s="18">
        <v>-0.71777224539999995</v>
      </c>
      <c r="CO15" s="18">
        <v>-0.3631437475</v>
      </c>
      <c r="CP15" s="18">
        <v>-0.43654978840000003</v>
      </c>
      <c r="CQ15" s="18">
        <v>-0.34623590459999998</v>
      </c>
      <c r="CR15" s="18">
        <v>-0.47770460920000002</v>
      </c>
      <c r="CS15" s="18">
        <v>-0.238764752</v>
      </c>
      <c r="CT15" s="18">
        <v>-0.25477671340000002</v>
      </c>
      <c r="CY15" s="9"/>
      <c r="CZ15" s="285" t="s">
        <v>536</v>
      </c>
      <c r="DA15" s="68">
        <v>16.429920899999999</v>
      </c>
      <c r="DB15" s="5">
        <v>15.47131422</v>
      </c>
      <c r="DC15" s="5">
        <v>13.33761456</v>
      </c>
      <c r="DD15" s="80">
        <f t="shared" si="6"/>
        <v>14.883767729999999</v>
      </c>
      <c r="DE15" s="68">
        <v>6.1993915849999999</v>
      </c>
      <c r="DF15" s="5">
        <v>7.0648990649999996</v>
      </c>
      <c r="DG15" s="5">
        <v>6.5786088210000004</v>
      </c>
      <c r="DH15" s="80">
        <f t="shared" si="7"/>
        <v>6.3890002030000002</v>
      </c>
      <c r="DI15" s="151">
        <f t="shared" si="8"/>
        <v>-10.230529314999998</v>
      </c>
      <c r="DJ15" s="24">
        <f t="shared" si="9"/>
        <v>-8.4064151550000012</v>
      </c>
      <c r="DK15" s="294">
        <f t="shared" si="10"/>
        <v>-6.759005739</v>
      </c>
      <c r="DL15" s="244">
        <f t="shared" si="11"/>
        <v>-8.4947675269999987</v>
      </c>
      <c r="DM15" s="295" t="s">
        <v>536</v>
      </c>
      <c r="DN15" s="68">
        <v>2.5670949269999999</v>
      </c>
      <c r="DO15" s="5">
        <v>2.7467536799999999</v>
      </c>
      <c r="DP15" s="5">
        <v>2.4138939239999999</v>
      </c>
      <c r="DQ15" s="3">
        <f t="shared" si="12"/>
        <v>2.4904944254999997</v>
      </c>
      <c r="DR15" s="68">
        <v>1.515023029</v>
      </c>
      <c r="DS15" s="5">
        <v>1.6848409049999999</v>
      </c>
      <c r="DT15" s="5">
        <v>1.522191407</v>
      </c>
      <c r="DU15" s="3">
        <f t="shared" si="13"/>
        <v>1.5186072180000001</v>
      </c>
      <c r="DV15" s="24">
        <f t="shared" si="14"/>
        <v>-1.0520718979999999</v>
      </c>
      <c r="DW15" s="24">
        <f t="shared" si="15"/>
        <v>-1.0619127749999999</v>
      </c>
      <c r="DX15" s="24">
        <f t="shared" si="16"/>
        <v>-0.89170251699999992</v>
      </c>
      <c r="DY15" s="188">
        <f t="shared" si="17"/>
        <v>-0.97188720749999957</v>
      </c>
      <c r="DZ15" s="295" t="s">
        <v>536</v>
      </c>
      <c r="EA15" s="18">
        <v>18.826740740000002</v>
      </c>
      <c r="EB15" s="18">
        <v>32.315442930000003</v>
      </c>
      <c r="EC15" s="18">
        <v>11.17975429</v>
      </c>
      <c r="ED15" s="3">
        <f t="shared" si="18"/>
        <v>15.003247515000002</v>
      </c>
      <c r="EE15" s="18">
        <v>5.7493962449999998</v>
      </c>
      <c r="EF15" s="18">
        <v>4.394662115</v>
      </c>
      <c r="EG15" s="18">
        <v>5.855131031</v>
      </c>
      <c r="EH15" s="3">
        <f t="shared" si="19"/>
        <v>5.8022636379999994</v>
      </c>
      <c r="EI15" s="24">
        <f t="shared" si="20"/>
        <v>-13.077344495000002</v>
      </c>
      <c r="EJ15" s="24">
        <f t="shared" si="21"/>
        <v>-27.920780815000004</v>
      </c>
      <c r="EK15" s="24">
        <f t="shared" si="22"/>
        <v>-5.324623259</v>
      </c>
      <c r="EL15" s="188">
        <f t="shared" si="23"/>
        <v>-9.2009838770000023</v>
      </c>
      <c r="EM15" s="295" t="s">
        <v>536</v>
      </c>
      <c r="EN15" s="151" t="s">
        <v>490</v>
      </c>
      <c r="EO15" s="244">
        <v>84.735555548497302</v>
      </c>
      <c r="EP15" s="151" t="s">
        <v>491</v>
      </c>
      <c r="EQ15" s="244">
        <v>42.655997857338598</v>
      </c>
      <c r="ER15" s="244">
        <f>AVERAGE(EO15,EQ15)</f>
        <v>63.695776702917954</v>
      </c>
      <c r="ES15" s="18">
        <v>3</v>
      </c>
      <c r="ET15" s="18">
        <v>12</v>
      </c>
      <c r="EU15" s="18">
        <v>13</v>
      </c>
      <c r="EV15" s="18">
        <v>-3</v>
      </c>
      <c r="EW15" s="18">
        <v>4</v>
      </c>
      <c r="EX15" s="18">
        <v>0</v>
      </c>
      <c r="EY15" s="18">
        <v>29</v>
      </c>
      <c r="EZ15" s="5">
        <v>-4.1567060470000001</v>
      </c>
      <c r="FA15" s="18">
        <v>-52.427600977815047</v>
      </c>
      <c r="FB15" s="310">
        <v>18</v>
      </c>
      <c r="FC15" s="5">
        <v>76</v>
      </c>
      <c r="FD15" s="18">
        <v>43</v>
      </c>
      <c r="FE15" s="340">
        <v>14.5</v>
      </c>
      <c r="FF15" s="18">
        <v>0.35599999840000002</v>
      </c>
      <c r="FG15" s="18">
        <v>0.3066666726666667</v>
      </c>
      <c r="FH15" s="18">
        <v>0.30666666766666667</v>
      </c>
      <c r="FI15" s="18">
        <v>0.18333333366666668</v>
      </c>
      <c r="FJ15" s="18">
        <v>0.33000000666666662</v>
      </c>
      <c r="FK15" s="18">
        <v>0.15857143057142856</v>
      </c>
      <c r="FL15" s="18">
        <v>3.3333333333333331E-3</v>
      </c>
      <c r="FM15" s="18">
        <v>0.176666667</v>
      </c>
      <c r="FN15" s="18">
        <v>0.46333332566666663</v>
      </c>
      <c r="FO15" s="18">
        <v>0.57999998333333336</v>
      </c>
      <c r="FP15" s="18">
        <v>0.51000001033333331</v>
      </c>
      <c r="FQ15" s="322">
        <v>7</v>
      </c>
      <c r="FR15" s="5">
        <v>10</v>
      </c>
      <c r="FS15" s="5">
        <v>1</v>
      </c>
      <c r="FT15" s="5">
        <v>-4.1567060470000001</v>
      </c>
      <c r="FU15" s="18">
        <v>3</v>
      </c>
      <c r="FV15" s="18">
        <v>12</v>
      </c>
      <c r="FW15" s="18">
        <v>13</v>
      </c>
      <c r="FX15" s="18">
        <v>-3</v>
      </c>
      <c r="FY15" s="18">
        <v>4</v>
      </c>
      <c r="FZ15" s="18">
        <v>0</v>
      </c>
      <c r="GA15" s="18">
        <v>29</v>
      </c>
      <c r="GC15" s="5">
        <v>113</v>
      </c>
      <c r="GD15" s="5">
        <v>106</v>
      </c>
      <c r="GE15" s="5">
        <v>122</v>
      </c>
      <c r="GF15" s="5">
        <v>86</v>
      </c>
      <c r="GG15" s="5">
        <v>128</v>
      </c>
      <c r="GH15" s="144">
        <v>0.83999997377400004</v>
      </c>
      <c r="GI15" s="68">
        <v>63.756300000000003</v>
      </c>
      <c r="GJ15" s="5">
        <v>60.8675</v>
      </c>
      <c r="GK15" s="5">
        <f t="shared" si="25"/>
        <v>2.8888000000000034</v>
      </c>
      <c r="GL15" s="5">
        <f t="shared" si="26"/>
        <v>1.0474604674087158</v>
      </c>
      <c r="GM15" s="80">
        <f t="shared" si="27"/>
        <v>2.0137641079638183E-2</v>
      </c>
      <c r="GN15" s="68">
        <v>55.8005</v>
      </c>
      <c r="GO15" s="5">
        <v>53.792700000000004</v>
      </c>
      <c r="GP15" s="5">
        <f t="shared" si="28"/>
        <v>2.007799999999996</v>
      </c>
      <c r="GQ15" s="80">
        <f t="shared" si="29"/>
        <v>1.0373247671152406</v>
      </c>
      <c r="GR15" s="68">
        <v>54.401000000000003</v>
      </c>
      <c r="GS15" s="5">
        <v>54.384500000000003</v>
      </c>
      <c r="GT15" s="5">
        <f t="shared" si="30"/>
        <v>1.6500000000000625E-2</v>
      </c>
      <c r="GU15" s="80">
        <f t="shared" si="31"/>
        <v>1.0003033952688727</v>
      </c>
      <c r="GV15" s="68">
        <v>26.371300000000002</v>
      </c>
      <c r="GW15" s="5">
        <v>32.180100000000003</v>
      </c>
      <c r="GX15" s="5">
        <f t="shared" si="32"/>
        <v>-5.8088000000000015</v>
      </c>
      <c r="GY15" s="80">
        <f t="shared" si="33"/>
        <v>0.81949092762297193</v>
      </c>
      <c r="GZ15" s="68">
        <v>64.723500000000001</v>
      </c>
      <c r="HA15" s="5">
        <v>50.900399999999998</v>
      </c>
      <c r="HB15" s="5">
        <f t="shared" si="34"/>
        <v>13.823100000000004</v>
      </c>
      <c r="HC15" s="80">
        <f t="shared" si="35"/>
        <v>1.2715715397128511</v>
      </c>
      <c r="HD15" s="68">
        <v>50.790700000000001</v>
      </c>
      <c r="HE15" s="5">
        <v>47.278799999999997</v>
      </c>
      <c r="HF15" s="5">
        <f t="shared" si="36"/>
        <v>3.5119000000000042</v>
      </c>
      <c r="HG15" s="80">
        <f t="shared" si="37"/>
        <v>1.0742806501011024</v>
      </c>
      <c r="HH15" s="68">
        <v>59.945799999999998</v>
      </c>
      <c r="HI15" s="5">
        <v>59.255000000000003</v>
      </c>
      <c r="HJ15" s="5">
        <f t="shared" si="38"/>
        <v>0.69079999999999586</v>
      </c>
      <c r="HK15" s="80">
        <f t="shared" si="39"/>
        <v>1.0116580879250696</v>
      </c>
      <c r="HL15" s="68">
        <v>57.593000000000004</v>
      </c>
      <c r="HM15" s="5">
        <v>59.89</v>
      </c>
      <c r="HN15" s="5">
        <f t="shared" si="40"/>
        <v>-2.296999999999997</v>
      </c>
      <c r="HO15" s="80">
        <f t="shared" si="41"/>
        <v>0.96164635164468193</v>
      </c>
      <c r="HP15" s="68">
        <v>52.031199999999998</v>
      </c>
      <c r="HQ15" s="5">
        <v>51.788600000000002</v>
      </c>
      <c r="HR15" s="5">
        <f t="shared" si="42"/>
        <v>0.24259999999999593</v>
      </c>
      <c r="HS15" s="80">
        <f t="shared" si="43"/>
        <v>1.0046844286194259</v>
      </c>
      <c r="HT15" s="68">
        <v>38.2151</v>
      </c>
      <c r="HU15" s="5">
        <v>44.575499999999998</v>
      </c>
      <c r="HV15" s="5">
        <f t="shared" si="44"/>
        <v>-6.3603999999999985</v>
      </c>
      <c r="HW15" s="80">
        <f t="shared" si="45"/>
        <v>0.85731175197137444</v>
      </c>
      <c r="HX15" s="68">
        <v>63.398699999999998</v>
      </c>
      <c r="HY15" s="5">
        <v>61.514000000000003</v>
      </c>
      <c r="HZ15" s="5">
        <f t="shared" si="46"/>
        <v>1.8846999999999952</v>
      </c>
      <c r="IA15" s="80">
        <f t="shared" si="47"/>
        <v>1.0306385538251455</v>
      </c>
      <c r="IB15" s="68">
        <v>74.222499999999997</v>
      </c>
      <c r="IC15" s="5">
        <v>74.251499999999993</v>
      </c>
      <c r="ID15" s="5">
        <f t="shared" si="48"/>
        <v>-2.8999999999996362E-2</v>
      </c>
      <c r="IE15" s="5">
        <f t="shared" si="49"/>
        <v>0.99960943549961956</v>
      </c>
      <c r="IF15" s="68">
        <v>45.265700000000002</v>
      </c>
      <c r="IG15" s="5">
        <v>41.523200000000003</v>
      </c>
      <c r="IH15" s="5">
        <f t="shared" si="50"/>
        <v>3.7424999999999997</v>
      </c>
      <c r="II15" s="80">
        <f t="shared" si="51"/>
        <v>1.0901303367755857</v>
      </c>
      <c r="IJ15" s="68">
        <v>56.184800000000003</v>
      </c>
      <c r="IK15" s="5">
        <v>51.091900000000003</v>
      </c>
      <c r="IL15" s="5">
        <f t="shared" si="52"/>
        <v>5.0929000000000002</v>
      </c>
      <c r="IM15" s="80">
        <f t="shared" si="53"/>
        <v>1.0996811627674836</v>
      </c>
      <c r="IN15" s="68">
        <v>63.649000000000001</v>
      </c>
      <c r="IO15" s="5">
        <v>56.201300000000003</v>
      </c>
      <c r="IP15" s="5">
        <f t="shared" si="54"/>
        <v>7.4476999999999975</v>
      </c>
      <c r="IQ15" s="5">
        <f t="shared" si="55"/>
        <v>1.1325182869435404</v>
      </c>
      <c r="IR15" s="80">
        <f t="shared" si="56"/>
        <v>0.10434079898165996</v>
      </c>
      <c r="IS15" s="18">
        <v>63.695776702917954</v>
      </c>
      <c r="IT15" s="18">
        <f>IS15/100</f>
        <v>0.6369577670291795</v>
      </c>
      <c r="IV15" s="336" t="s">
        <v>604</v>
      </c>
      <c r="IW15" s="18">
        <v>0.19695361423139099</v>
      </c>
      <c r="IX15" s="18">
        <f>1-IW15</f>
        <v>0.80304638576860898</v>
      </c>
      <c r="IY15" s="336" t="s">
        <v>604</v>
      </c>
      <c r="IZ15" s="18">
        <v>0.157230308866532</v>
      </c>
      <c r="JB15" s="336" t="s">
        <v>604</v>
      </c>
      <c r="JC15" s="18">
        <v>0.79413752294812201</v>
      </c>
      <c r="JD15" s="18">
        <f>1-JC15</f>
        <v>0.20586247705187799</v>
      </c>
      <c r="JE15" s="336" t="s">
        <v>604</v>
      </c>
      <c r="JF15" s="18">
        <v>0.673082614690381</v>
      </c>
      <c r="JI15" s="336" t="s">
        <v>604</v>
      </c>
      <c r="JJ15" s="18">
        <v>0.30878736467243101</v>
      </c>
      <c r="JL15" s="336" t="s">
        <v>604</v>
      </c>
      <c r="JM15" s="18">
        <v>0.22748157795488699</v>
      </c>
      <c r="JO15" s="336" t="s">
        <v>604</v>
      </c>
      <c r="JP15" s="18">
        <v>0.63102400439150796</v>
      </c>
      <c r="JR15" s="336" t="s">
        <v>604</v>
      </c>
      <c r="JS15" s="18">
        <v>0.64455929134841505</v>
      </c>
      <c r="JT15" s="68" t="s">
        <v>536</v>
      </c>
      <c r="JU15" s="347">
        <v>2.4799999999999999E-2</v>
      </c>
      <c r="JV15" s="347">
        <v>2.1999999999999999E-2</v>
      </c>
      <c r="JW15" s="347">
        <f t="shared" si="65"/>
        <v>2.3399999999999997E-2</v>
      </c>
      <c r="JX15" s="348">
        <v>1.7899999999999999E-2</v>
      </c>
      <c r="JY15" s="348">
        <v>3.2099999999999997E-2</v>
      </c>
      <c r="JZ15" s="348">
        <f t="shared" si="66"/>
        <v>2.4999999999999998E-2</v>
      </c>
      <c r="KA15" s="347">
        <f t="shared" si="67"/>
        <v>1.6000000000000007E-3</v>
      </c>
      <c r="KB15" s="347">
        <f t="shared" si="68"/>
        <v>1.0683760683760684</v>
      </c>
      <c r="KC15" s="354">
        <f t="shared" si="78"/>
        <v>4.9463760683760682</v>
      </c>
      <c r="KD15" s="18">
        <f t="shared" si="69"/>
        <v>0.69428713228643613</v>
      </c>
      <c r="KE15" s="18">
        <v>0.69428713228643613</v>
      </c>
      <c r="KF15" s="340">
        <v>14.5</v>
      </c>
      <c r="KG15" s="18">
        <v>0.35599999840000002</v>
      </c>
      <c r="KH15" s="18">
        <v>0.3066666726666667</v>
      </c>
      <c r="KI15" s="18">
        <v>0.30666666766666667</v>
      </c>
      <c r="KJ15" s="18">
        <v>0.18333333366666668</v>
      </c>
      <c r="KK15" s="18">
        <v>0.33000000666666662</v>
      </c>
      <c r="KL15" s="18">
        <v>0.15857143057142856</v>
      </c>
      <c r="KM15" s="18">
        <v>3.3333333333333331E-3</v>
      </c>
      <c r="KN15" s="18">
        <v>0.176666667</v>
      </c>
      <c r="KO15" s="18">
        <v>0.46333332566666663</v>
      </c>
      <c r="KP15" s="18">
        <v>0.57999998333333336</v>
      </c>
      <c r="KQ15" s="18">
        <v>0.51000001033333331</v>
      </c>
      <c r="KR15" s="358" t="s">
        <v>640</v>
      </c>
      <c r="KS15" s="358">
        <v>14.5</v>
      </c>
      <c r="KT15" s="358">
        <v>10</v>
      </c>
      <c r="KU15" s="358">
        <v>3.5</v>
      </c>
      <c r="KV15" s="358">
        <v>14.5</v>
      </c>
      <c r="KW15" s="358">
        <v>5</v>
      </c>
      <c r="KX15" s="358">
        <v>10.5</v>
      </c>
      <c r="KY15" s="144">
        <v>0.83999997377400004</v>
      </c>
      <c r="KZ15" s="158" t="s">
        <v>536</v>
      </c>
      <c r="LA15" s="68">
        <v>0.50939999999999996</v>
      </c>
      <c r="LB15" s="5">
        <v>0.5141</v>
      </c>
      <c r="LC15" s="5">
        <f t="shared" si="70"/>
        <v>0.51174999999999993</v>
      </c>
      <c r="LD15" s="5">
        <v>0.57140000000000002</v>
      </c>
      <c r="LE15" s="5">
        <v>0.57340000000000002</v>
      </c>
      <c r="LF15" s="80">
        <f t="shared" si="71"/>
        <v>0.57240000000000002</v>
      </c>
      <c r="LG15" s="77">
        <f t="shared" si="72"/>
        <v>-6.0650000000000093E-2</v>
      </c>
      <c r="LH15" s="68">
        <v>6.9946000000000002</v>
      </c>
      <c r="LI15" s="5">
        <v>6.6611000000000002</v>
      </c>
      <c r="LJ15" s="5">
        <f t="shared" si="73"/>
        <v>6.8278499999999998</v>
      </c>
      <c r="LK15" s="5">
        <v>17.649999999999999</v>
      </c>
      <c r="LL15" s="5">
        <v>14.700200000000001</v>
      </c>
      <c r="LM15" s="80">
        <f t="shared" si="74"/>
        <v>16.1751</v>
      </c>
      <c r="LN15" s="77">
        <f t="shared" si="75"/>
        <v>-9.3472500000000007</v>
      </c>
      <c r="LO15" s="68">
        <v>1.0385</v>
      </c>
      <c r="LP15" s="5">
        <v>1.0306999999999999</v>
      </c>
      <c r="LQ15" s="5">
        <f t="shared" si="61"/>
        <v>1.0346</v>
      </c>
      <c r="LR15" s="5">
        <v>0.9294</v>
      </c>
      <c r="LS15" s="5">
        <v>0.94899999999999995</v>
      </c>
      <c r="LT15" s="80">
        <f t="shared" si="62"/>
        <v>0.93920000000000003</v>
      </c>
      <c r="LU15" s="77">
        <f t="shared" si="76"/>
        <v>9.5399999999999929E-2</v>
      </c>
      <c r="LV15" s="68">
        <v>0.34010000000000001</v>
      </c>
      <c r="LW15" s="5">
        <v>0.36530000000000001</v>
      </c>
      <c r="LX15" s="5">
        <f t="shared" si="63"/>
        <v>0.35270000000000001</v>
      </c>
      <c r="LY15" s="5">
        <v>0.50249999999999995</v>
      </c>
      <c r="LZ15" s="5">
        <v>0.51190000000000002</v>
      </c>
      <c r="MA15" s="80">
        <f t="shared" si="64"/>
        <v>0.50719999999999998</v>
      </c>
      <c r="MB15" s="77">
        <f t="shared" si="77"/>
        <v>-0.15449999999999997</v>
      </c>
      <c r="MD15" s="5">
        <v>-7.1444880209999999</v>
      </c>
      <c r="ME15" s="5">
        <v>1.0504301069999999</v>
      </c>
      <c r="MF15" s="5">
        <v>0.49872189989999999</v>
      </c>
      <c r="MG15" s="5">
        <v>1.466247241</v>
      </c>
      <c r="MH15" s="292">
        <v>1.211425822</v>
      </c>
      <c r="MI15" s="18">
        <v>-4.1567060470000001</v>
      </c>
      <c r="MJ15" s="18">
        <v>0.92444985769999999</v>
      </c>
      <c r="MK15" s="18">
        <v>1.1726799939999999</v>
      </c>
      <c r="ML15" s="18">
        <v>1.0329022210000001</v>
      </c>
      <c r="MM15" s="18">
        <v>1.8900219229999999</v>
      </c>
      <c r="MN15" s="18">
        <v>-4.1567060470000001</v>
      </c>
      <c r="MP15" s="285">
        <v>18</v>
      </c>
      <c r="MQ15" s="18">
        <v>0.48830000000000001</v>
      </c>
      <c r="MR15" s="18">
        <v>0.19439999999999999</v>
      </c>
      <c r="MS15" s="18">
        <v>0.5343</v>
      </c>
      <c r="MT15" s="18">
        <v>0.47460000000000002</v>
      </c>
      <c r="MU15" s="18">
        <v>-8.6E-3</v>
      </c>
      <c r="MV15" s="18">
        <v>0.1953</v>
      </c>
      <c r="MW15" s="18">
        <v>0.66959999999999997</v>
      </c>
      <c r="MX15" s="18">
        <v>2.9399999999999999E-2</v>
      </c>
      <c r="MY15" s="18">
        <v>-0.20849999999999999</v>
      </c>
    </row>
    <row r="16" spans="1:363" ht="16" x14ac:dyDescent="0.2">
      <c r="A16" s="3" t="s">
        <v>18</v>
      </c>
      <c r="B16" s="5">
        <v>0</v>
      </c>
      <c r="C16" s="5">
        <v>8</v>
      </c>
      <c r="D16" s="5">
        <v>27</v>
      </c>
      <c r="E16" s="5">
        <v>18</v>
      </c>
      <c r="F16" s="5">
        <v>41</v>
      </c>
      <c r="G16" s="18">
        <v>33</v>
      </c>
      <c r="H16" s="24">
        <v>88</v>
      </c>
      <c r="I16" s="5">
        <v>15</v>
      </c>
      <c r="J16" s="5">
        <v>104</v>
      </c>
      <c r="K16" s="5">
        <v>127</v>
      </c>
      <c r="L16" s="5">
        <v>106</v>
      </c>
      <c r="M16" s="5">
        <v>58</v>
      </c>
      <c r="N16" s="5">
        <v>89</v>
      </c>
      <c r="O16" s="5">
        <v>13</v>
      </c>
      <c r="P16" s="5">
        <v>-8</v>
      </c>
      <c r="Q16" s="5">
        <v>3</v>
      </c>
      <c r="R16" s="5">
        <v>-12</v>
      </c>
      <c r="S16" s="5">
        <v>9</v>
      </c>
      <c r="T16" s="18">
        <v>4</v>
      </c>
      <c r="U16" s="5">
        <v>12</v>
      </c>
      <c r="V16" s="5">
        <v>10</v>
      </c>
      <c r="W16" s="5">
        <v>5</v>
      </c>
      <c r="X16" s="5">
        <v>-7</v>
      </c>
      <c r="Y16" s="5">
        <v>8</v>
      </c>
      <c r="Z16" s="92">
        <v>5.7188526315789792E-3</v>
      </c>
      <c r="AA16" s="88">
        <v>18.5</v>
      </c>
      <c r="AB16" s="68">
        <v>107</v>
      </c>
      <c r="AC16" s="5">
        <v>97</v>
      </c>
      <c r="AD16" s="5">
        <v>118</v>
      </c>
      <c r="AE16" s="80">
        <v>107</v>
      </c>
      <c r="AF16" s="179">
        <v>-8</v>
      </c>
      <c r="AG16" s="154">
        <v>1</v>
      </c>
      <c r="AH16" s="154">
        <v>-4</v>
      </c>
      <c r="AI16" s="154">
        <v>-3</v>
      </c>
      <c r="AJ16" s="68">
        <v>99</v>
      </c>
      <c r="AK16" s="5">
        <v>98</v>
      </c>
      <c r="AL16" s="5">
        <v>114</v>
      </c>
      <c r="AM16" s="80">
        <v>104</v>
      </c>
      <c r="AN16" s="68">
        <v>107</v>
      </c>
      <c r="AO16" s="5">
        <v>97</v>
      </c>
      <c r="AP16" s="5">
        <v>118</v>
      </c>
      <c r="AQ16" s="80">
        <v>107</v>
      </c>
      <c r="AR16" s="68">
        <v>99</v>
      </c>
      <c r="AS16" s="5">
        <v>98</v>
      </c>
      <c r="AT16" s="5">
        <v>114</v>
      </c>
      <c r="AU16" s="80">
        <v>104</v>
      </c>
      <c r="AV16" s="179">
        <f t="shared" si="0"/>
        <v>-8</v>
      </c>
      <c r="AW16" s="154">
        <f t="shared" si="1"/>
        <v>1</v>
      </c>
      <c r="AX16" s="154">
        <f t="shared" si="2"/>
        <v>-4</v>
      </c>
      <c r="AY16" s="185">
        <f t="shared" si="3"/>
        <v>-3</v>
      </c>
      <c r="AZ16" s="9">
        <v>1.1028037383177569</v>
      </c>
      <c r="BA16" s="77">
        <v>-4.8711413197394693E-2</v>
      </c>
      <c r="BB16" s="18">
        <v>0.90654205607476634</v>
      </c>
      <c r="BC16" s="77">
        <v>-8.33569338242236E-2</v>
      </c>
      <c r="BD16" s="154">
        <v>1</v>
      </c>
      <c r="BE16" s="144">
        <v>0.94</v>
      </c>
      <c r="BF16" s="5">
        <v>3</v>
      </c>
      <c r="BG16" s="5">
        <v>-8</v>
      </c>
      <c r="BK16" s="18" t="s">
        <v>18</v>
      </c>
      <c r="BL16" s="18">
        <v>-1</v>
      </c>
      <c r="BM16" s="18">
        <v>-2</v>
      </c>
      <c r="BN16" s="18">
        <v>-1</v>
      </c>
      <c r="BO16" s="18" t="s">
        <v>464</v>
      </c>
      <c r="BP16" s="18">
        <v>-2</v>
      </c>
      <c r="BQ16" s="138" t="s">
        <v>492</v>
      </c>
      <c r="BR16" s="138">
        <v>-9.5479527085217599E-27</v>
      </c>
      <c r="BS16" s="138" t="s">
        <v>493</v>
      </c>
      <c r="BT16" s="138">
        <v>-6.1842943333621997E-27</v>
      </c>
      <c r="BU16" s="138">
        <f>AVERAGE(BR16,BT16)</f>
        <v>-7.8661235209419795E-27</v>
      </c>
      <c r="BW16" s="18">
        <v>0.98</v>
      </c>
      <c r="BX16" s="18">
        <v>0</v>
      </c>
      <c r="BY16" s="18">
        <f t="shared" si="5"/>
        <v>0.98</v>
      </c>
      <c r="BZ16" s="3">
        <v>0.37200000000000005</v>
      </c>
      <c r="CA16" s="18">
        <v>0.25666666666666665</v>
      </c>
      <c r="CB16" s="18">
        <v>0.35000000000000003</v>
      </c>
      <c r="CC16" s="18">
        <v>0.30333333333333329</v>
      </c>
      <c r="CD16" s="18">
        <v>0.46666666666666662</v>
      </c>
      <c r="CE16" s="18">
        <v>0.48999999999999994</v>
      </c>
      <c r="CF16" s="18">
        <v>0.22166666666666668</v>
      </c>
      <c r="CG16" s="18">
        <v>0.96333333333333337</v>
      </c>
      <c r="CH16" s="18">
        <v>1</v>
      </c>
      <c r="CI16" s="18">
        <v>1</v>
      </c>
      <c r="CJ16" s="18">
        <v>0.92666666666666664</v>
      </c>
      <c r="CK16" s="296" t="s">
        <v>537</v>
      </c>
      <c r="CL16" s="18">
        <v>2.4828542040000001</v>
      </c>
      <c r="CM16" s="18">
        <v>-4.8432809280000004</v>
      </c>
      <c r="CN16" s="18">
        <v>-0.39722959629999999</v>
      </c>
      <c r="CO16" s="18">
        <v>-0.29031800009999997</v>
      </c>
      <c r="CP16" s="18">
        <v>-0.25623491679999999</v>
      </c>
      <c r="CQ16" s="18">
        <v>-0.82528387999999997</v>
      </c>
      <c r="CR16" s="18">
        <v>-0.2251880869</v>
      </c>
      <c r="CS16" s="18">
        <v>-0.1112616293</v>
      </c>
      <c r="CT16" s="18">
        <v>-0.54346753859999997</v>
      </c>
      <c r="CZ16" s="296" t="s">
        <v>537</v>
      </c>
      <c r="DA16" s="68">
        <v>11.66663857</v>
      </c>
      <c r="DB16" s="5">
        <v>14.43422086</v>
      </c>
      <c r="DC16" s="5">
        <v>16.559401170000001</v>
      </c>
      <c r="DD16" s="80">
        <f t="shared" si="6"/>
        <v>14.11301987</v>
      </c>
      <c r="DE16" s="68">
        <v>9.4100835669999991</v>
      </c>
      <c r="DF16" s="5">
        <v>9.8063255609999995</v>
      </c>
      <c r="DG16" s="5">
        <v>9.5482687310000003</v>
      </c>
      <c r="DH16" s="80">
        <f t="shared" si="7"/>
        <v>9.4791761490000006</v>
      </c>
      <c r="DI16" s="151">
        <f t="shared" si="8"/>
        <v>-2.2565550030000008</v>
      </c>
      <c r="DJ16" s="24">
        <f t="shared" si="9"/>
        <v>-4.6278952990000004</v>
      </c>
      <c r="DK16" s="294">
        <f t="shared" si="10"/>
        <v>-7.0111324390000007</v>
      </c>
      <c r="DL16" s="244">
        <f t="shared" si="11"/>
        <v>-4.6338437209999999</v>
      </c>
      <c r="DM16" s="297" t="s">
        <v>537</v>
      </c>
      <c r="DN16" s="68">
        <v>4.3731607950000004</v>
      </c>
      <c r="DO16" s="5">
        <v>4.5552137779999997</v>
      </c>
      <c r="DP16" s="5">
        <v>4.851935675</v>
      </c>
      <c r="DQ16" s="3">
        <f t="shared" si="12"/>
        <v>4.6125482350000002</v>
      </c>
      <c r="DR16" s="68">
        <v>4.9944964030000003</v>
      </c>
      <c r="DS16" s="5">
        <v>4.4875176760000004</v>
      </c>
      <c r="DT16" s="5">
        <v>5.7322021559999996</v>
      </c>
      <c r="DU16" s="3">
        <f t="shared" si="13"/>
        <v>5.3633492794999995</v>
      </c>
      <c r="DV16" s="24">
        <f t="shared" si="14"/>
        <v>0.62133560799999987</v>
      </c>
      <c r="DW16" s="24">
        <f t="shared" si="15"/>
        <v>-6.7696101999999314E-2</v>
      </c>
      <c r="DX16" s="24">
        <f t="shared" si="16"/>
        <v>0.8802664809999996</v>
      </c>
      <c r="DY16" s="188">
        <f t="shared" si="17"/>
        <v>0.75080104449999929</v>
      </c>
      <c r="DZ16" s="297" t="s">
        <v>537</v>
      </c>
      <c r="EA16" s="18">
        <v>26.215618509999999</v>
      </c>
      <c r="EB16" s="18">
        <v>33.648569680000001</v>
      </c>
      <c r="EC16" s="18">
        <v>7.6932284849999997</v>
      </c>
      <c r="ED16" s="3">
        <f t="shared" si="18"/>
        <v>16.954423497499999</v>
      </c>
      <c r="EE16" s="18">
        <v>5.6682492299999998</v>
      </c>
      <c r="EF16" s="18">
        <v>5.4094926149999996</v>
      </c>
      <c r="EG16" s="18">
        <v>5.6699870130000001</v>
      </c>
      <c r="EH16" s="3">
        <f t="shared" si="19"/>
        <v>5.6691181215000004</v>
      </c>
      <c r="EI16" s="24">
        <f t="shared" si="20"/>
        <v>-20.547369279999998</v>
      </c>
      <c r="EJ16" s="24">
        <f t="shared" si="21"/>
        <v>-28.239077065000004</v>
      </c>
      <c r="EK16" s="24">
        <f t="shared" si="22"/>
        <v>-2.0232414719999996</v>
      </c>
      <c r="EL16" s="188">
        <f t="shared" si="23"/>
        <v>-11.285305375999998</v>
      </c>
      <c r="EM16" s="297" t="s">
        <v>537</v>
      </c>
      <c r="EN16" s="151" t="s">
        <v>492</v>
      </c>
      <c r="EO16" s="244">
        <v>19.182420940002299</v>
      </c>
      <c r="EP16" s="151" t="s">
        <v>493</v>
      </c>
      <c r="EQ16" s="244">
        <v>21.0115488131744</v>
      </c>
      <c r="ER16" s="244">
        <f>AVERAGE(EO16,EQ16)</f>
        <v>20.096984876588351</v>
      </c>
      <c r="ES16" s="18">
        <v>3</v>
      </c>
      <c r="ET16" s="18">
        <v>15</v>
      </c>
      <c r="EU16" s="18">
        <v>17</v>
      </c>
      <c r="EV16" s="18">
        <v>0</v>
      </c>
      <c r="EW16" s="18">
        <v>4</v>
      </c>
      <c r="EX16" s="18">
        <v>1</v>
      </c>
      <c r="EY16" s="18">
        <v>40</v>
      </c>
      <c r="EZ16" s="5">
        <v>-4.8432809280000004</v>
      </c>
      <c r="FA16" s="18">
        <v>-29.784019266137442</v>
      </c>
      <c r="FB16" s="310">
        <v>19</v>
      </c>
      <c r="FC16" s="5">
        <v>18</v>
      </c>
      <c r="FD16" s="18">
        <v>33</v>
      </c>
      <c r="FE16" s="340">
        <v>18.5</v>
      </c>
      <c r="FF16" s="18">
        <v>0.37200000000000005</v>
      </c>
      <c r="FG16" s="18">
        <v>0.25666666666666665</v>
      </c>
      <c r="FH16" s="18">
        <v>0.31333333353200005</v>
      </c>
      <c r="FI16" s="18">
        <v>0.30333333333333329</v>
      </c>
      <c r="FJ16" s="18">
        <v>0.46666666666666662</v>
      </c>
      <c r="FK16" s="18">
        <v>0.48999999999999994</v>
      </c>
      <c r="FL16" s="18">
        <v>0.22166666666666668</v>
      </c>
      <c r="FM16" s="18">
        <v>0.96333333333333337</v>
      </c>
      <c r="FN16" s="18">
        <v>1</v>
      </c>
      <c r="FO16" s="18">
        <v>1</v>
      </c>
      <c r="FP16" s="18">
        <v>0.92666666666666664</v>
      </c>
      <c r="FQ16" s="322">
        <v>3</v>
      </c>
      <c r="FR16" s="5">
        <v>12</v>
      </c>
      <c r="FS16" s="5">
        <v>8</v>
      </c>
      <c r="FT16" s="5">
        <v>-4.8432809280000004</v>
      </c>
      <c r="FU16" s="18">
        <v>3</v>
      </c>
      <c r="FV16" s="18">
        <v>15</v>
      </c>
      <c r="FW16" s="18">
        <v>17</v>
      </c>
      <c r="FX16" s="18">
        <v>0</v>
      </c>
      <c r="FY16" s="18">
        <v>4</v>
      </c>
      <c r="FZ16" s="18">
        <v>1</v>
      </c>
      <c r="GA16" s="18">
        <v>40</v>
      </c>
      <c r="GC16" s="5">
        <v>104</v>
      </c>
      <c r="GD16" s="5">
        <v>127</v>
      </c>
      <c r="GE16" s="5">
        <v>106</v>
      </c>
      <c r="GF16" s="5">
        <v>58</v>
      </c>
      <c r="GG16" s="5">
        <v>89</v>
      </c>
      <c r="GH16" s="144">
        <v>0.94</v>
      </c>
      <c r="GI16" s="68">
        <v>96.25</v>
      </c>
      <c r="GJ16" s="5">
        <v>78.217299999999994</v>
      </c>
      <c r="GK16" s="5">
        <f t="shared" si="25"/>
        <v>18.032700000000006</v>
      </c>
      <c r="GL16" s="5">
        <f t="shared" si="26"/>
        <v>1.2305461835169458</v>
      </c>
      <c r="GM16" s="80">
        <f t="shared" si="27"/>
        <v>9.0097917811414893E-2</v>
      </c>
      <c r="GN16" s="68">
        <v>74.531999999999996</v>
      </c>
      <c r="GO16" s="5">
        <v>75.663300000000007</v>
      </c>
      <c r="GP16" s="5">
        <f t="shared" si="28"/>
        <v>-1.1313000000000102</v>
      </c>
      <c r="GQ16" s="80">
        <f t="shared" si="29"/>
        <v>0.98504823342360148</v>
      </c>
      <c r="GR16" s="68">
        <v>84.143199999999993</v>
      </c>
      <c r="GS16" s="5">
        <v>84.613799999999998</v>
      </c>
      <c r="GT16" s="5">
        <f t="shared" si="30"/>
        <v>-0.47060000000000457</v>
      </c>
      <c r="GU16" s="80">
        <f t="shared" si="31"/>
        <v>0.99443825948013198</v>
      </c>
      <c r="GV16" s="68">
        <v>48.055500000000002</v>
      </c>
      <c r="GW16" s="5">
        <v>53.511800000000001</v>
      </c>
      <c r="GX16" s="5">
        <f t="shared" si="32"/>
        <v>-5.4562999999999988</v>
      </c>
      <c r="GY16" s="80">
        <f t="shared" si="33"/>
        <v>0.89803557346230178</v>
      </c>
      <c r="GZ16" s="68">
        <v>136.88200000000001</v>
      </c>
      <c r="HA16" s="5">
        <v>92.906000000000006</v>
      </c>
      <c r="HB16" s="5">
        <f t="shared" si="34"/>
        <v>43.975999999999999</v>
      </c>
      <c r="HC16" s="80">
        <f t="shared" si="35"/>
        <v>1.4733386433599551</v>
      </c>
      <c r="HD16" s="68">
        <v>64.930300000000003</v>
      </c>
      <c r="HE16" s="5">
        <v>59.137300000000003</v>
      </c>
      <c r="HF16" s="5">
        <f t="shared" si="36"/>
        <v>5.7929999999999993</v>
      </c>
      <c r="HG16" s="80">
        <f t="shared" si="37"/>
        <v>1.0979584796735731</v>
      </c>
      <c r="HH16" s="68">
        <v>66.112300000000005</v>
      </c>
      <c r="HI16" s="5">
        <v>56.940800000000003</v>
      </c>
      <c r="HJ16" s="5">
        <f t="shared" si="38"/>
        <v>9.1715000000000018</v>
      </c>
      <c r="HK16" s="80">
        <f t="shared" si="39"/>
        <v>1.1610707963358435</v>
      </c>
      <c r="HL16" s="68">
        <v>58.527500000000003</v>
      </c>
      <c r="HM16" s="5">
        <v>53.664200000000001</v>
      </c>
      <c r="HN16" s="5">
        <f t="shared" si="40"/>
        <v>4.8633000000000024</v>
      </c>
      <c r="HO16" s="80">
        <f t="shared" si="41"/>
        <v>1.090624662251557</v>
      </c>
      <c r="HP16" s="68">
        <v>47.276699999999998</v>
      </c>
      <c r="HQ16" s="5">
        <v>44.889800000000001</v>
      </c>
      <c r="HR16" s="5">
        <f t="shared" si="42"/>
        <v>2.3868999999999971</v>
      </c>
      <c r="HS16" s="80">
        <f t="shared" si="43"/>
        <v>1.0531724356089802</v>
      </c>
      <c r="HT16" s="68">
        <v>42.258400000000002</v>
      </c>
      <c r="HU16" s="5">
        <v>46.477499999999999</v>
      </c>
      <c r="HV16" s="5">
        <f t="shared" si="44"/>
        <v>-4.2190999999999974</v>
      </c>
      <c r="HW16" s="80">
        <f t="shared" si="45"/>
        <v>0.90922274218707977</v>
      </c>
      <c r="HX16" s="68">
        <v>66.638199999999998</v>
      </c>
      <c r="HY16" s="5">
        <v>54.582000000000001</v>
      </c>
      <c r="HZ16" s="5">
        <f t="shared" si="46"/>
        <v>12.056199999999997</v>
      </c>
      <c r="IA16" s="80">
        <f t="shared" si="47"/>
        <v>1.2208823421640833</v>
      </c>
      <c r="IB16" s="68">
        <v>93.421300000000002</v>
      </c>
      <c r="IC16" s="5">
        <v>68.029300000000006</v>
      </c>
      <c r="ID16" s="5">
        <f t="shared" si="48"/>
        <v>25.391999999999996</v>
      </c>
      <c r="IE16" s="5">
        <f t="shared" si="49"/>
        <v>1.3732509374637103</v>
      </c>
      <c r="IF16" s="68">
        <v>47.841500000000003</v>
      </c>
      <c r="IG16" s="5">
        <v>53.352499999999999</v>
      </c>
      <c r="IH16" s="5">
        <f t="shared" si="50"/>
        <v>-5.5109999999999957</v>
      </c>
      <c r="II16" s="80">
        <f t="shared" si="51"/>
        <v>0.8967058713274918</v>
      </c>
      <c r="IJ16" s="68">
        <v>60.413499999999999</v>
      </c>
      <c r="IK16" s="5">
        <v>49.149900000000002</v>
      </c>
      <c r="IL16" s="5">
        <f t="shared" si="52"/>
        <v>11.263599999999997</v>
      </c>
      <c r="IM16" s="80">
        <f t="shared" si="53"/>
        <v>1.2291683197727767</v>
      </c>
      <c r="IN16" s="68">
        <v>67.734700000000004</v>
      </c>
      <c r="IO16" s="5">
        <v>54.532299999999999</v>
      </c>
      <c r="IP16" s="5">
        <f t="shared" si="54"/>
        <v>13.202400000000004</v>
      </c>
      <c r="IQ16" s="5">
        <f t="shared" si="55"/>
        <v>1.2421023870256711</v>
      </c>
      <c r="IR16" s="80">
        <f t="shared" si="56"/>
        <v>0.16830257986321107</v>
      </c>
      <c r="IS16" s="18">
        <v>20.096984876588351</v>
      </c>
      <c r="IT16" s="18">
        <f>IS16/100</f>
        <v>0.2009698487658835</v>
      </c>
      <c r="IV16" s="336" t="s">
        <v>605</v>
      </c>
      <c r="IW16" s="18">
        <v>0.44796232515779399</v>
      </c>
      <c r="IX16" s="18">
        <f>1-IW16</f>
        <v>0.55203767484220601</v>
      </c>
      <c r="IY16" s="336" t="s">
        <v>605</v>
      </c>
      <c r="IZ16" s="18">
        <v>0.28631265039656201</v>
      </c>
      <c r="JB16" s="336" t="s">
        <v>605</v>
      </c>
      <c r="JC16" s="18">
        <v>0.176825948678836</v>
      </c>
      <c r="JD16" s="18">
        <f>1-JC16</f>
        <v>0.82317405132116406</v>
      </c>
      <c r="JE16" s="336" t="s">
        <v>605</v>
      </c>
      <c r="JF16" s="18">
        <v>0.60241614212663896</v>
      </c>
      <c r="JI16" s="336" t="s">
        <v>605</v>
      </c>
      <c r="JJ16" s="18">
        <v>0.43533691058215102</v>
      </c>
      <c r="JL16" s="336" t="s">
        <v>605</v>
      </c>
      <c r="JM16" s="18">
        <v>0.33849860050182201</v>
      </c>
      <c r="JO16" s="336" t="s">
        <v>605</v>
      </c>
      <c r="JP16" s="18">
        <v>0.199369558979761</v>
      </c>
      <c r="JR16" s="336" t="s">
        <v>605</v>
      </c>
      <c r="JS16" s="18">
        <v>0.47804415016652202</v>
      </c>
      <c r="JT16" s="68" t="s">
        <v>537</v>
      </c>
      <c r="JU16" s="347">
        <v>3.04E-2</v>
      </c>
      <c r="JV16" s="347">
        <v>4.2599999999999999E-2</v>
      </c>
      <c r="JW16" s="347">
        <f t="shared" si="65"/>
        <v>3.6499999999999998E-2</v>
      </c>
      <c r="JX16" s="348">
        <v>9.0300000000000005E-2</v>
      </c>
      <c r="JY16" s="348">
        <v>5.9799999999999999E-2</v>
      </c>
      <c r="JZ16" s="348">
        <f t="shared" si="66"/>
        <v>7.5050000000000006E-2</v>
      </c>
      <c r="KA16" s="347">
        <f t="shared" si="67"/>
        <v>3.8550000000000008E-2</v>
      </c>
      <c r="KB16" s="347">
        <f t="shared" si="68"/>
        <v>2.0561643835616441</v>
      </c>
      <c r="KC16" s="354">
        <f t="shared" si="78"/>
        <v>5.9341643835616438</v>
      </c>
      <c r="KD16" s="18">
        <f t="shared" si="69"/>
        <v>0.77335957263214106</v>
      </c>
      <c r="KE16" s="18">
        <v>0.77335957263214106</v>
      </c>
      <c r="KF16" s="340">
        <v>18.5</v>
      </c>
      <c r="KG16" s="18">
        <v>0.37200000000000005</v>
      </c>
      <c r="KH16" s="18">
        <v>0.25666666666666665</v>
      </c>
      <c r="KI16" s="18">
        <v>0.31333333353200005</v>
      </c>
      <c r="KJ16" s="18">
        <v>0.30333333333333329</v>
      </c>
      <c r="KK16" s="18">
        <v>0.46666666666666662</v>
      </c>
      <c r="KL16" s="18">
        <v>0.48999999999999994</v>
      </c>
      <c r="KM16" s="18">
        <v>0.22166666666666668</v>
      </c>
      <c r="KN16" s="18">
        <v>0.96333333333333337</v>
      </c>
      <c r="KO16" s="18">
        <v>1</v>
      </c>
      <c r="KP16" s="18">
        <v>1</v>
      </c>
      <c r="KQ16" s="18">
        <v>0.92666666666666664</v>
      </c>
      <c r="KR16" s="358" t="s">
        <v>641</v>
      </c>
      <c r="KS16" s="358">
        <v>18.5</v>
      </c>
      <c r="KT16" s="358">
        <v>18.5</v>
      </c>
      <c r="KU16" s="358">
        <v>18.5</v>
      </c>
      <c r="KV16" s="358">
        <v>17.5</v>
      </c>
      <c r="KW16" s="358">
        <v>16.5</v>
      </c>
      <c r="KX16" s="358">
        <v>16.5</v>
      </c>
      <c r="KY16" s="144">
        <v>0.94</v>
      </c>
      <c r="KZ16" s="158" t="s">
        <v>537</v>
      </c>
      <c r="LA16" s="68">
        <v>0.47389999999999999</v>
      </c>
      <c r="LB16" s="5">
        <v>0.47939999999999999</v>
      </c>
      <c r="LC16" s="5">
        <f t="shared" si="70"/>
        <v>0.47665000000000002</v>
      </c>
      <c r="LD16" s="5">
        <v>0.53090000000000004</v>
      </c>
      <c r="LE16" s="5">
        <v>0.52629999999999999</v>
      </c>
      <c r="LF16" s="80">
        <f t="shared" si="71"/>
        <v>0.52859999999999996</v>
      </c>
      <c r="LG16" s="77">
        <f t="shared" si="72"/>
        <v>-5.1949999999999941E-2</v>
      </c>
      <c r="LH16" s="68">
        <v>7.5693999999999999</v>
      </c>
      <c r="LI16" s="5">
        <v>9.0744000000000007</v>
      </c>
      <c r="LJ16" s="5">
        <f t="shared" si="73"/>
        <v>8.3218999999999994</v>
      </c>
      <c r="LK16" s="5">
        <v>14.7941</v>
      </c>
      <c r="LL16" s="5">
        <v>14.2841</v>
      </c>
      <c r="LM16" s="80">
        <f t="shared" si="74"/>
        <v>14.539100000000001</v>
      </c>
      <c r="LN16" s="77">
        <f t="shared" si="75"/>
        <v>-6.2172000000000018</v>
      </c>
      <c r="LO16" s="68">
        <v>1.06</v>
      </c>
      <c r="LP16" s="5">
        <v>1.0311999999999999</v>
      </c>
      <c r="LQ16" s="5">
        <f t="shared" si="61"/>
        <v>1.0455999999999999</v>
      </c>
      <c r="LR16" s="5">
        <v>0.94730000000000003</v>
      </c>
      <c r="LS16" s="5">
        <v>0.9597</v>
      </c>
      <c r="LT16" s="80">
        <f t="shared" si="62"/>
        <v>0.95350000000000001</v>
      </c>
      <c r="LU16" s="77">
        <f t="shared" si="76"/>
        <v>9.2099999999999849E-2</v>
      </c>
      <c r="LV16" s="68">
        <v>0.23980000000000001</v>
      </c>
      <c r="LW16" s="5">
        <v>0.28179999999999999</v>
      </c>
      <c r="LX16" s="5">
        <f t="shared" si="63"/>
        <v>0.26080000000000003</v>
      </c>
      <c r="LY16" s="5">
        <v>0.37430000000000002</v>
      </c>
      <c r="LZ16" s="5">
        <v>0.38840000000000002</v>
      </c>
      <c r="MA16" s="80">
        <f t="shared" si="64"/>
        <v>0.38135000000000002</v>
      </c>
      <c r="MB16" s="77">
        <f t="shared" si="77"/>
        <v>-0.12054999999999999</v>
      </c>
      <c r="MD16" s="5">
        <v>-1.5982152970000001</v>
      </c>
      <c r="ME16" s="5">
        <v>1.8016283500000001</v>
      </c>
      <c r="MF16" s="5">
        <v>-0.53966555849999998</v>
      </c>
      <c r="MG16" s="5">
        <v>1.579680585</v>
      </c>
      <c r="MH16" s="292">
        <v>1.3049201159999999</v>
      </c>
      <c r="MI16" s="18">
        <v>-4.8432809280000004</v>
      </c>
      <c r="MJ16" s="18">
        <v>1.534404648</v>
      </c>
      <c r="MK16" s="18">
        <v>1.3942105890000001</v>
      </c>
      <c r="ML16" s="18">
        <v>1.4731535149999999</v>
      </c>
      <c r="MM16" s="18">
        <v>2.4828542040000001</v>
      </c>
      <c r="MN16" s="18">
        <v>-4.8432809280000004</v>
      </c>
      <c r="MP16" s="296">
        <v>19</v>
      </c>
      <c r="MQ16" s="18">
        <v>-0.19170000000000001</v>
      </c>
      <c r="MR16" s="18">
        <v>0.21879999999999999</v>
      </c>
      <c r="MS16" s="18">
        <v>0.48470000000000002</v>
      </c>
      <c r="MT16" s="18">
        <v>0.1908</v>
      </c>
      <c r="MU16" s="18">
        <v>0.55840000000000001</v>
      </c>
      <c r="MV16" s="18">
        <v>-3.61E-2</v>
      </c>
      <c r="MW16" s="18">
        <v>0.38100000000000001</v>
      </c>
      <c r="MX16" s="18">
        <v>0.37109999999999999</v>
      </c>
      <c r="MY16" s="18">
        <v>-0.91969999999999996</v>
      </c>
    </row>
    <row r="17" spans="1:363" ht="17" thickBot="1" x14ac:dyDescent="0.25">
      <c r="A17" s="3" t="s">
        <v>19</v>
      </c>
      <c r="B17" s="5">
        <v>1</v>
      </c>
      <c r="C17" s="5">
        <v>5</v>
      </c>
      <c r="D17" s="5">
        <v>29</v>
      </c>
      <c r="E17" s="5">
        <v>65</v>
      </c>
      <c r="F17" s="5">
        <v>39</v>
      </c>
      <c r="G17" s="18">
        <v>41</v>
      </c>
      <c r="H17" s="24">
        <v>120</v>
      </c>
      <c r="I17" s="5">
        <v>17</v>
      </c>
      <c r="J17" s="5">
        <v>115</v>
      </c>
      <c r="K17" s="5">
        <v>148</v>
      </c>
      <c r="L17" s="5">
        <v>126</v>
      </c>
      <c r="M17" s="5">
        <v>53</v>
      </c>
      <c r="N17" s="5">
        <v>132</v>
      </c>
      <c r="O17" s="5">
        <v>3.5</v>
      </c>
      <c r="P17" s="5">
        <v>-5</v>
      </c>
      <c r="Q17" s="5">
        <v>3</v>
      </c>
      <c r="R17" s="5">
        <v>-14</v>
      </c>
      <c r="S17" s="5">
        <v>13</v>
      </c>
      <c r="T17" s="5">
        <v>8</v>
      </c>
      <c r="U17" s="5">
        <v>14</v>
      </c>
      <c r="V17" s="5">
        <v>-18</v>
      </c>
      <c r="W17" s="5">
        <v>-13</v>
      </c>
      <c r="X17" s="5">
        <v>11</v>
      </c>
      <c r="Y17" s="5">
        <v>5</v>
      </c>
      <c r="Z17" s="92">
        <v>-4.0302947368421001E-2</v>
      </c>
      <c r="AA17" s="88">
        <v>15.5</v>
      </c>
      <c r="AB17" s="68">
        <v>97</v>
      </c>
      <c r="AC17" s="5">
        <v>98</v>
      </c>
      <c r="AD17" s="5">
        <v>112</v>
      </c>
      <c r="AE17" s="80">
        <v>102</v>
      </c>
      <c r="AF17" s="179">
        <v>3</v>
      </c>
      <c r="AG17" s="154">
        <v>0</v>
      </c>
      <c r="AH17" s="154">
        <v>-4</v>
      </c>
      <c r="AI17" s="154">
        <v>0</v>
      </c>
      <c r="AJ17" s="68">
        <v>100</v>
      </c>
      <c r="AK17" s="5">
        <v>98</v>
      </c>
      <c r="AL17" s="5">
        <v>108</v>
      </c>
      <c r="AM17" s="80">
        <v>102</v>
      </c>
      <c r="AN17" s="68">
        <v>97</v>
      </c>
      <c r="AO17" s="5">
        <v>98</v>
      </c>
      <c r="AP17" s="5">
        <v>112</v>
      </c>
      <c r="AQ17" s="80">
        <v>102</v>
      </c>
      <c r="AR17" s="68">
        <v>100</v>
      </c>
      <c r="AS17" s="5">
        <v>98</v>
      </c>
      <c r="AT17" s="5">
        <v>108</v>
      </c>
      <c r="AU17" s="80">
        <v>102</v>
      </c>
      <c r="AV17" s="179">
        <f t="shared" si="0"/>
        <v>3</v>
      </c>
      <c r="AW17" s="154">
        <f t="shared" si="1"/>
        <v>0</v>
      </c>
      <c r="AX17" s="154">
        <f t="shared" si="2"/>
        <v>-4</v>
      </c>
      <c r="AY17" s="185">
        <f t="shared" si="3"/>
        <v>0</v>
      </c>
      <c r="AZ17" s="9">
        <v>1.1546391752577319</v>
      </c>
      <c r="BA17" s="77">
        <v>7.4639175257731782E-2</v>
      </c>
      <c r="BB17" s="18">
        <v>1.0103092783505154</v>
      </c>
      <c r="BC17" s="77">
        <v>3.0309278350515445E-2</v>
      </c>
      <c r="BD17" s="154">
        <v>0.88999998569500005</v>
      </c>
      <c r="BE17" s="144">
        <v>0.58999997377400004</v>
      </c>
      <c r="BF17" s="5">
        <v>3</v>
      </c>
      <c r="BG17" s="5">
        <v>-5</v>
      </c>
      <c r="BK17" s="18" t="s">
        <v>19</v>
      </c>
      <c r="BL17" s="18">
        <v>-5</v>
      </c>
      <c r="BM17" s="18">
        <v>-5</v>
      </c>
      <c r="BN17" s="18">
        <v>-8</v>
      </c>
      <c r="BO17" s="18">
        <v>-9</v>
      </c>
      <c r="BP17" s="18">
        <v>-22</v>
      </c>
      <c r="BQ17" s="138" t="s">
        <v>494</v>
      </c>
      <c r="BR17" s="138">
        <v>-2.4215087851312799E-27</v>
      </c>
      <c r="BS17" s="138" t="s">
        <v>495</v>
      </c>
      <c r="BT17" s="138">
        <v>-2.0138982010566E-27</v>
      </c>
      <c r="BU17" s="138">
        <f>AVERAGE(BR17,BT17)</f>
        <v>-2.2177034930939399E-27</v>
      </c>
      <c r="BW17" s="18">
        <v>0.56999999284699998</v>
      </c>
      <c r="BX17" s="18">
        <v>2.99999993294E-2</v>
      </c>
      <c r="BY17" s="18">
        <f t="shared" si="5"/>
        <v>0.53999999351759997</v>
      </c>
      <c r="BZ17" s="3">
        <v>0.48000000119199998</v>
      </c>
      <c r="CA17" s="18">
        <v>0.48666666944833326</v>
      </c>
      <c r="CB17" s="18">
        <v>0.58999999364199995</v>
      </c>
      <c r="CC17" s="18">
        <v>0.5466666718326666</v>
      </c>
      <c r="CD17" s="18">
        <v>0.41999999682100003</v>
      </c>
      <c r="CE17" s="18">
        <v>0.37857142756035428</v>
      </c>
      <c r="CF17" s="18">
        <v>9.8333332066699988E-2</v>
      </c>
      <c r="CG17" s="18">
        <v>0.52000000079499997</v>
      </c>
      <c r="CH17" s="18">
        <v>0.4133333315453333</v>
      </c>
      <c r="CI17" s="18">
        <v>0.91666668653466665</v>
      </c>
      <c r="CJ17" s="18">
        <v>0.68000000715266662</v>
      </c>
      <c r="CK17" s="302" t="s">
        <v>538</v>
      </c>
      <c r="CL17" s="5">
        <v>0.89118661769999996</v>
      </c>
      <c r="CM17" s="5">
        <v>-3.2443840150000001</v>
      </c>
      <c r="CN17" s="5">
        <v>-0.38145985230000001</v>
      </c>
      <c r="CO17" s="5">
        <v>3.9731007719999998E-4</v>
      </c>
      <c r="CP17" s="5">
        <v>4.3821065079999999E-2</v>
      </c>
      <c r="CQ17" s="5">
        <v>-4.1918429829999999E-2</v>
      </c>
      <c r="CR17" s="5">
        <v>-0.13935687499999999</v>
      </c>
      <c r="CS17" s="5">
        <v>-7.0307903290000001E-2</v>
      </c>
      <c r="CT17" s="5">
        <v>1.096258074E-2</v>
      </c>
      <c r="CZ17" s="302" t="s">
        <v>538</v>
      </c>
      <c r="DA17" s="68">
        <v>22.808162400000001</v>
      </c>
      <c r="DB17" s="5">
        <v>25.804270349999999</v>
      </c>
      <c r="DC17" s="5">
        <v>20.811243390000001</v>
      </c>
      <c r="DD17" s="80">
        <f t="shared" si="6"/>
        <v>21.809702895000001</v>
      </c>
      <c r="DE17" s="68">
        <v>17.320772080000001</v>
      </c>
      <c r="DF17" s="5">
        <v>16.922087179999998</v>
      </c>
      <c r="DG17" s="5">
        <v>19.782613550000001</v>
      </c>
      <c r="DH17" s="80">
        <f t="shared" si="7"/>
        <v>18.551692815000003</v>
      </c>
      <c r="DI17" s="151">
        <f t="shared" si="8"/>
        <v>-5.4873903199999994</v>
      </c>
      <c r="DJ17" s="24">
        <f t="shared" si="9"/>
        <v>-8.8821831700000011</v>
      </c>
      <c r="DK17" s="294">
        <f t="shared" si="10"/>
        <v>-1.0286298400000007</v>
      </c>
      <c r="DL17" s="244">
        <f t="shared" si="11"/>
        <v>-3.2580100799999983</v>
      </c>
      <c r="DM17" s="303" t="s">
        <v>538</v>
      </c>
      <c r="DN17" s="68">
        <v>13.8431844</v>
      </c>
      <c r="DO17" s="5">
        <v>10.518221179999999</v>
      </c>
      <c r="DP17" s="5">
        <v>11.63398183</v>
      </c>
      <c r="DQ17" s="3">
        <f t="shared" si="12"/>
        <v>12.738583115000001</v>
      </c>
      <c r="DR17" s="68">
        <v>11.40620103</v>
      </c>
      <c r="DS17" s="5">
        <v>7.7425146910000002</v>
      </c>
      <c r="DT17" s="5">
        <v>6.7082883190000002</v>
      </c>
      <c r="DU17" s="3">
        <f t="shared" si="13"/>
        <v>9.0572446744999997</v>
      </c>
      <c r="DV17" s="24">
        <f t="shared" si="14"/>
        <v>-2.4369833700000001</v>
      </c>
      <c r="DW17" s="24">
        <f t="shared" si="15"/>
        <v>-2.7757064889999992</v>
      </c>
      <c r="DX17" s="24">
        <f t="shared" si="16"/>
        <v>-4.9256935109999995</v>
      </c>
      <c r="DY17" s="188">
        <f t="shared" si="17"/>
        <v>-3.6813384405000011</v>
      </c>
      <c r="DZ17" s="303" t="s">
        <v>538</v>
      </c>
      <c r="EA17" s="5">
        <v>7.3308301079999998</v>
      </c>
      <c r="EB17" s="5">
        <v>7.2743262580000003</v>
      </c>
      <c r="EC17" s="5">
        <v>6.7980196490000004</v>
      </c>
      <c r="ED17" s="3">
        <f t="shared" si="18"/>
        <v>7.0644248785000006</v>
      </c>
      <c r="EE17" s="5">
        <v>7.9150840569999996</v>
      </c>
      <c r="EF17" s="5">
        <v>7.9987494000000003</v>
      </c>
      <c r="EG17" s="5">
        <v>8.5536987940000007</v>
      </c>
      <c r="EH17" s="3">
        <f t="shared" si="19"/>
        <v>8.2343914255000001</v>
      </c>
      <c r="EI17" s="24">
        <f t="shared" si="20"/>
        <v>0.58425394899999983</v>
      </c>
      <c r="EJ17" s="24">
        <f t="shared" si="21"/>
        <v>0.72442314200000002</v>
      </c>
      <c r="EK17" s="24">
        <f t="shared" si="22"/>
        <v>1.7556791450000002</v>
      </c>
      <c r="EL17" s="188">
        <f t="shared" si="23"/>
        <v>1.1699665469999996</v>
      </c>
      <c r="EM17" s="303" t="s">
        <v>538</v>
      </c>
      <c r="EN17" s="151" t="s">
        <v>494</v>
      </c>
      <c r="EO17" s="244">
        <v>79.535345828256098</v>
      </c>
      <c r="EP17" s="151" t="s">
        <v>495</v>
      </c>
      <c r="EQ17" s="244">
        <v>82.701264871827206</v>
      </c>
      <c r="ER17" s="244">
        <f>AVERAGE(EO17,EQ17)</f>
        <v>81.118305350041652</v>
      </c>
      <c r="ES17" s="18">
        <v>6</v>
      </c>
      <c r="ET17" s="18">
        <v>11</v>
      </c>
      <c r="EU17" s="18">
        <v>14</v>
      </c>
      <c r="EV17" s="18">
        <v>-3</v>
      </c>
      <c r="EW17" s="18">
        <v>6</v>
      </c>
      <c r="EX17" s="18">
        <v>2</v>
      </c>
      <c r="EY17" s="18">
        <v>36</v>
      </c>
      <c r="EZ17" s="5">
        <v>-3.2443840150000001</v>
      </c>
      <c r="FA17" s="18">
        <v>-20.856505662224723</v>
      </c>
      <c r="FB17" s="310">
        <v>20</v>
      </c>
      <c r="FC17" s="5">
        <v>65</v>
      </c>
      <c r="FD17" s="18">
        <v>41</v>
      </c>
      <c r="FE17" s="340">
        <v>15.5</v>
      </c>
      <c r="FF17" s="18">
        <v>0.47800000119199998</v>
      </c>
      <c r="FG17" s="18">
        <v>0.4833333361149999</v>
      </c>
      <c r="FH17" s="18">
        <v>0.5733333273086666</v>
      </c>
      <c r="FI17" s="18">
        <v>0.53333333883266665</v>
      </c>
      <c r="FJ17" s="18">
        <v>0.34666666515433336</v>
      </c>
      <c r="FK17" s="18">
        <v>0.37285714198892572</v>
      </c>
      <c r="FL17" s="18">
        <v>9.8333332066699988E-2</v>
      </c>
      <c r="FM17" s="18">
        <v>0.51000000112833332</v>
      </c>
      <c r="FN17" s="18">
        <v>0.37666666487866662</v>
      </c>
      <c r="FO17" s="18">
        <v>0.91666668653466665</v>
      </c>
      <c r="FP17" s="18">
        <v>0.66333334081933326</v>
      </c>
      <c r="FQ17" s="322">
        <v>3</v>
      </c>
      <c r="FR17" s="5">
        <v>14</v>
      </c>
      <c r="FS17" s="5">
        <v>5</v>
      </c>
      <c r="FT17" s="5">
        <v>-3.2443840150000001</v>
      </c>
      <c r="FU17" s="18">
        <v>6</v>
      </c>
      <c r="FV17" s="18">
        <v>11</v>
      </c>
      <c r="FW17" s="18">
        <v>14</v>
      </c>
      <c r="FX17" s="18">
        <v>-3</v>
      </c>
      <c r="FY17" s="18">
        <v>6</v>
      </c>
      <c r="FZ17" s="18">
        <v>2</v>
      </c>
      <c r="GA17" s="18">
        <v>36</v>
      </c>
      <c r="GC17" s="5">
        <v>115</v>
      </c>
      <c r="GD17" s="5">
        <v>148</v>
      </c>
      <c r="GE17" s="5">
        <v>126</v>
      </c>
      <c r="GF17" s="5">
        <v>53</v>
      </c>
      <c r="GG17" s="5">
        <v>132</v>
      </c>
      <c r="GH17" s="144">
        <v>0.58999997377400004</v>
      </c>
      <c r="GI17" s="68">
        <v>86.590699999999998</v>
      </c>
      <c r="GJ17" s="5">
        <v>83.135000000000005</v>
      </c>
      <c r="GK17" s="5">
        <f t="shared" si="25"/>
        <v>3.4556999999999931</v>
      </c>
      <c r="GL17" s="5">
        <f t="shared" si="26"/>
        <v>1.0415673302459854</v>
      </c>
      <c r="GM17" s="80">
        <f t="shared" si="27"/>
        <v>1.7687349376568663E-2</v>
      </c>
      <c r="GN17" s="68">
        <v>77.093800000000002</v>
      </c>
      <c r="GO17" s="5">
        <v>75.493799999999993</v>
      </c>
      <c r="GP17" s="5">
        <f t="shared" si="28"/>
        <v>1.6000000000000085</v>
      </c>
      <c r="GQ17" s="80">
        <f t="shared" si="29"/>
        <v>1.0211937933976036</v>
      </c>
      <c r="GR17" s="68">
        <v>90.555999999999997</v>
      </c>
      <c r="GS17" s="5">
        <v>85.713999999999999</v>
      </c>
      <c r="GT17" s="5">
        <f t="shared" si="30"/>
        <v>4.8419999999999987</v>
      </c>
      <c r="GU17" s="80">
        <f t="shared" si="31"/>
        <v>1.0564901883006277</v>
      </c>
      <c r="GV17" s="68">
        <v>28.489899999999999</v>
      </c>
      <c r="GW17" s="5">
        <v>54.240299999999998</v>
      </c>
      <c r="GX17" s="5">
        <f t="shared" si="32"/>
        <v>-25.750399999999999</v>
      </c>
      <c r="GY17" s="80">
        <f t="shared" si="33"/>
        <v>0.52525336327417071</v>
      </c>
      <c r="GZ17" s="68">
        <v>110.657</v>
      </c>
      <c r="HA17" s="5">
        <v>94.802999999999997</v>
      </c>
      <c r="HB17" s="5">
        <f t="shared" si="34"/>
        <v>15.853999999999999</v>
      </c>
      <c r="HC17" s="80">
        <f t="shared" si="35"/>
        <v>1.1672309947997426</v>
      </c>
      <c r="HD17" s="68">
        <v>58.139800000000001</v>
      </c>
      <c r="HE17" s="5">
        <v>56.127499999999998</v>
      </c>
      <c r="HF17" s="5">
        <f t="shared" si="36"/>
        <v>2.0123000000000033</v>
      </c>
      <c r="HG17" s="80">
        <f t="shared" si="37"/>
        <v>1.0358523005656763</v>
      </c>
      <c r="HH17" s="68">
        <v>60.100499999999997</v>
      </c>
      <c r="HI17" s="5">
        <v>60.767299999999999</v>
      </c>
      <c r="HJ17" s="5">
        <f t="shared" si="38"/>
        <v>-0.66680000000000206</v>
      </c>
      <c r="HK17" s="80">
        <f t="shared" si="39"/>
        <v>0.98902699313611098</v>
      </c>
      <c r="HL17" s="68">
        <v>54.412799999999997</v>
      </c>
      <c r="HM17" s="5">
        <v>58.171999999999997</v>
      </c>
      <c r="HN17" s="5">
        <f t="shared" si="40"/>
        <v>-3.7591999999999999</v>
      </c>
      <c r="HO17" s="80">
        <f t="shared" si="41"/>
        <v>0.93537784501134569</v>
      </c>
      <c r="HP17" s="68">
        <v>50.8127</v>
      </c>
      <c r="HQ17" s="5">
        <v>53.4435</v>
      </c>
      <c r="HR17" s="5">
        <f t="shared" si="42"/>
        <v>-2.6308000000000007</v>
      </c>
      <c r="HS17" s="80">
        <f t="shared" si="43"/>
        <v>0.95077418208014075</v>
      </c>
      <c r="HT17" s="68">
        <v>40.618499999999997</v>
      </c>
      <c r="HU17" s="5">
        <v>46.707099999999997</v>
      </c>
      <c r="HV17" s="5">
        <f t="shared" si="44"/>
        <v>-6.0885999999999996</v>
      </c>
      <c r="HW17" s="80">
        <f t="shared" si="45"/>
        <v>0.86964294507687268</v>
      </c>
      <c r="HX17" s="68">
        <v>64.3185</v>
      </c>
      <c r="HY17" s="5">
        <v>64.872299999999996</v>
      </c>
      <c r="HZ17" s="5">
        <f t="shared" si="46"/>
        <v>-0.55379999999999541</v>
      </c>
      <c r="IA17" s="80">
        <f t="shared" si="47"/>
        <v>0.99146322852743007</v>
      </c>
      <c r="IB17" s="68">
        <v>83.366299999999995</v>
      </c>
      <c r="IC17" s="5">
        <v>84.864000000000004</v>
      </c>
      <c r="ID17" s="5">
        <f t="shared" si="48"/>
        <v>-1.4977000000000089</v>
      </c>
      <c r="IE17" s="5">
        <f t="shared" si="49"/>
        <v>0.98235176282051273</v>
      </c>
      <c r="IF17" s="68">
        <v>53.889200000000002</v>
      </c>
      <c r="IG17" s="5">
        <v>56.525199999999998</v>
      </c>
      <c r="IH17" s="5">
        <f t="shared" si="50"/>
        <v>-2.6359999999999957</v>
      </c>
      <c r="II17" s="80">
        <f t="shared" si="51"/>
        <v>0.95336593236291078</v>
      </c>
      <c r="IJ17" s="68">
        <v>57.169699999999999</v>
      </c>
      <c r="IK17" s="5">
        <v>54.939500000000002</v>
      </c>
      <c r="IL17" s="5">
        <f t="shared" si="52"/>
        <v>2.2301999999999964</v>
      </c>
      <c r="IM17" s="80">
        <f t="shared" si="53"/>
        <v>1.040593744027521</v>
      </c>
      <c r="IN17" s="68">
        <v>68.670500000000004</v>
      </c>
      <c r="IO17" s="5">
        <v>61.613500000000002</v>
      </c>
      <c r="IP17" s="5">
        <f t="shared" si="54"/>
        <v>7.0570000000000022</v>
      </c>
      <c r="IQ17" s="5">
        <f t="shared" si="55"/>
        <v>1.1145365869492887</v>
      </c>
      <c r="IR17" s="80">
        <f t="shared" si="56"/>
        <v>6.7156811349217582E-2</v>
      </c>
      <c r="IS17" s="18">
        <v>81.118305350041652</v>
      </c>
      <c r="IT17" s="18">
        <f>IS17/100</f>
        <v>0.81118305350041653</v>
      </c>
      <c r="IV17" s="336" t="s">
        <v>606</v>
      </c>
      <c r="IW17" s="18">
        <v>0.44944826643297803</v>
      </c>
      <c r="IX17" s="18">
        <f>1-IW17</f>
        <v>0.55055173356702203</v>
      </c>
      <c r="IY17" s="336" t="s">
        <v>606</v>
      </c>
      <c r="IZ17" s="18">
        <v>0.350487799181396</v>
      </c>
      <c r="JB17" s="336" t="s">
        <v>606</v>
      </c>
      <c r="JC17" s="18">
        <v>0.63935512278022</v>
      </c>
      <c r="JD17" s="18">
        <f>1-JC17</f>
        <v>0.36064487721978</v>
      </c>
      <c r="JE17" s="336" t="s">
        <v>606</v>
      </c>
      <c r="JF17" s="18">
        <v>0.836055724512347</v>
      </c>
      <c r="JI17" s="336" t="s">
        <v>606</v>
      </c>
      <c r="JJ17" s="18">
        <v>0.58051872461172005</v>
      </c>
      <c r="JL17" s="336" t="s">
        <v>606</v>
      </c>
      <c r="JM17" s="18">
        <v>0.50084647637234803</v>
      </c>
      <c r="JO17" s="336" t="s">
        <v>606</v>
      </c>
      <c r="JP17" s="18">
        <v>0.80894441432143305</v>
      </c>
      <c r="JR17" s="336" t="s">
        <v>606</v>
      </c>
      <c r="JS17" s="18">
        <v>0.86416329336960795</v>
      </c>
      <c r="JT17" s="68" t="s">
        <v>538</v>
      </c>
      <c r="JU17" s="347">
        <v>3.7100000000000001E-2</v>
      </c>
      <c r="JV17" s="347">
        <v>4.4900000000000002E-2</v>
      </c>
      <c r="JW17" s="347">
        <f t="shared" si="65"/>
        <v>4.1000000000000002E-2</v>
      </c>
      <c r="JX17" s="348">
        <v>6.6699999999999995E-2</v>
      </c>
      <c r="JY17" s="348">
        <v>6.4899999999999999E-2</v>
      </c>
      <c r="JZ17" s="348">
        <f t="shared" si="66"/>
        <v>6.5799999999999997E-2</v>
      </c>
      <c r="KA17" s="347">
        <f t="shared" si="67"/>
        <v>2.4799999999999996E-2</v>
      </c>
      <c r="KB17" s="347">
        <f t="shared" si="68"/>
        <v>1.6048780487804877</v>
      </c>
      <c r="KC17" s="354">
        <f t="shared" si="78"/>
        <v>5.4828780487804876</v>
      </c>
      <c r="KD17" s="18">
        <f t="shared" si="69"/>
        <v>0.73900858633018984</v>
      </c>
      <c r="KE17" s="18">
        <v>0.73900858633018984</v>
      </c>
      <c r="KF17" s="340">
        <v>15.5</v>
      </c>
      <c r="KG17" s="18">
        <v>0.47800000119199998</v>
      </c>
      <c r="KH17" s="18">
        <v>0.4833333361149999</v>
      </c>
      <c r="KI17" s="18">
        <v>0.5733333273086666</v>
      </c>
      <c r="KJ17" s="18">
        <v>0.53333333883266665</v>
      </c>
      <c r="KK17" s="18">
        <v>0.34666666515433336</v>
      </c>
      <c r="KL17" s="18">
        <v>0.37285714198892572</v>
      </c>
      <c r="KM17" s="18">
        <v>9.8333332066699988E-2</v>
      </c>
      <c r="KN17" s="18">
        <v>0.51000000112833332</v>
      </c>
      <c r="KO17" s="18">
        <v>0.37666666487866662</v>
      </c>
      <c r="KP17" s="18">
        <v>0.91666668653466665</v>
      </c>
      <c r="KQ17" s="18">
        <v>0.66333334081933326</v>
      </c>
      <c r="KR17" s="358" t="s">
        <v>642</v>
      </c>
      <c r="KS17" s="358">
        <v>15</v>
      </c>
      <c r="KT17" s="358">
        <v>5</v>
      </c>
      <c r="KU17" s="358">
        <v>5.5</v>
      </c>
      <c r="KV17" s="358">
        <v>13.5</v>
      </c>
      <c r="KW17" s="358">
        <v>7.5</v>
      </c>
      <c r="KX17" s="358">
        <v>11</v>
      </c>
      <c r="KY17" s="144">
        <v>0.58999997377400004</v>
      </c>
      <c r="KZ17" s="158" t="s">
        <v>538</v>
      </c>
      <c r="LA17" s="68">
        <v>0.5181</v>
      </c>
      <c r="LB17" s="5">
        <v>0.52529999999999999</v>
      </c>
      <c r="LC17" s="5">
        <f t="shared" si="70"/>
        <v>0.52170000000000005</v>
      </c>
      <c r="LD17" s="5">
        <v>0.5665</v>
      </c>
      <c r="LE17" s="5">
        <v>0.55840000000000001</v>
      </c>
      <c r="LF17" s="80">
        <f t="shared" si="71"/>
        <v>0.56245000000000001</v>
      </c>
      <c r="LG17" s="77">
        <f t="shared" si="72"/>
        <v>-4.0749999999999953E-2</v>
      </c>
      <c r="LH17" s="68">
        <v>15.070600000000001</v>
      </c>
      <c r="LI17" s="5">
        <v>14.793200000000001</v>
      </c>
      <c r="LJ17" s="5">
        <f t="shared" si="73"/>
        <v>14.931900000000001</v>
      </c>
      <c r="LK17" s="5">
        <v>18.700500000000002</v>
      </c>
      <c r="LL17" s="5">
        <v>17.694400000000002</v>
      </c>
      <c r="LM17" s="80">
        <f t="shared" si="74"/>
        <v>18.197450000000003</v>
      </c>
      <c r="LN17" s="77">
        <f t="shared" si="75"/>
        <v>-3.2655500000000028</v>
      </c>
      <c r="LO17" s="68">
        <v>1.008</v>
      </c>
      <c r="LP17" s="5">
        <v>1.0101</v>
      </c>
      <c r="LQ17" s="5">
        <f t="shared" si="61"/>
        <v>1.00905</v>
      </c>
      <c r="LR17" s="5">
        <v>0.93869999999999998</v>
      </c>
      <c r="LS17" s="5">
        <v>0.96799999999999997</v>
      </c>
      <c r="LT17" s="80">
        <f t="shared" si="62"/>
        <v>0.95334999999999992</v>
      </c>
      <c r="LU17" s="77">
        <f t="shared" si="76"/>
        <v>5.5700000000000083E-2</v>
      </c>
      <c r="LV17" s="68">
        <v>0.39489999999999997</v>
      </c>
      <c r="LW17" s="5">
        <v>0.39119999999999999</v>
      </c>
      <c r="LX17" s="5">
        <f t="shared" si="63"/>
        <v>0.39305000000000001</v>
      </c>
      <c r="LY17" s="5">
        <v>0.505</v>
      </c>
      <c r="LZ17" s="5">
        <v>0.47410000000000002</v>
      </c>
      <c r="MA17" s="80">
        <f t="shared" si="64"/>
        <v>0.48955000000000004</v>
      </c>
      <c r="MB17" s="77">
        <f t="shared" si="77"/>
        <v>-9.650000000000003E-2</v>
      </c>
      <c r="MD17" s="5">
        <v>0.9573498668</v>
      </c>
      <c r="ME17" s="5">
        <v>2.9541788000000002</v>
      </c>
      <c r="MF17" s="5">
        <v>0.74740942519999998</v>
      </c>
      <c r="MG17" s="5">
        <v>2.5046256969999998</v>
      </c>
      <c r="MH17" s="292">
        <v>2.3432480600000001</v>
      </c>
      <c r="MI17" s="5">
        <v>-3.2443840150000001</v>
      </c>
      <c r="MJ17" s="18">
        <v>2.3553048529999998</v>
      </c>
      <c r="MK17" s="18">
        <v>0.59519228530000001</v>
      </c>
      <c r="ML17" s="18">
        <v>1.5863072970000001</v>
      </c>
      <c r="MM17" s="18">
        <v>0.89118661769999996</v>
      </c>
      <c r="MN17" s="18">
        <v>-3.2443840150000001</v>
      </c>
      <c r="MP17" s="431">
        <v>20</v>
      </c>
      <c r="MQ17" s="379">
        <v>0.14549999999999999</v>
      </c>
      <c r="MR17" s="379">
        <v>0.15809999999999999</v>
      </c>
      <c r="MS17" s="379">
        <v>-5.04E-2</v>
      </c>
      <c r="MT17" s="379">
        <v>-9.1999999999999998E-3</v>
      </c>
      <c r="MU17" s="379">
        <v>0.1769</v>
      </c>
      <c r="MV17" s="379">
        <v>0.31330000000000002</v>
      </c>
      <c r="MW17" s="379">
        <v>0.34539999999999998</v>
      </c>
      <c r="MX17" s="379">
        <v>-5.0900000000000001E-2</v>
      </c>
      <c r="MY17" s="379">
        <v>0.30130000000000001</v>
      </c>
    </row>
    <row r="18" spans="1:363" s="240" customFormat="1" ht="16" thickBot="1" x14ac:dyDescent="0.25">
      <c r="A18" s="105"/>
      <c r="C18" s="240" t="s">
        <v>217</v>
      </c>
      <c r="U18" s="240">
        <f>AVERAGE(U3:U17)</f>
        <v>3.9333333333333331</v>
      </c>
      <c r="V18" s="240">
        <f>AVERAGE(V3:V17)</f>
        <v>0.26666666666666666</v>
      </c>
      <c r="W18" s="240">
        <f>AVERAGE(W3:W17)</f>
        <v>6.6666666666666666E-2</v>
      </c>
      <c r="X18" s="240">
        <f>AVERAGE(X3:X17)</f>
        <v>-2.7333333333333334</v>
      </c>
      <c r="Y18" s="240">
        <f>AVERAGE(Y3:Y17)</f>
        <v>4.2</v>
      </c>
      <c r="CK18" s="240" t="s">
        <v>499</v>
      </c>
      <c r="CL18" s="240">
        <f t="shared" ref="CL18:CT18" si="79">AVERAGE(CL3:CL17)</f>
        <v>1.4639803461400001</v>
      </c>
      <c r="CM18" s="240">
        <f t="shared" si="79"/>
        <v>-2.4042056269000001</v>
      </c>
      <c r="CN18" s="240">
        <f t="shared" si="79"/>
        <v>-0.37686010071466663</v>
      </c>
      <c r="CO18" s="240">
        <f t="shared" si="79"/>
        <v>-0.2481890504329867</v>
      </c>
      <c r="CP18" s="240">
        <f t="shared" si="79"/>
        <v>-0.26514099841333327</v>
      </c>
      <c r="CQ18" s="240">
        <f t="shared" si="79"/>
        <v>-0.4310436288086667</v>
      </c>
      <c r="CR18" s="240">
        <f t="shared" si="79"/>
        <v>-0.30209760825333337</v>
      </c>
      <c r="CS18" s="240">
        <f t="shared" si="79"/>
        <v>-0.16283138676246664</v>
      </c>
      <c r="CT18" s="240">
        <f t="shared" si="79"/>
        <v>-0.42615136118399999</v>
      </c>
      <c r="CZ18" s="240" t="s">
        <v>238</v>
      </c>
      <c r="DA18" s="240">
        <f t="shared" ref="DA18:DL18" si="80">AVERAGE(DA3:DA17)</f>
        <v>16.13083597293333</v>
      </c>
      <c r="DB18" s="240">
        <f t="shared" si="80"/>
        <v>16.965880404733333</v>
      </c>
      <c r="DC18" s="240">
        <f t="shared" si="80"/>
        <v>16.894401850933335</v>
      </c>
      <c r="DD18" s="240">
        <f t="shared" si="80"/>
        <v>16.51261891193333</v>
      </c>
      <c r="DE18" s="240">
        <f t="shared" si="80"/>
        <v>12.546637470533334</v>
      </c>
      <c r="DF18" s="240">
        <f t="shared" si="80"/>
        <v>12.774199741199999</v>
      </c>
      <c r="DG18" s="240">
        <f t="shared" si="80"/>
        <v>12.549080821266667</v>
      </c>
      <c r="DH18" s="240">
        <f t="shared" si="80"/>
        <v>12.5478591459</v>
      </c>
      <c r="DI18" s="240">
        <f t="shared" si="80"/>
        <v>-3.5841985023999996</v>
      </c>
      <c r="DJ18" s="240">
        <f t="shared" si="80"/>
        <v>-4.191680663533333</v>
      </c>
      <c r="DK18" s="240">
        <f t="shared" si="80"/>
        <v>-4.3453210296666667</v>
      </c>
      <c r="DL18" s="240">
        <f t="shared" si="80"/>
        <v>-3.9647597660333336</v>
      </c>
      <c r="DM18" s="240" t="s">
        <v>238</v>
      </c>
      <c r="DN18" s="240">
        <f t="shared" ref="DN18:DY18" si="81">AVERAGE(DN3:DN17)</f>
        <v>4.7277549383333337</v>
      </c>
      <c r="DO18" s="240">
        <f t="shared" si="81"/>
        <v>4.6956628868666668</v>
      </c>
      <c r="DP18" s="240">
        <f t="shared" si="81"/>
        <v>4.9272389394666662</v>
      </c>
      <c r="DQ18" s="240">
        <f t="shared" si="81"/>
        <v>4.8274969389000004</v>
      </c>
      <c r="DR18" s="240">
        <f t="shared" si="81"/>
        <v>5.6736238743333338</v>
      </c>
      <c r="DS18" s="240">
        <f t="shared" si="81"/>
        <v>5.4842697468666666</v>
      </c>
      <c r="DT18" s="240">
        <f t="shared" si="81"/>
        <v>5.1664899332000003</v>
      </c>
      <c r="DU18" s="240">
        <f t="shared" si="81"/>
        <v>5.4200569037666666</v>
      </c>
      <c r="DV18" s="240">
        <f t="shared" si="81"/>
        <v>0.94586893599999966</v>
      </c>
      <c r="DW18" s="240">
        <f t="shared" si="81"/>
        <v>0.78860686000000024</v>
      </c>
      <c r="DX18" s="240">
        <f t="shared" si="81"/>
        <v>0.23925099373333339</v>
      </c>
      <c r="DY18" s="240">
        <f t="shared" si="81"/>
        <v>0.59255996486666629</v>
      </c>
      <c r="DZ18" s="240" t="s">
        <v>238</v>
      </c>
      <c r="EA18" s="240">
        <f t="shared" ref="EA18:EL18" si="82">AVERAGE(EA3:EA17)</f>
        <v>17.916009292666665</v>
      </c>
      <c r="EB18" s="240">
        <f t="shared" si="82"/>
        <v>16.756755451800004</v>
      </c>
      <c r="EC18" s="240">
        <f t="shared" si="82"/>
        <v>13.462571183933333</v>
      </c>
      <c r="ED18" s="240">
        <f t="shared" si="82"/>
        <v>15.689290238299998</v>
      </c>
      <c r="EE18" s="240">
        <f t="shared" si="82"/>
        <v>7.1891143543333333</v>
      </c>
      <c r="EF18" s="240">
        <f t="shared" si="82"/>
        <v>8.3233059826666675</v>
      </c>
      <c r="EG18" s="240">
        <f t="shared" si="82"/>
        <v>7.1648269625333318</v>
      </c>
      <c r="EH18" s="240">
        <f t="shared" si="82"/>
        <v>7.1769706584333335</v>
      </c>
      <c r="EI18" s="240">
        <f t="shared" si="82"/>
        <v>-10.726894938333336</v>
      </c>
      <c r="EJ18" s="240">
        <f t="shared" si="82"/>
        <v>-8.4334494691333308</v>
      </c>
      <c r="EK18" s="240">
        <f t="shared" si="82"/>
        <v>-6.2977442213999995</v>
      </c>
      <c r="EL18" s="240">
        <f t="shared" si="82"/>
        <v>-8.5123195798666664</v>
      </c>
      <c r="EM18" s="240" t="s">
        <v>238</v>
      </c>
      <c r="EO18" s="240">
        <f>AVERAGE(EO3:EO17)</f>
        <v>56.045157740929589</v>
      </c>
      <c r="EQ18" s="240">
        <f>AVERAGE(EQ3:EQ17)</f>
        <v>53.018289260082952</v>
      </c>
      <c r="ER18" s="240">
        <f>AVERAGE(ER3:ER17)</f>
        <v>54.531723500506274</v>
      </c>
      <c r="ES18" s="240">
        <v>4.5999999999999996</v>
      </c>
      <c r="ET18" s="240">
        <v>9.35</v>
      </c>
      <c r="EU18" s="240">
        <v>13.75</v>
      </c>
      <c r="EV18" s="240">
        <v>-0.85</v>
      </c>
      <c r="EW18" s="240">
        <v>4.2</v>
      </c>
      <c r="EX18" s="240">
        <v>3.15</v>
      </c>
      <c r="EY18" s="240">
        <v>34.200000000000003</v>
      </c>
      <c r="FD18" s="240">
        <f t="shared" ref="FD18:FQ18" si="83">AVERAGE(FF3:FF17)</f>
        <v>0.28373333359626263</v>
      </c>
      <c r="FE18" s="240">
        <f t="shared" si="83"/>
        <v>0.20577777831477867</v>
      </c>
      <c r="FF18" s="240">
        <f t="shared" si="83"/>
        <v>0.28977777679805194</v>
      </c>
      <c r="FG18" s="240">
        <f t="shared" si="83"/>
        <v>0.27711110934412353</v>
      </c>
      <c r="FH18" s="240">
        <f t="shared" si="83"/>
        <v>0.32444444486316798</v>
      </c>
      <c r="FI18" s="240">
        <f t="shared" si="83"/>
        <v>0.2241904766608914</v>
      </c>
      <c r="FJ18" s="240">
        <f t="shared" si="83"/>
        <v>9.8777777111675569E-2</v>
      </c>
      <c r="FK18" s="240">
        <f t="shared" si="83"/>
        <v>0.4213333346884342</v>
      </c>
      <c r="FL18" s="240">
        <f t="shared" si="83"/>
        <v>0.65288888975726744</v>
      </c>
      <c r="FM18" s="240">
        <f t="shared" si="83"/>
        <v>0.50755555438922972</v>
      </c>
      <c r="FN18" s="240">
        <f t="shared" si="83"/>
        <v>0.33444444466004625</v>
      </c>
      <c r="FO18" s="240">
        <f t="shared" si="83"/>
        <v>1.9333333333333333</v>
      </c>
      <c r="FP18" s="240">
        <f t="shared" si="83"/>
        <v>3.9333333333333331</v>
      </c>
      <c r="FQ18" s="240">
        <f t="shared" si="83"/>
        <v>4.2</v>
      </c>
      <c r="FR18" s="240" t="e">
        <f>AVERAGE(#REF!)</f>
        <v>#REF!</v>
      </c>
      <c r="FS18" s="240" t="e">
        <f>AVERAGE(#REF!)</f>
        <v>#REF!</v>
      </c>
      <c r="FT18" s="240">
        <f t="shared" ref="FT18:GA18" si="84">AVERAGE(FT3:FT17)</f>
        <v>-2.4042056269000001</v>
      </c>
      <c r="FU18" s="240">
        <f t="shared" si="84"/>
        <v>3.7333333333333334</v>
      </c>
      <c r="FV18" s="240">
        <f t="shared" si="84"/>
        <v>8.9333333333333336</v>
      </c>
      <c r="FW18" s="240">
        <f t="shared" si="84"/>
        <v>13.4</v>
      </c>
      <c r="FX18" s="240">
        <f t="shared" si="84"/>
        <v>-0.53333333333333333</v>
      </c>
      <c r="FY18" s="240">
        <f t="shared" si="84"/>
        <v>4.2666666666666666</v>
      </c>
      <c r="FZ18" s="240">
        <f t="shared" si="84"/>
        <v>2.4666666666666668</v>
      </c>
      <c r="GA18" s="240">
        <f t="shared" si="84"/>
        <v>32.266666666666666</v>
      </c>
      <c r="GB18" s="240">
        <f>AVERAGE(GD3:GD17)</f>
        <v>111.86666666666666</v>
      </c>
      <c r="GC18" s="240">
        <f>AVERAGE(GE3:GE17)</f>
        <v>121.86666666666666</v>
      </c>
      <c r="GD18" s="240">
        <f>AVERAGE(GF3:GF17)</f>
        <v>76.066666666666663</v>
      </c>
      <c r="GE18" s="240">
        <f>AVERAGE(GG3:GG17)</f>
        <v>136.53333333333333</v>
      </c>
      <c r="GF18" s="240" t="s">
        <v>238</v>
      </c>
      <c r="GG18" s="240">
        <f>AVERAGE(GI3:GI17)</f>
        <v>80.490326666666661</v>
      </c>
      <c r="GH18" s="240" t="s">
        <v>52</v>
      </c>
      <c r="GI18" s="334">
        <f t="shared" ref="GI18:HN18" si="85">AVERAGE(GI3:GI17)</f>
        <v>80.490326666666661</v>
      </c>
      <c r="GJ18" s="237">
        <f t="shared" si="85"/>
        <v>72.888373333333348</v>
      </c>
      <c r="GK18" s="237">
        <f t="shared" si="85"/>
        <v>7.6019533333333333</v>
      </c>
      <c r="GL18" s="237">
        <f t="shared" si="85"/>
        <v>1.1125965190504379</v>
      </c>
      <c r="GM18" s="313">
        <f t="shared" si="85"/>
        <v>4.4447484878671693E-2</v>
      </c>
      <c r="GN18" s="334">
        <f t="shared" si="85"/>
        <v>69.274086666666662</v>
      </c>
      <c r="GO18" s="237">
        <f t="shared" si="85"/>
        <v>65.300659999999993</v>
      </c>
      <c r="GP18" s="237">
        <f t="shared" si="85"/>
        <v>3.973426666666668</v>
      </c>
      <c r="GQ18" s="313">
        <f t="shared" si="85"/>
        <v>1.0657475895533302</v>
      </c>
      <c r="GR18" s="334">
        <f t="shared" si="85"/>
        <v>78.531273333333331</v>
      </c>
      <c r="GS18" s="237">
        <f t="shared" si="85"/>
        <v>71.86363333333334</v>
      </c>
      <c r="GT18" s="237">
        <f t="shared" si="85"/>
        <v>6.6676399999999978</v>
      </c>
      <c r="GU18" s="313">
        <f t="shared" si="85"/>
        <v>1.100733244240826</v>
      </c>
      <c r="GV18" s="334">
        <f t="shared" si="85"/>
        <v>37.287013333333334</v>
      </c>
      <c r="GW18" s="237">
        <f t="shared" si="85"/>
        <v>54.655640000000012</v>
      </c>
      <c r="GX18" s="237">
        <f t="shared" si="85"/>
        <v>-17.368626666666668</v>
      </c>
      <c r="GY18" s="313">
        <f t="shared" si="85"/>
        <v>0.68900821596201822</v>
      </c>
      <c r="GZ18" s="334">
        <f t="shared" si="85"/>
        <v>98.730826666666673</v>
      </c>
      <c r="HA18" s="237">
        <f t="shared" si="85"/>
        <v>78.522626666666653</v>
      </c>
      <c r="HB18" s="65">
        <f t="shared" si="85"/>
        <v>20.208199999999998</v>
      </c>
      <c r="HC18" s="313">
        <f t="shared" si="85"/>
        <v>1.2901038394296394</v>
      </c>
      <c r="HD18" s="334">
        <f t="shared" si="85"/>
        <v>57.212206666666674</v>
      </c>
      <c r="HE18" s="237">
        <f t="shared" si="85"/>
        <v>54.576266666666669</v>
      </c>
      <c r="HF18" s="237">
        <f t="shared" si="85"/>
        <v>2.6359400000000006</v>
      </c>
      <c r="HG18" s="313">
        <f t="shared" si="85"/>
        <v>1.0524983843281537</v>
      </c>
      <c r="HH18" s="334">
        <f t="shared" si="85"/>
        <v>58.944486666666656</v>
      </c>
      <c r="HI18" s="237">
        <f t="shared" si="85"/>
        <v>58.396253333333334</v>
      </c>
      <c r="HJ18" s="237">
        <f t="shared" si="85"/>
        <v>0.54823333333333246</v>
      </c>
      <c r="HK18" s="313">
        <f t="shared" si="85"/>
        <v>1.0130651179730219</v>
      </c>
      <c r="HL18" s="334">
        <f t="shared" si="85"/>
        <v>57.419886666666656</v>
      </c>
      <c r="HM18" s="237">
        <f t="shared" si="85"/>
        <v>57.213906666666666</v>
      </c>
      <c r="HN18" s="237">
        <f t="shared" si="85"/>
        <v>0.20598000000000002</v>
      </c>
      <c r="HO18" s="313">
        <f t="shared" ref="HO18:IQ18" si="86">AVERAGE(HO3:HO17)</f>
        <v>1.0047192532867342</v>
      </c>
      <c r="HP18" s="334">
        <f t="shared" si="86"/>
        <v>48.36422666666666</v>
      </c>
      <c r="HQ18" s="237">
        <f t="shared" si="86"/>
        <v>49.423439999999999</v>
      </c>
      <c r="HR18" s="237">
        <f t="shared" si="86"/>
        <v>-1.0592133333333347</v>
      </c>
      <c r="HS18" s="313">
        <f t="shared" si="86"/>
        <v>0.9796278750109304</v>
      </c>
      <c r="HT18" s="334">
        <f t="shared" si="86"/>
        <v>43.948313333333346</v>
      </c>
      <c r="HU18" s="237">
        <f t="shared" si="86"/>
        <v>45.020566666666667</v>
      </c>
      <c r="HV18" s="237">
        <f t="shared" si="86"/>
        <v>-1.0722533333333326</v>
      </c>
      <c r="HW18" s="313">
        <f t="shared" si="86"/>
        <v>0.97704217521598091</v>
      </c>
      <c r="HX18" s="334">
        <f t="shared" si="86"/>
        <v>61.606646666666656</v>
      </c>
      <c r="HY18" s="237">
        <f t="shared" si="86"/>
        <v>60.215786666666673</v>
      </c>
      <c r="HZ18" s="237">
        <f t="shared" si="86"/>
        <v>1.3908600000000007</v>
      </c>
      <c r="IA18" s="313">
        <f t="shared" si="86"/>
        <v>1.0260996650560865</v>
      </c>
      <c r="IB18" s="334">
        <f t="shared" si="86"/>
        <v>78.337066666666658</v>
      </c>
      <c r="IC18" s="237">
        <f t="shared" si="86"/>
        <v>76.31859333333334</v>
      </c>
      <c r="ID18" s="237">
        <f t="shared" si="86"/>
        <v>2.0184733333333318</v>
      </c>
      <c r="IE18" s="237">
        <f t="shared" si="86"/>
        <v>1.0322270441939225</v>
      </c>
      <c r="IF18" s="334">
        <f t="shared" si="86"/>
        <v>50.989513333333342</v>
      </c>
      <c r="IG18" s="237">
        <f t="shared" si="86"/>
        <v>50.323479999999996</v>
      </c>
      <c r="IH18" s="237">
        <f t="shared" si="86"/>
        <v>0.6660333333333327</v>
      </c>
      <c r="II18" s="313">
        <f t="shared" si="86"/>
        <v>1.0168514311559049</v>
      </c>
      <c r="IJ18" s="334">
        <f t="shared" si="86"/>
        <v>55.025553333333342</v>
      </c>
      <c r="IK18" s="237">
        <f t="shared" si="86"/>
        <v>54.180286666666667</v>
      </c>
      <c r="IL18" s="237">
        <f t="shared" si="86"/>
        <v>0.84526666666666683</v>
      </c>
      <c r="IM18" s="313">
        <f t="shared" si="86"/>
        <v>1.0189587975985417</v>
      </c>
      <c r="IN18" s="334">
        <f t="shared" si="86"/>
        <v>62.881393333333335</v>
      </c>
      <c r="IO18" s="237">
        <f t="shared" si="86"/>
        <v>61.147953333333334</v>
      </c>
      <c r="IP18" s="237">
        <f t="shared" si="86"/>
        <v>1.7334399999999988</v>
      </c>
      <c r="IQ18" s="237">
        <f t="shared" si="86"/>
        <v>1.0330048036989452</v>
      </c>
      <c r="IR18" s="313"/>
      <c r="JT18" s="240" t="s">
        <v>238</v>
      </c>
      <c r="JU18" s="426">
        <f t="shared" ref="JU18:KC18" si="87">AVERAGE(JU3:JU17)</f>
        <v>2.3293333333333333E-2</v>
      </c>
      <c r="JV18" s="426">
        <f t="shared" si="87"/>
        <v>2.6726666666666673E-2</v>
      </c>
      <c r="JW18" s="426">
        <f t="shared" si="87"/>
        <v>2.5009999999999994E-2</v>
      </c>
      <c r="JX18" s="426">
        <f t="shared" si="87"/>
        <v>6.2506666666666669E-2</v>
      </c>
      <c r="JY18" s="426">
        <f t="shared" si="87"/>
        <v>4.9866666666666656E-2</v>
      </c>
      <c r="JZ18" s="426">
        <f t="shared" si="87"/>
        <v>5.6186666666666676E-2</v>
      </c>
      <c r="KA18" s="426">
        <f t="shared" si="87"/>
        <v>3.1176666666666668E-2</v>
      </c>
      <c r="KB18" s="426">
        <f t="shared" si="87"/>
        <v>2.2839257531692563</v>
      </c>
      <c r="KC18" s="426">
        <f t="shared" si="87"/>
        <v>6.1619257531692559</v>
      </c>
      <c r="KR18" s="427" t="s">
        <v>238</v>
      </c>
      <c r="KS18" s="427">
        <v>12.210526315789474</v>
      </c>
      <c r="KT18" s="427">
        <v>10.026315789473685</v>
      </c>
      <c r="KU18" s="427">
        <v>7.8684210526315788</v>
      </c>
      <c r="KV18" s="427">
        <v>11.184210526315789</v>
      </c>
      <c r="KW18" s="427">
        <v>6.8947368421052628</v>
      </c>
      <c r="KX18" s="427">
        <v>6.5263157894736796</v>
      </c>
      <c r="KZ18" s="240" t="s">
        <v>238</v>
      </c>
      <c r="LA18" s="240">
        <f t="shared" ref="LA18:MB18" si="88">AVERAGE(LA3:LA17)</f>
        <v>0.49388000000000004</v>
      </c>
      <c r="LB18" s="240">
        <f t="shared" si="88"/>
        <v>0.49810000000000004</v>
      </c>
      <c r="LC18" s="240">
        <f t="shared" si="88"/>
        <v>0.49598999999999999</v>
      </c>
      <c r="LD18" s="240">
        <f t="shared" si="88"/>
        <v>0.54964000000000002</v>
      </c>
      <c r="LE18" s="240">
        <f t="shared" si="88"/>
        <v>0.54610000000000014</v>
      </c>
      <c r="LF18" s="240">
        <f t="shared" si="88"/>
        <v>0.54786999999999997</v>
      </c>
      <c r="LG18" s="240">
        <f t="shared" si="88"/>
        <v>-5.1879999999999975E-2</v>
      </c>
      <c r="LH18" s="240">
        <f t="shared" si="88"/>
        <v>9.9451599999999996</v>
      </c>
      <c r="LI18" s="240">
        <f t="shared" si="88"/>
        <v>10.174673333333335</v>
      </c>
      <c r="LJ18" s="240">
        <f t="shared" si="88"/>
        <v>10.059916666666668</v>
      </c>
      <c r="LK18" s="240">
        <f t="shared" si="88"/>
        <v>16.843386666666664</v>
      </c>
      <c r="LL18" s="240">
        <f t="shared" si="88"/>
        <v>16.180926666666668</v>
      </c>
      <c r="LM18" s="240">
        <f t="shared" si="88"/>
        <v>16.512156666666662</v>
      </c>
      <c r="LN18" s="240">
        <f t="shared" si="88"/>
        <v>-6.4522399999999998</v>
      </c>
      <c r="LO18" s="240">
        <f t="shared" si="88"/>
        <v>1.0399333333333334</v>
      </c>
      <c r="LP18" s="240">
        <f t="shared" si="88"/>
        <v>1.0275466666666666</v>
      </c>
      <c r="LQ18" s="240">
        <f t="shared" si="88"/>
        <v>1.0337399999999999</v>
      </c>
      <c r="LR18" s="240">
        <f t="shared" si="88"/>
        <v>0.94576666666666687</v>
      </c>
      <c r="LS18" s="240">
        <f t="shared" si="88"/>
        <v>0.9609466666666665</v>
      </c>
      <c r="LT18" s="240">
        <f t="shared" si="88"/>
        <v>0.95335666666666674</v>
      </c>
      <c r="LU18" s="240">
        <f t="shared" si="88"/>
        <v>8.0383333333333265E-2</v>
      </c>
      <c r="LV18" s="240">
        <f t="shared" si="88"/>
        <v>0.30248666666666668</v>
      </c>
      <c r="LW18" s="240">
        <f t="shared" si="88"/>
        <v>0.31936666666666663</v>
      </c>
      <c r="LX18" s="240">
        <f t="shared" si="88"/>
        <v>0.31092666666666668</v>
      </c>
      <c r="LY18" s="240">
        <f t="shared" si="88"/>
        <v>0.44501333333333343</v>
      </c>
      <c r="LZ18" s="240">
        <f t="shared" si="88"/>
        <v>0.43550666666666665</v>
      </c>
      <c r="MA18" s="240">
        <f t="shared" si="88"/>
        <v>0.44026000000000004</v>
      </c>
      <c r="MB18" s="240">
        <f t="shared" si="88"/>
        <v>-0.12933333333333333</v>
      </c>
      <c r="MM18" s="240">
        <v>1.4639803461400001</v>
      </c>
      <c r="MN18" s="240">
        <v>-2.4042056269000001</v>
      </c>
      <c r="MP18" s="76" t="s">
        <v>238</v>
      </c>
      <c r="MQ18" s="380">
        <f>AVERAGE(MQ3:MQ17)</f>
        <v>0.27751999999999999</v>
      </c>
      <c r="MR18" s="418">
        <f t="shared" ref="MR18:MY18" si="89">AVERAGE(MR3:MR17)</f>
        <v>0.27878000000000003</v>
      </c>
      <c r="MS18" s="418">
        <f t="shared" si="89"/>
        <v>0.39605333333333337</v>
      </c>
      <c r="MT18" s="418">
        <f t="shared" si="89"/>
        <v>0.13393333333333332</v>
      </c>
      <c r="MU18" s="418">
        <f t="shared" si="89"/>
        <v>0.16924</v>
      </c>
      <c r="MV18" s="418">
        <f t="shared" si="89"/>
        <v>0.24230000000000004</v>
      </c>
      <c r="MW18" s="418">
        <f t="shared" si="89"/>
        <v>0.25125999999999998</v>
      </c>
      <c r="MX18" s="418">
        <f t="shared" si="89"/>
        <v>0.13414666666666669</v>
      </c>
      <c r="MY18" s="139">
        <f t="shared" si="89"/>
        <v>-0.40701333333333334</v>
      </c>
    </row>
    <row r="19" spans="1:363" s="24" customFormat="1" ht="16" x14ac:dyDescent="0.2">
      <c r="A19" s="151"/>
      <c r="CK19" s="24" t="s">
        <v>53</v>
      </c>
      <c r="CL19" s="24">
        <f t="shared" ref="CL19:CT19" si="90">STDEV(CL3:CL17)</f>
        <v>0.89233026380329517</v>
      </c>
      <c r="CM19" s="24">
        <f t="shared" si="90"/>
        <v>1.1973660383988749</v>
      </c>
      <c r="CN19" s="24">
        <f t="shared" si="90"/>
        <v>0.21763037620113287</v>
      </c>
      <c r="CO19" s="24">
        <f t="shared" si="90"/>
        <v>0.19461980160837741</v>
      </c>
      <c r="CP19" s="24">
        <f t="shared" si="90"/>
        <v>0.2181163458473297</v>
      </c>
      <c r="CQ19" s="24">
        <f t="shared" si="90"/>
        <v>0.30099148681858173</v>
      </c>
      <c r="CR19" s="24">
        <f t="shared" si="90"/>
        <v>0.15781774349771019</v>
      </c>
      <c r="CS19" s="24">
        <f t="shared" si="90"/>
        <v>0.16000924499618149</v>
      </c>
      <c r="CT19" s="24">
        <f t="shared" si="90"/>
        <v>0.27150695167918176</v>
      </c>
      <c r="GH19" s="240" t="s">
        <v>53</v>
      </c>
      <c r="GI19" s="240">
        <f t="shared" ref="GI19:HN19" si="91">STDEV(GI3:GI17)</f>
        <v>10.591380973661545</v>
      </c>
      <c r="GJ19" s="242">
        <f t="shared" si="91"/>
        <v>10.956953482310805</v>
      </c>
      <c r="GK19" s="105">
        <f t="shared" si="91"/>
        <v>7.263855553636458</v>
      </c>
      <c r="GL19" s="240">
        <f t="shared" si="91"/>
        <v>0.10721575112744365</v>
      </c>
      <c r="GM19" s="240">
        <f t="shared" si="91"/>
        <v>4.2001801169243791E-2</v>
      </c>
      <c r="GN19" s="242">
        <f t="shared" si="91"/>
        <v>8.4221105114425416</v>
      </c>
      <c r="GO19" s="105">
        <f t="shared" si="91"/>
        <v>9.210300121975239</v>
      </c>
      <c r="GP19" s="240">
        <f t="shared" si="91"/>
        <v>4.0665041528261572</v>
      </c>
      <c r="GQ19" s="159">
        <f t="shared" si="91"/>
        <v>6.6931881667329843E-2</v>
      </c>
      <c r="GR19" s="242">
        <f t="shared" si="91"/>
        <v>12.68490435069898</v>
      </c>
      <c r="GS19" s="105">
        <f t="shared" si="91"/>
        <v>12.911384317872695</v>
      </c>
      <c r="GT19" s="240">
        <f t="shared" si="91"/>
        <v>7.0721584703479534</v>
      </c>
      <c r="GU19" s="240">
        <f t="shared" si="91"/>
        <v>0.10780702792135421</v>
      </c>
      <c r="GV19" s="242">
        <f t="shared" si="91"/>
        <v>14.227220738272246</v>
      </c>
      <c r="GW19" s="105">
        <f t="shared" si="91"/>
        <v>17.54283704042356</v>
      </c>
      <c r="GX19" s="240">
        <f t="shared" si="91"/>
        <v>11.492403551381647</v>
      </c>
      <c r="GY19" s="240">
        <f t="shared" si="91"/>
        <v>0.18697651377554664</v>
      </c>
      <c r="GZ19" s="242">
        <f t="shared" si="91"/>
        <v>19.420261931346182</v>
      </c>
      <c r="HA19" s="105">
        <f t="shared" si="91"/>
        <v>19.497975693443092</v>
      </c>
      <c r="HB19" s="240">
        <f t="shared" si="91"/>
        <v>12.314821757018771</v>
      </c>
      <c r="HC19" s="240">
        <f t="shared" si="91"/>
        <v>0.20556296092986331</v>
      </c>
      <c r="HD19" s="242">
        <f t="shared" si="91"/>
        <v>4.3619749415450189</v>
      </c>
      <c r="HE19" s="105">
        <f t="shared" si="91"/>
        <v>5.1531811032003301</v>
      </c>
      <c r="HF19" s="240">
        <f t="shared" si="91"/>
        <v>3.8208686437211408</v>
      </c>
      <c r="HG19" s="240">
        <f t="shared" si="91"/>
        <v>7.4156351046887004E-2</v>
      </c>
      <c r="HH19" s="242">
        <f t="shared" si="91"/>
        <v>5.083342946592003</v>
      </c>
      <c r="HI19" s="105">
        <f t="shared" si="91"/>
        <v>4.651308202287467</v>
      </c>
      <c r="HJ19" s="240">
        <f t="shared" si="91"/>
        <v>5.3574144423095245</v>
      </c>
      <c r="HK19" s="240">
        <f t="shared" si="91"/>
        <v>9.4516118119361087E-2</v>
      </c>
      <c r="HL19" s="242">
        <f t="shared" si="91"/>
        <v>4.4856430999143857</v>
      </c>
      <c r="HM19" s="105">
        <f t="shared" si="91"/>
        <v>3.3358264089527596</v>
      </c>
      <c r="HN19" s="240">
        <f t="shared" si="91"/>
        <v>4.0616698921924801</v>
      </c>
      <c r="HO19" s="240">
        <f t="shared" ref="HO19:IG19" si="92">STDEV(HO3:HO17)</f>
        <v>6.9562418840649176E-2</v>
      </c>
      <c r="HP19" s="242">
        <f t="shared" si="92"/>
        <v>4.4585914246648848</v>
      </c>
      <c r="HQ19" s="105">
        <f t="shared" si="92"/>
        <v>3.8589561089940974</v>
      </c>
      <c r="HR19" s="240">
        <f t="shared" si="92"/>
        <v>3.3370771594886666</v>
      </c>
      <c r="HS19" s="240">
        <f t="shared" si="92"/>
        <v>6.8911947125818565E-2</v>
      </c>
      <c r="HT19" s="240">
        <f t="shared" si="92"/>
        <v>4.9721713534812615</v>
      </c>
      <c r="HU19" s="105">
        <f t="shared" si="92"/>
        <v>3.5930633678294748</v>
      </c>
      <c r="HV19" s="240">
        <f t="shared" si="92"/>
        <v>4.0823057511073095</v>
      </c>
      <c r="HW19" s="240">
        <f t="shared" si="92"/>
        <v>8.9781473666180403E-2</v>
      </c>
      <c r="HX19" s="242">
        <f t="shared" si="92"/>
        <v>5.0606265334677776</v>
      </c>
      <c r="HY19" s="105">
        <f t="shared" si="92"/>
        <v>4.9899643464037835</v>
      </c>
      <c r="HZ19" s="240">
        <f t="shared" si="92"/>
        <v>4.7445609016761781</v>
      </c>
      <c r="IA19" s="240">
        <f t="shared" si="92"/>
        <v>8.0846680844662427E-2</v>
      </c>
      <c r="IB19" s="242">
        <f t="shared" si="92"/>
        <v>8.157016392710899</v>
      </c>
      <c r="IC19" s="105">
        <f t="shared" si="92"/>
        <v>6.8905441049379581</v>
      </c>
      <c r="ID19" s="240">
        <f t="shared" si="92"/>
        <v>9.2202350735811098</v>
      </c>
      <c r="IE19" s="240">
        <f t="shared" si="92"/>
        <v>0.12702192303341434</v>
      </c>
      <c r="IF19" s="240">
        <f t="shared" si="92"/>
        <v>3.7705442123057478</v>
      </c>
      <c r="IG19" s="242">
        <f t="shared" si="92"/>
        <v>4.6970190959190878</v>
      </c>
      <c r="IH19" s="24">
        <f>STDEV(I3:IH17)</f>
        <v>37.398461138428907</v>
      </c>
      <c r="II19" s="24">
        <f t="shared" ref="II19:IQ19" si="93">STDEV(II3:II17)</f>
        <v>6.455814931666648E-2</v>
      </c>
      <c r="IJ19" s="24">
        <f t="shared" si="93"/>
        <v>5.8504570317034821</v>
      </c>
      <c r="IK19" s="24">
        <f t="shared" si="93"/>
        <v>5.2593891663069261</v>
      </c>
      <c r="IL19" s="24">
        <f t="shared" si="93"/>
        <v>5.2229297448389831</v>
      </c>
      <c r="IM19" s="24">
        <f t="shared" si="93"/>
        <v>9.8816930564510005E-2</v>
      </c>
      <c r="IN19" s="24">
        <f t="shared" si="93"/>
        <v>6.0748711114448062</v>
      </c>
      <c r="IO19" s="24">
        <f t="shared" si="93"/>
        <v>6.0941195953695129</v>
      </c>
      <c r="IP19" s="24">
        <f t="shared" si="93"/>
        <v>5.9627136358013555</v>
      </c>
      <c r="IQ19" s="24">
        <f t="shared" si="93"/>
        <v>9.9708506974291802E-2</v>
      </c>
      <c r="KE19" s="24" t="s">
        <v>53</v>
      </c>
      <c r="KF19" s="24">
        <f t="shared" ref="KF19:KN19" si="94">STDEV(JU3:JU17)</f>
        <v>1.5865347083982694E-2</v>
      </c>
      <c r="KG19" s="24">
        <f t="shared" si="94"/>
        <v>1.8495113897871448E-2</v>
      </c>
      <c r="KH19" s="24">
        <f t="shared" si="94"/>
        <v>1.5866926518480425E-2</v>
      </c>
      <c r="KI19" s="24">
        <f t="shared" si="94"/>
        <v>2.694090004506337E-2</v>
      </c>
      <c r="KJ19" s="24">
        <f t="shared" si="94"/>
        <v>2.0097891384302968E-2</v>
      </c>
      <c r="KK19" s="24">
        <f t="shared" si="94"/>
        <v>2.0308869162675349E-2</v>
      </c>
      <c r="KL19" s="24">
        <f t="shared" si="94"/>
        <v>1.5065652357345192E-2</v>
      </c>
      <c r="KM19" s="24">
        <f t="shared" si="94"/>
        <v>2.1775920472507653</v>
      </c>
      <c r="KN19" s="24">
        <f t="shared" si="94"/>
        <v>2.1775920472507644</v>
      </c>
      <c r="LB19" s="24" t="s">
        <v>620</v>
      </c>
      <c r="LC19" s="356" t="s">
        <v>53</v>
      </c>
      <c r="LD19" s="356">
        <v>3.4573423860342505</v>
      </c>
      <c r="LE19" s="356">
        <v>6.2193106178581807</v>
      </c>
      <c r="LF19" s="356">
        <v>6.8533084169114948</v>
      </c>
      <c r="LG19" s="356">
        <v>4.7264343099793207</v>
      </c>
      <c r="LH19" s="356">
        <v>6.2150778742068979</v>
      </c>
      <c r="LI19" s="356">
        <v>6.97111836279303</v>
      </c>
      <c r="LK19" s="419" t="s">
        <v>53</v>
      </c>
      <c r="LL19" s="24">
        <f t="shared" ref="LL19:ML19" si="95">STDEV(LA3:LA17)</f>
        <v>2.4702695052506791E-2</v>
      </c>
      <c r="LM19" s="24">
        <f t="shared" si="95"/>
        <v>2.4040085571513981E-2</v>
      </c>
      <c r="LN19" s="24">
        <f t="shared" si="95"/>
        <v>2.3982070683861198E-2</v>
      </c>
      <c r="LO19" s="24">
        <f t="shared" si="95"/>
        <v>2.0799890109599831E-2</v>
      </c>
      <c r="LP19" s="24">
        <f t="shared" si="95"/>
        <v>2.2786211369409979E-2</v>
      </c>
      <c r="LQ19" s="24">
        <f t="shared" si="95"/>
        <v>2.1142355930352564E-2</v>
      </c>
      <c r="LR19" s="24">
        <f t="shared" si="95"/>
        <v>2.2031599060051397E-2</v>
      </c>
      <c r="LS19" s="24">
        <f t="shared" si="95"/>
        <v>3.0205977809036377</v>
      </c>
      <c r="LT19" s="24">
        <f t="shared" si="95"/>
        <v>3.0435606005529254</v>
      </c>
      <c r="LU19" s="24">
        <f t="shared" si="95"/>
        <v>2.9827967684149481</v>
      </c>
      <c r="LV19" s="24">
        <f t="shared" si="95"/>
        <v>4.7386168111239728</v>
      </c>
      <c r="LW19" s="24">
        <f t="shared" si="95"/>
        <v>3.7584676392051488</v>
      </c>
      <c r="LX19" s="24">
        <f t="shared" si="95"/>
        <v>4.086309551804268</v>
      </c>
      <c r="LY19" s="24">
        <f t="shared" si="95"/>
        <v>2.8974271953875608</v>
      </c>
      <c r="LZ19" s="24">
        <f t="shared" si="95"/>
        <v>2.6195792101204405E-2</v>
      </c>
      <c r="MA19" s="24">
        <f t="shared" si="95"/>
        <v>2.3351655391509376E-2</v>
      </c>
      <c r="MB19" s="24">
        <f t="shared" si="95"/>
        <v>2.4312571703897182E-2</v>
      </c>
      <c r="MC19" s="24">
        <f t="shared" si="95"/>
        <v>2.9987179800390576E-2</v>
      </c>
      <c r="MD19" s="24">
        <f t="shared" si="95"/>
        <v>2.8514454145890569E-2</v>
      </c>
      <c r="ME19" s="24">
        <f t="shared" si="95"/>
        <v>2.7788929364732561E-2</v>
      </c>
      <c r="MF19" s="24">
        <f t="shared" si="95"/>
        <v>2.9705685282370407E-2</v>
      </c>
      <c r="MG19" s="24">
        <f t="shared" si="95"/>
        <v>6.3552934816651169E-2</v>
      </c>
      <c r="MH19" s="24">
        <f t="shared" si="95"/>
        <v>6.0223709933009184E-2</v>
      </c>
      <c r="MI19" s="24">
        <f t="shared" si="95"/>
        <v>6.0577010805215825E-2</v>
      </c>
      <c r="MJ19" s="24">
        <f t="shared" si="95"/>
        <v>5.8711739720027134E-2</v>
      </c>
      <c r="MK19" s="24">
        <f t="shared" si="95"/>
        <v>5.8815868445108659E-2</v>
      </c>
      <c r="ML19" s="24">
        <f t="shared" si="95"/>
        <v>5.6781238098512501E-2</v>
      </c>
      <c r="MM19" s="24">
        <v>0.89233026380329517</v>
      </c>
      <c r="MN19" s="24">
        <v>1.1973660383988749</v>
      </c>
      <c r="MP19" s="432" t="s">
        <v>53</v>
      </c>
      <c r="MQ19" s="380">
        <f>STDEV(MQ3:MQ17)</f>
        <v>0.23664791568910976</v>
      </c>
      <c r="MR19" s="380">
        <f t="shared" ref="MR19:MY19" si="96">STDEV(MR3:MR17)</f>
        <v>0.16739848181595224</v>
      </c>
      <c r="MS19" s="380">
        <f t="shared" si="96"/>
        <v>0.62175883802859333</v>
      </c>
      <c r="MT19" s="380">
        <f t="shared" si="96"/>
        <v>0.2664947350502892</v>
      </c>
      <c r="MU19" s="380">
        <f t="shared" si="96"/>
        <v>0.28412350634388361</v>
      </c>
      <c r="MV19" s="380">
        <f t="shared" si="96"/>
        <v>0.24007976948149073</v>
      </c>
      <c r="MW19" s="380">
        <f t="shared" si="96"/>
        <v>0.33250401243551075</v>
      </c>
      <c r="MX19" s="380">
        <f t="shared" si="96"/>
        <v>0.20248774166306838</v>
      </c>
      <c r="MY19" s="380">
        <f t="shared" si="96"/>
        <v>0.67373045889145844</v>
      </c>
    </row>
    <row r="20" spans="1:363" s="24" customFormat="1" ht="16" x14ac:dyDescent="0.2">
      <c r="A20" s="151"/>
      <c r="CK20" s="24" t="s">
        <v>54</v>
      </c>
      <c r="CL20" s="24">
        <f>CL19/SQRT(15)</f>
        <v>0.2303986834018022</v>
      </c>
      <c r="CM20" s="24">
        <f>CM19/SQRT(15)</f>
        <v>0.30915858173554617</v>
      </c>
      <c r="CN20" s="24">
        <f t="shared" ref="CN20:CT20" si="97">CN19/SQRT(15)</f>
        <v>5.61919215103895E-2</v>
      </c>
      <c r="CO20" s="24">
        <f t="shared" si="97"/>
        <v>5.0250616698095808E-2</v>
      </c>
      <c r="CP20" s="24">
        <f t="shared" si="97"/>
        <v>5.6317398333488346E-2</v>
      </c>
      <c r="CQ20" s="24">
        <f t="shared" si="97"/>
        <v>7.7715667719905082E-2</v>
      </c>
      <c r="CR20" s="24">
        <f t="shared" si="97"/>
        <v>4.0748366153511024E-2</v>
      </c>
      <c r="CS20" s="24">
        <f t="shared" si="97"/>
        <v>4.1314209407295556E-2</v>
      </c>
      <c r="CT20" s="24">
        <f t="shared" si="97"/>
        <v>7.0102793482200859E-2</v>
      </c>
      <c r="GH20" s="24" t="s">
        <v>54</v>
      </c>
      <c r="GJ20" s="244"/>
      <c r="GK20" s="151"/>
      <c r="GN20" s="244"/>
      <c r="GO20" s="151"/>
      <c r="GP20" s="24" t="s">
        <v>217</v>
      </c>
      <c r="GQ20" s="24" t="s">
        <v>217</v>
      </c>
      <c r="GR20" s="244"/>
      <c r="GS20" s="151"/>
      <c r="GT20" s="24" t="s">
        <v>217</v>
      </c>
      <c r="GV20" s="244"/>
      <c r="GW20" s="151"/>
      <c r="GX20" s="24" t="s">
        <v>217</v>
      </c>
      <c r="GY20" s="24" t="s">
        <v>217</v>
      </c>
      <c r="GZ20" s="244"/>
      <c r="HA20" s="151"/>
      <c r="HC20" s="24" t="s">
        <v>217</v>
      </c>
      <c r="HD20" s="244"/>
      <c r="HE20" s="151"/>
      <c r="HH20" s="244"/>
      <c r="HI20" s="151"/>
      <c r="HL20" s="244"/>
      <c r="HM20" s="151"/>
      <c r="HP20" s="244"/>
      <c r="HQ20" s="151"/>
      <c r="HU20" s="151"/>
      <c r="HX20" s="244"/>
      <c r="HY20" s="151"/>
      <c r="IB20" s="244"/>
      <c r="IC20" s="151"/>
      <c r="IG20" s="244"/>
      <c r="KS20" s="24">
        <f>0.05/6</f>
        <v>8.3333333333333332E-3</v>
      </c>
      <c r="LC20" s="356" t="s">
        <v>54</v>
      </c>
      <c r="LD20" s="356">
        <v>0.79316874073384658</v>
      </c>
      <c r="LE20" s="356">
        <v>1.4268077095649112</v>
      </c>
      <c r="LF20" s="356">
        <v>1.5722567799070484</v>
      </c>
      <c r="LG20" s="356">
        <v>1.0843183958149079</v>
      </c>
      <c r="LH20" s="356">
        <v>1.4258366515738663</v>
      </c>
      <c r="LI20" s="356">
        <v>1.5992842350987118</v>
      </c>
      <c r="LK20" s="419" t="s">
        <v>418</v>
      </c>
      <c r="MM20" s="24">
        <v>0.2303986834018022</v>
      </c>
      <c r="MN20" s="24">
        <v>0.30915858173554617</v>
      </c>
    </row>
    <row r="21" spans="1:363" s="24" customFormat="1" ht="16" x14ac:dyDescent="0.2">
      <c r="A21" s="151"/>
      <c r="GH21" s="24" t="s">
        <v>441</v>
      </c>
      <c r="GJ21" s="244"/>
      <c r="GK21" s="151">
        <f>TTEST(GI3:GI17,GJ3:GJ17,2,1)</f>
        <v>1.1856829946318285E-3</v>
      </c>
      <c r="GL21" s="24">
        <v>11.3</v>
      </c>
      <c r="GN21" s="244"/>
      <c r="GO21" s="151"/>
      <c r="GP21" s="24">
        <f>TTEST(GN3:GN17,GO3:GO17,2,1)</f>
        <v>2.0121055651056404E-3</v>
      </c>
      <c r="GQ21" s="24">
        <v>6.6</v>
      </c>
      <c r="GR21" s="244"/>
      <c r="GS21" s="151"/>
      <c r="GT21" s="24">
        <f>TTEST(GR3:GR17,GS3:GS17,2,1)</f>
        <v>2.6173063009851311E-3</v>
      </c>
      <c r="GU21" s="24">
        <v>10.1</v>
      </c>
      <c r="GV21" s="244"/>
      <c r="GW21" s="151"/>
      <c r="GX21" s="420">
        <f>TTEST(GV3:GV17,GW3:GW17,2,1)</f>
        <v>4.1948260018663182E-5</v>
      </c>
      <c r="GY21" s="24">
        <v>6.9</v>
      </c>
      <c r="GZ21" s="244"/>
      <c r="HA21" s="151"/>
      <c r="HB21" s="420">
        <f>TTEST(GZ3:GZ17,HA3:HA17,2,1)</f>
        <v>1.7820736975094428E-5</v>
      </c>
      <c r="HC21" s="24">
        <v>29</v>
      </c>
      <c r="HD21" s="244"/>
      <c r="HE21" s="151"/>
      <c r="HF21" s="24">
        <f>TTEST(HD3:HD17,HE3:HE17,2,1)</f>
        <v>1.8232313277018325E-2</v>
      </c>
      <c r="HG21" s="24">
        <v>5.3</v>
      </c>
      <c r="HH21" s="244"/>
      <c r="HI21" s="151"/>
      <c r="HJ21" s="24">
        <f>TTEST(HH3:HH17,HI3:HI17,2,1)</f>
        <v>0.69783725558316734</v>
      </c>
      <c r="HK21" s="24">
        <v>1.3</v>
      </c>
      <c r="HL21" s="244"/>
      <c r="HM21" s="151"/>
      <c r="HN21" s="24">
        <f>TTEST(HL3:HL17,HM3:HM17,2,1)</f>
        <v>0.84711096848787015</v>
      </c>
      <c r="HO21" s="24">
        <f>0.5</f>
        <v>0.5</v>
      </c>
      <c r="HP21" s="244"/>
      <c r="HQ21" s="151"/>
      <c r="HR21" s="24">
        <f>TTEST(HP3:HP17,HQ3:HQ17,2,1)</f>
        <v>0.23921540354834753</v>
      </c>
      <c r="HS21" s="24">
        <v>-0.2</v>
      </c>
      <c r="HU21" s="151"/>
      <c r="HV21" s="24">
        <f>TTEST(HT3:HT17,HU3:HU17,2,1)</f>
        <v>0.32628230669866531</v>
      </c>
      <c r="HW21" s="24">
        <v>-0.23</v>
      </c>
      <c r="HX21" s="244"/>
      <c r="HY21" s="151"/>
      <c r="HZ21" s="24">
        <f>TTEST(HX3:HX17,HY3:HY17,2,1)</f>
        <v>0.27528928780675127</v>
      </c>
      <c r="IA21" s="24">
        <v>0.26</v>
      </c>
      <c r="IB21" s="244"/>
      <c r="IC21" s="151"/>
      <c r="ID21" s="24">
        <f>TTEST(IB3:IB17,IC3:IC17,2,1)</f>
        <v>0.41077497688049114</v>
      </c>
      <c r="IE21" s="24">
        <v>3.2</v>
      </c>
      <c r="IG21" s="244"/>
      <c r="IH21" s="24">
        <f>TTEST(IF3:IF17,IG3:IG17,2,1)</f>
        <v>0.44307487180611682</v>
      </c>
      <c r="II21" s="421">
        <v>1.7</v>
      </c>
      <c r="IL21" s="24">
        <f>TTEST(IJ3:IJ17,IK3:IK17,2,1)</f>
        <v>0.54088098432447751</v>
      </c>
      <c r="IM21" s="24">
        <v>1.9</v>
      </c>
      <c r="IP21" s="24">
        <f>TTEST(IN3:IN17,IO3:IO17,2,1)</f>
        <v>0.27912749841240536</v>
      </c>
      <c r="IQ21" s="24">
        <v>3.3</v>
      </c>
      <c r="JU21" s="419"/>
      <c r="JY21" s="24" t="s">
        <v>217</v>
      </c>
    </row>
    <row r="22" spans="1:363" s="246" customFormat="1" ht="16" thickBot="1" x14ac:dyDescent="0.25">
      <c r="A22" s="106"/>
      <c r="GH22" s="246" t="s">
        <v>557</v>
      </c>
      <c r="GJ22" s="248"/>
      <c r="GK22" s="106">
        <f>GK21*12</f>
        <v>1.4228195935581941E-2</v>
      </c>
      <c r="GL22" s="246">
        <v>10.7</v>
      </c>
      <c r="GN22" s="248"/>
      <c r="GO22" s="106"/>
      <c r="GP22" s="246">
        <f>GP21*12</f>
        <v>2.4145266781267685E-2</v>
      </c>
      <c r="GQ22" s="246">
        <v>6.7</v>
      </c>
      <c r="GR22" s="248"/>
      <c r="GS22" s="106"/>
      <c r="GT22" s="246">
        <f>GT21*12</f>
        <v>3.1407675611821576E-2</v>
      </c>
      <c r="GU22" s="246">
        <v>10.8</v>
      </c>
      <c r="GV22" s="248"/>
      <c r="GW22" s="106"/>
      <c r="GX22" s="246" t="s">
        <v>217</v>
      </c>
      <c r="GY22" s="246">
        <v>19</v>
      </c>
      <c r="GZ22" s="248"/>
      <c r="HA22" s="106"/>
      <c r="HC22" s="246">
        <v>21</v>
      </c>
      <c r="HD22" s="248"/>
      <c r="HE22" s="106"/>
      <c r="HF22" s="246">
        <f>HF21*12</f>
        <v>0.2187877593242199</v>
      </c>
      <c r="HG22" s="246">
        <v>7.4</v>
      </c>
      <c r="HH22" s="248"/>
      <c r="HI22" s="106"/>
      <c r="HJ22" s="246" t="s">
        <v>217</v>
      </c>
      <c r="HK22" s="246">
        <v>9.5</v>
      </c>
      <c r="HL22" s="248"/>
      <c r="HM22" s="106"/>
      <c r="HO22" s="246">
        <v>7</v>
      </c>
      <c r="HP22" s="248"/>
      <c r="HQ22" s="106"/>
      <c r="HS22" s="246">
        <v>6.9</v>
      </c>
      <c r="HT22" s="246" t="s">
        <v>217</v>
      </c>
      <c r="HU22" s="106"/>
      <c r="HW22" s="246">
        <v>9</v>
      </c>
      <c r="HX22" s="248"/>
      <c r="HY22" s="106"/>
      <c r="IA22" s="246">
        <v>8.1</v>
      </c>
      <c r="IB22" s="248"/>
      <c r="IC22" s="456"/>
      <c r="IE22" s="246">
        <v>1.3</v>
      </c>
      <c r="IF22" s="428"/>
      <c r="IG22" s="248"/>
      <c r="II22" s="429">
        <v>6.5</v>
      </c>
      <c r="IL22" s="428"/>
      <c r="IM22" s="246">
        <v>9.9</v>
      </c>
      <c r="IP22" s="428"/>
      <c r="IQ22" s="246">
        <v>10</v>
      </c>
      <c r="JD22" s="428"/>
      <c r="JG22" s="428"/>
      <c r="JJ22" s="428"/>
      <c r="JY22" s="246" t="s">
        <v>217</v>
      </c>
      <c r="KT22" s="246" t="s">
        <v>217</v>
      </c>
      <c r="KU22" s="246" t="s">
        <v>217</v>
      </c>
      <c r="MK22" s="246" t="s">
        <v>217</v>
      </c>
    </row>
    <row r="23" spans="1:363" s="24" customFormat="1" ht="16" thickBot="1" x14ac:dyDescent="0.25">
      <c r="FY23" s="421"/>
      <c r="GH23" s="457"/>
      <c r="GI23" s="246"/>
      <c r="GJ23" s="246"/>
      <c r="GK23" s="246"/>
      <c r="GL23" s="246">
        <f>GL22/SQRT(15)</f>
        <v>2.7627281202946237</v>
      </c>
      <c r="GM23" s="246"/>
      <c r="GN23" s="246"/>
      <c r="GO23" s="246"/>
      <c r="GP23" s="246"/>
      <c r="GQ23" s="246">
        <f>GQ22/SQRT(15)</f>
        <v>1.7299325613059795</v>
      </c>
      <c r="GR23" s="246"/>
      <c r="GS23" s="246"/>
      <c r="GT23" s="246"/>
      <c r="GU23" s="246">
        <f>GU22/SQRT(15)</f>
        <v>2.7885480092693404</v>
      </c>
      <c r="GV23" s="246"/>
      <c r="GW23" s="246"/>
      <c r="GX23" s="246"/>
      <c r="GY23" s="246">
        <f>GY22/SQRT(15)</f>
        <v>4.905778905196061</v>
      </c>
      <c r="GZ23" s="246"/>
      <c r="HA23" s="246"/>
      <c r="HB23" s="246"/>
      <c r="HC23" s="246">
        <f>HC22/SQRT(15)</f>
        <v>5.4221766846903838</v>
      </c>
      <c r="HD23" s="246"/>
      <c r="HE23" s="246"/>
      <c r="HF23" s="246" t="s">
        <v>217</v>
      </c>
      <c r="HG23" s="246">
        <f>HG22/SQRT(15)</f>
        <v>1.9106717841289924</v>
      </c>
      <c r="HH23" s="246"/>
      <c r="HI23" s="246"/>
      <c r="HJ23" s="246"/>
      <c r="HK23" s="246">
        <f>HK22/SQRT(15)</f>
        <v>2.4528894525980305</v>
      </c>
      <c r="HL23" s="246"/>
      <c r="HM23" s="246"/>
      <c r="HN23" s="246"/>
      <c r="HO23" s="246">
        <f>HO22/SQRT(15)</f>
        <v>1.8073922282301278</v>
      </c>
      <c r="HP23" s="246"/>
      <c r="HQ23" s="246"/>
      <c r="HR23" s="246"/>
      <c r="HS23" s="246">
        <f>HS22/SQRT(15)</f>
        <v>1.7815723392554117</v>
      </c>
      <c r="HT23" s="246"/>
      <c r="HU23" s="246"/>
      <c r="HV23" s="246"/>
      <c r="HW23" s="246">
        <f>HW22/SQRT(15)</f>
        <v>2.3237900077244502</v>
      </c>
      <c r="HX23" s="246"/>
      <c r="HY23" s="246"/>
      <c r="HZ23" s="246"/>
      <c r="IA23" s="246">
        <f>IA22/SQRT(15)</f>
        <v>2.0914110069520051</v>
      </c>
      <c r="IB23" s="246"/>
      <c r="IC23" s="246"/>
      <c r="ID23" s="246"/>
      <c r="IE23" s="246">
        <f>IE22/SQRT(15)</f>
        <v>0.33565855667130945</v>
      </c>
      <c r="IF23" s="246"/>
      <c r="IG23" s="248"/>
      <c r="II23" s="421">
        <f>II22/SQRT(15)</f>
        <v>1.6782927833565473</v>
      </c>
      <c r="IM23" s="24">
        <f>IM22/SQRT(15)</f>
        <v>2.5561690084968953</v>
      </c>
      <c r="IN23" s="24" t="s">
        <v>217</v>
      </c>
      <c r="IQ23" s="24">
        <f>10/SQRT(15)</f>
        <v>2.5819888974716112</v>
      </c>
      <c r="KX23" s="24" t="s">
        <v>217</v>
      </c>
    </row>
    <row r="24" spans="1:363" s="24" customFormat="1" x14ac:dyDescent="0.2">
      <c r="FQ24" s="424"/>
      <c r="FY24" s="421"/>
    </row>
    <row r="25" spans="1:363" s="24" customFormat="1" x14ac:dyDescent="0.2">
      <c r="FQ25" s="424"/>
      <c r="FY25" s="421"/>
      <c r="KA25" s="24">
        <f>CORREL(KN3:KN17,HB3:HB17)</f>
        <v>0.63655618408772818</v>
      </c>
    </row>
    <row r="26" spans="1:363" s="24" customFormat="1" x14ac:dyDescent="0.2">
      <c r="CL26" s="24" t="s">
        <v>217</v>
      </c>
      <c r="FL26" s="424"/>
      <c r="FT26" s="421"/>
      <c r="HV26" s="24" t="s">
        <v>662</v>
      </c>
      <c r="HW26" s="24" t="s">
        <v>521</v>
      </c>
      <c r="HX26" s="24" t="s">
        <v>522</v>
      </c>
      <c r="HY26" s="24" t="s">
        <v>523</v>
      </c>
      <c r="HZ26" s="24" t="s">
        <v>655</v>
      </c>
      <c r="IA26" s="24" t="s">
        <v>310</v>
      </c>
      <c r="IB26" s="24" t="s">
        <v>518</v>
      </c>
      <c r="IC26" s="24" t="s">
        <v>519</v>
      </c>
      <c r="ID26" s="24" t="s">
        <v>656</v>
      </c>
      <c r="IE26" s="24" t="s">
        <v>659</v>
      </c>
      <c r="IF26" s="24" t="s">
        <v>660</v>
      </c>
      <c r="IG26" s="24" t="s">
        <v>520</v>
      </c>
      <c r="IH26" s="24" t="s">
        <v>653</v>
      </c>
      <c r="II26" s="24" t="s">
        <v>654</v>
      </c>
    </row>
    <row r="27" spans="1:363" s="24" customFormat="1" x14ac:dyDescent="0.2">
      <c r="FL27" s="424"/>
      <c r="FT27" s="421"/>
      <c r="HW27" s="24">
        <v>-0.35529889394031439</v>
      </c>
      <c r="HX27" s="24">
        <v>-0.29211373916045386</v>
      </c>
      <c r="HY27" s="24">
        <v>-0.21518479080140895</v>
      </c>
      <c r="HZ27" s="24">
        <v>-8.699872278311585E-2</v>
      </c>
      <c r="IA27" s="24">
        <v>-0.31808036443073923</v>
      </c>
      <c r="IB27" s="24">
        <v>-0.26075867745036507</v>
      </c>
      <c r="IC27" s="24">
        <v>-0.25813865717952023</v>
      </c>
      <c r="ID27" s="24">
        <v>-0.26087848142586018</v>
      </c>
      <c r="IE27" s="24">
        <v>-0.12715449255611508</v>
      </c>
      <c r="IF27" s="24">
        <v>-0.16817898183040944</v>
      </c>
      <c r="IG27" s="24">
        <v>-0.22070171368961619</v>
      </c>
      <c r="IH27" s="24">
        <v>-0.14831486217372353</v>
      </c>
      <c r="II27" s="24">
        <v>-0.27658289021075461</v>
      </c>
      <c r="MM27" s="24" t="s">
        <v>217</v>
      </c>
    </row>
    <row r="28" spans="1:363" s="24" customFormat="1" x14ac:dyDescent="0.2">
      <c r="FL28" s="424"/>
      <c r="FT28" s="421"/>
      <c r="HW28" s="24">
        <v>0.17107982432297858</v>
      </c>
      <c r="HX28" s="24">
        <v>0.13303820659874332</v>
      </c>
      <c r="HY28" s="24">
        <v>0.18980335174083621</v>
      </c>
      <c r="HZ28" s="24">
        <v>0.19906037068424953</v>
      </c>
      <c r="IA28" s="24">
        <v>0.19814481970533399</v>
      </c>
      <c r="IB28" s="24">
        <v>0.13231735442185522</v>
      </c>
      <c r="IC28" s="24">
        <v>0.17718560829347796</v>
      </c>
      <c r="ID28" s="24">
        <v>0.12322286173249333</v>
      </c>
      <c r="IE28" s="24">
        <v>0.16607899972969012</v>
      </c>
      <c r="IF28" s="24">
        <v>0.2380334141166888</v>
      </c>
      <c r="IG28" s="24">
        <v>0.17555826339042233</v>
      </c>
      <c r="IH28" s="24">
        <v>0.12787750193833866</v>
      </c>
      <c r="II28" s="24">
        <v>0.15640026672116597</v>
      </c>
    </row>
    <row r="29" spans="1:363" s="24" customFormat="1" x14ac:dyDescent="0.2">
      <c r="FL29" s="424"/>
      <c r="FT29" s="421"/>
      <c r="GK29" s="425"/>
      <c r="GL29" s="425"/>
      <c r="HW29" s="24">
        <v>4.4172620698332436E-2</v>
      </c>
      <c r="HX29" s="24">
        <v>3.4350317237748972E-2</v>
      </c>
      <c r="HY29" s="24">
        <v>4.9007014689773809E-2</v>
      </c>
      <c r="HZ29" s="24">
        <v>5.1397166703331568E-2</v>
      </c>
      <c r="IA29" s="24">
        <v>5.1160772457068647E-2</v>
      </c>
      <c r="IB29" s="24">
        <v>3.4164194006004636E-2</v>
      </c>
      <c r="IC29" s="24">
        <v>4.5749127340551393E-2</v>
      </c>
      <c r="ID29" s="24">
        <v>3.1816006090797724E-2</v>
      </c>
      <c r="IE29" s="24">
        <v>4.288141334052506E-2</v>
      </c>
      <c r="IF29" s="24">
        <v>6.1459963247655278E-2</v>
      </c>
      <c r="IG29" s="24">
        <v>4.5328948693346728E-2</v>
      </c>
      <c r="IH29" s="24">
        <v>3.3017829024119483E-2</v>
      </c>
      <c r="II29" s="24">
        <v>4.0382375223564922E-2</v>
      </c>
    </row>
    <row r="30" spans="1:363" s="24" customFormat="1" x14ac:dyDescent="0.2">
      <c r="FL30" s="424"/>
      <c r="FT30" s="421"/>
      <c r="HT30" s="25" t="s">
        <v>661</v>
      </c>
      <c r="HU30" s="24" t="b">
        <v>1</v>
      </c>
      <c r="HV30" s="24" t="s">
        <v>230</v>
      </c>
    </row>
    <row r="31" spans="1:363" s="24" customFormat="1" x14ac:dyDescent="0.2">
      <c r="FL31" s="424"/>
      <c r="FT31" s="421"/>
      <c r="HV31" s="24" t="s">
        <v>238</v>
      </c>
      <c r="HW31" s="24">
        <f>HW27*100</f>
        <v>-35.529889394031436</v>
      </c>
      <c r="HX31" s="24">
        <f t="shared" ref="HX31:II31" si="98">HX27*100</f>
        <v>-29.211373916045385</v>
      </c>
      <c r="HY31" s="24">
        <f t="shared" si="98"/>
        <v>-21.518479080140896</v>
      </c>
      <c r="HZ31" s="24">
        <f t="shared" si="98"/>
        <v>-8.6998722783115845</v>
      </c>
      <c r="IA31" s="24">
        <f t="shared" si="98"/>
        <v>-31.808036443073924</v>
      </c>
      <c r="IB31" s="24">
        <f t="shared" si="98"/>
        <v>-26.075867745036508</v>
      </c>
      <c r="IC31" s="24">
        <f t="shared" si="98"/>
        <v>-25.813865717952023</v>
      </c>
      <c r="ID31" s="24">
        <f t="shared" si="98"/>
        <v>-26.087848142586019</v>
      </c>
      <c r="IE31" s="24">
        <f t="shared" si="98"/>
        <v>-12.715449255611508</v>
      </c>
      <c r="IF31" s="24">
        <f t="shared" si="98"/>
        <v>-16.817898183040946</v>
      </c>
      <c r="IG31" s="24">
        <f t="shared" si="98"/>
        <v>-22.070171368961621</v>
      </c>
      <c r="IH31" s="24">
        <f t="shared" si="98"/>
        <v>-14.831486217372353</v>
      </c>
      <c r="II31" s="24">
        <f t="shared" si="98"/>
        <v>-27.658289021075461</v>
      </c>
      <c r="JL31" s="24" t="s">
        <v>217</v>
      </c>
    </row>
    <row r="32" spans="1:363" s="24" customFormat="1" x14ac:dyDescent="0.2">
      <c r="FL32" s="424"/>
      <c r="FT32" s="421"/>
      <c r="HV32" s="24" t="s">
        <v>54</v>
      </c>
      <c r="HW32" s="24">
        <f>HW29*100</f>
        <v>4.4172620698332432</v>
      </c>
      <c r="HX32" s="24">
        <f t="shared" ref="HX32:II32" si="99">HX29*100</f>
        <v>3.4350317237748973</v>
      </c>
      <c r="HY32" s="24">
        <f t="shared" si="99"/>
        <v>4.9007014689773811</v>
      </c>
      <c r="HZ32" s="24">
        <f t="shared" si="99"/>
        <v>5.1397166703331569</v>
      </c>
      <c r="IA32" s="24">
        <f t="shared" si="99"/>
        <v>5.1160772457068644</v>
      </c>
      <c r="IB32" s="24">
        <f t="shared" si="99"/>
        <v>3.4164194006004638</v>
      </c>
      <c r="IC32" s="24">
        <f t="shared" si="99"/>
        <v>4.5749127340551397</v>
      </c>
      <c r="ID32" s="24">
        <f t="shared" si="99"/>
        <v>3.1816006090797724</v>
      </c>
      <c r="IE32" s="24">
        <f t="shared" si="99"/>
        <v>4.2881413340525061</v>
      </c>
      <c r="IF32" s="24">
        <f t="shared" si="99"/>
        <v>6.1459963247655276</v>
      </c>
      <c r="IG32" s="24">
        <f t="shared" si="99"/>
        <v>4.5328948693346724</v>
      </c>
      <c r="IH32" s="24">
        <f t="shared" si="99"/>
        <v>3.3017829024119481</v>
      </c>
      <c r="II32" s="24">
        <f t="shared" si="99"/>
        <v>4.0382375223564919</v>
      </c>
    </row>
    <row r="33" spans="168:246" s="24" customFormat="1" x14ac:dyDescent="0.2">
      <c r="FL33" s="424"/>
      <c r="FT33" s="421"/>
    </row>
    <row r="34" spans="168:246" s="24" customFormat="1" x14ac:dyDescent="0.2">
      <c r="FL34" s="424"/>
      <c r="FT34" s="421"/>
      <c r="HV34" s="24" t="s">
        <v>614</v>
      </c>
    </row>
    <row r="35" spans="168:246" s="24" customFormat="1" x14ac:dyDescent="0.2">
      <c r="FL35" s="424"/>
      <c r="FT35" s="421"/>
      <c r="HV35" s="24" t="s">
        <v>238</v>
      </c>
      <c r="HW35" s="24">
        <v>-0.4310436288466668</v>
      </c>
      <c r="HX35" s="24">
        <v>-0.30209760827333337</v>
      </c>
      <c r="HY35" s="24">
        <v>-0.16283138669333327</v>
      </c>
      <c r="HZ35" s="24">
        <v>-0.10726679822666668</v>
      </c>
      <c r="IA35" s="24">
        <v>-0.42615136114666663</v>
      </c>
      <c r="IB35" s="24">
        <v>-0.37686010087333333</v>
      </c>
      <c r="IC35" s="24">
        <v>-0.24818905046666664</v>
      </c>
      <c r="ID35" s="24">
        <v>-0.28155138299333338</v>
      </c>
      <c r="IE35" s="24">
        <v>-0.12966095330000002</v>
      </c>
      <c r="IF35" s="24">
        <v>-0.27650326446000001</v>
      </c>
      <c r="IG35" s="24">
        <v>-0.2651409983866666</v>
      </c>
      <c r="IH35" s="24">
        <v>-0.17112701642666661</v>
      </c>
      <c r="II35" s="24">
        <v>-0.20563475518666668</v>
      </c>
    </row>
    <row r="36" spans="168:246" s="24" customFormat="1" x14ac:dyDescent="0.2">
      <c r="FL36" s="424"/>
      <c r="FT36" s="421"/>
      <c r="HV36" s="24" t="s">
        <v>54</v>
      </c>
      <c r="HW36" s="24">
        <v>7.771566769275344E-2</v>
      </c>
      <c r="HX36" s="24">
        <v>4.0748366163278683E-2</v>
      </c>
      <c r="HY36" s="24">
        <v>4.1314209407310919E-2</v>
      </c>
      <c r="HZ36" s="24">
        <v>5.2417875682137807E-2</v>
      </c>
      <c r="IA36" s="24">
        <v>7.010279347190583E-2</v>
      </c>
      <c r="IB36" s="24">
        <v>5.6191921507181983E-2</v>
      </c>
      <c r="IC36" s="24">
        <v>5.0250616709248311E-2</v>
      </c>
      <c r="ID36" s="24">
        <v>5.0620228358573029E-2</v>
      </c>
      <c r="IE36" s="24">
        <v>4.5728727485187394E-2</v>
      </c>
      <c r="IF36" s="24">
        <v>7.8611976059099517E-2</v>
      </c>
      <c r="IG36" s="24">
        <v>5.6317398378349912E-2</v>
      </c>
      <c r="IH36" s="24">
        <v>4.0070637829185123E-2</v>
      </c>
      <c r="II36" s="24">
        <v>3.4874207133812278E-2</v>
      </c>
    </row>
    <row r="37" spans="168:246" s="24" customFormat="1" x14ac:dyDescent="0.2">
      <c r="FL37" s="424"/>
      <c r="FT37" s="421"/>
    </row>
    <row r="38" spans="168:246" s="24" customFormat="1" x14ac:dyDescent="0.2">
      <c r="FL38" s="424"/>
      <c r="FT38" s="421"/>
      <c r="HT38" s="25" t="s">
        <v>664</v>
      </c>
    </row>
    <row r="39" spans="168:246" s="24" customFormat="1" x14ac:dyDescent="0.2">
      <c r="FL39" s="424"/>
      <c r="FT39" s="421"/>
      <c r="HT39" s="24" t="s">
        <v>663</v>
      </c>
      <c r="HV39" s="24" t="s">
        <v>238</v>
      </c>
      <c r="HW39" s="24">
        <v>-36.114021785641739</v>
      </c>
      <c r="HX39" s="24">
        <v>-28.979846593578927</v>
      </c>
      <c r="HY39" s="24">
        <v>-23.165503299377814</v>
      </c>
      <c r="HZ39" s="24">
        <v>-10.926222270130886</v>
      </c>
      <c r="IA39" s="24">
        <v>-32.183139898586248</v>
      </c>
      <c r="IB39" s="24">
        <v>-29.372686577533475</v>
      </c>
      <c r="IC39" s="24">
        <v>-35.415103438255038</v>
      </c>
      <c r="ID39" s="24">
        <v>-34.715915794177981</v>
      </c>
      <c r="IE39" s="24">
        <v>-27.681776906994859</v>
      </c>
      <c r="IF39" s="24">
        <v>-25.569696357001824</v>
      </c>
      <c r="IG39" s="24">
        <v>-30.910832813834844</v>
      </c>
      <c r="IH39" s="24">
        <v>-24.057270264032628</v>
      </c>
      <c r="II39" s="24">
        <v>-25.174240617206493</v>
      </c>
    </row>
    <row r="40" spans="168:246" s="24" customFormat="1" x14ac:dyDescent="0.2">
      <c r="FL40" s="424"/>
      <c r="FT40" s="421"/>
      <c r="HV40" s="24" t="s">
        <v>53</v>
      </c>
      <c r="HW40" s="24">
        <v>34.299879063323381</v>
      </c>
      <c r="HX40" s="24">
        <v>32.801561381051215</v>
      </c>
      <c r="HY40" s="24">
        <v>44.09588854516425</v>
      </c>
      <c r="HZ40" s="24">
        <v>43.538141179612808</v>
      </c>
      <c r="IA40" s="24">
        <v>32.471033679574077</v>
      </c>
      <c r="IB40" s="24">
        <v>29.670717257659341</v>
      </c>
      <c r="IC40" s="24">
        <v>25.946483131594512</v>
      </c>
      <c r="ID40" s="24">
        <v>25.7718936476187</v>
      </c>
      <c r="IE40" s="24">
        <v>29.007435308882744</v>
      </c>
      <c r="IF40" s="24">
        <v>31.771711420073341</v>
      </c>
      <c r="IG40" s="24">
        <v>26.978251810416292</v>
      </c>
      <c r="IH40" s="24">
        <v>30.282998022250929</v>
      </c>
      <c r="II40" s="24">
        <v>29.779802582370568</v>
      </c>
    </row>
    <row r="41" spans="168:246" s="24" customFormat="1" x14ac:dyDescent="0.2">
      <c r="FL41" s="424"/>
      <c r="FT41" s="421"/>
      <c r="HV41" s="24" t="s">
        <v>54</v>
      </c>
      <c r="HW41" s="24">
        <v>8.8561906926119924</v>
      </c>
      <c r="HX41" s="24">
        <v>8.4693267305607804</v>
      </c>
      <c r="HY41" s="24">
        <v>11.38550946477597</v>
      </c>
      <c r="HZ41" s="24">
        <v>11.241499714231184</v>
      </c>
      <c r="IA41" s="24">
        <v>8.3839848450087029</v>
      </c>
      <c r="IB41" s="24">
        <v>7.6609462539295752</v>
      </c>
      <c r="IC41" s="24">
        <v>6.6993531374211459</v>
      </c>
      <c r="ID41" s="24">
        <v>6.6542743264970632</v>
      </c>
      <c r="IE41" s="24">
        <v>7.4896875911661249</v>
      </c>
      <c r="IF41" s="24">
        <v>8.2034206140301364</v>
      </c>
      <c r="IG41" s="24">
        <v>6.9657546647688262</v>
      </c>
      <c r="IH41" s="24">
        <v>7.8190364675606654</v>
      </c>
      <c r="II41" s="24">
        <v>7.6891119636577212</v>
      </c>
      <c r="IL41" s="24" t="s">
        <v>217</v>
      </c>
    </row>
    <row r="42" spans="168:246" s="24" customFormat="1" x14ac:dyDescent="0.2">
      <c r="FL42" s="424"/>
      <c r="FT42" s="421"/>
    </row>
    <row r="43" spans="168:246" s="24" customFormat="1" x14ac:dyDescent="0.2">
      <c r="HW43" s="24" t="s">
        <v>521</v>
      </c>
      <c r="HX43" s="24" t="s">
        <v>522</v>
      </c>
      <c r="HY43" s="24" t="s">
        <v>523</v>
      </c>
      <c r="HZ43" s="24" t="s">
        <v>655</v>
      </c>
      <c r="IA43" s="24" t="s">
        <v>310</v>
      </c>
      <c r="IB43" s="24" t="s">
        <v>518</v>
      </c>
      <c r="IC43" s="24" t="s">
        <v>519</v>
      </c>
      <c r="ID43" s="24" t="s">
        <v>656</v>
      </c>
      <c r="IE43" s="24" t="s">
        <v>659</v>
      </c>
      <c r="IF43" s="24" t="s">
        <v>660</v>
      </c>
      <c r="IG43" s="24" t="s">
        <v>520</v>
      </c>
      <c r="IH43" s="24" t="s">
        <v>653</v>
      </c>
      <c r="II43" s="24" t="s">
        <v>654</v>
      </c>
    </row>
    <row r="44" spans="168:246" s="24" customFormat="1" x14ac:dyDescent="0.2">
      <c r="FL44" s="324"/>
      <c r="FM44" s="423"/>
      <c r="HT44" s="24" t="s">
        <v>665</v>
      </c>
      <c r="HV44" s="24" t="s">
        <v>238</v>
      </c>
      <c r="HW44" s="24">
        <v>11.3</v>
      </c>
      <c r="HX44" s="24">
        <v>6.6</v>
      </c>
      <c r="HY44" s="24">
        <v>10.1</v>
      </c>
      <c r="HZ44" s="24">
        <v>3.2</v>
      </c>
      <c r="IA44" s="24">
        <v>-0.23</v>
      </c>
      <c r="IB44" s="24">
        <v>1.3</v>
      </c>
      <c r="IC44" s="24">
        <v>5.3</v>
      </c>
      <c r="ID44" s="421">
        <v>1.7</v>
      </c>
      <c r="IE44" s="24">
        <v>1.9</v>
      </c>
      <c r="IF44" s="24">
        <v>3.3</v>
      </c>
      <c r="IG44" s="24">
        <v>-0.2</v>
      </c>
      <c r="IH44" s="24">
        <f>0.5</f>
        <v>0.5</v>
      </c>
      <c r="II44" s="24">
        <v>0.26</v>
      </c>
    </row>
    <row r="45" spans="168:246" s="24" customFormat="1" x14ac:dyDescent="0.2">
      <c r="HT45" s="24" t="s">
        <v>230</v>
      </c>
      <c r="HV45" s="24" t="s">
        <v>53</v>
      </c>
      <c r="HW45" s="24">
        <v>10.7</v>
      </c>
      <c r="HX45" s="24">
        <v>6.7</v>
      </c>
      <c r="HY45" s="24">
        <v>10.8</v>
      </c>
      <c r="HZ45" s="24">
        <v>1.3</v>
      </c>
      <c r="IA45" s="24">
        <v>9</v>
      </c>
      <c r="IB45" s="24">
        <v>9.5</v>
      </c>
      <c r="IC45" s="24">
        <v>7.4</v>
      </c>
      <c r="ID45" s="422">
        <v>6.5</v>
      </c>
      <c r="IE45" s="24">
        <v>9.9</v>
      </c>
      <c r="IF45" s="24">
        <v>10</v>
      </c>
      <c r="IG45" s="24">
        <v>6.9</v>
      </c>
      <c r="IH45" s="24">
        <v>7</v>
      </c>
      <c r="II45" s="24">
        <v>8.1</v>
      </c>
    </row>
    <row r="46" spans="168:246" s="24" customFormat="1" x14ac:dyDescent="0.2">
      <c r="HV46" s="24" t="s">
        <v>54</v>
      </c>
      <c r="HW46" s="24">
        <v>2.7627281202946237</v>
      </c>
      <c r="HX46" s="24">
        <v>1.7299325613059795</v>
      </c>
      <c r="HY46" s="24">
        <v>2.7885480092693404</v>
      </c>
      <c r="HZ46" s="24">
        <f>HZ45/SQRT(15)</f>
        <v>0.33565855667130945</v>
      </c>
      <c r="IA46" s="24">
        <v>2.3237900077244502</v>
      </c>
      <c r="IB46" s="24">
        <f>IB45/SQRT(15)</f>
        <v>2.4528894525980305</v>
      </c>
      <c r="IC46" s="24">
        <f>IC45/SQRT(15)</f>
        <v>1.9106717841289924</v>
      </c>
      <c r="ID46" s="421">
        <f>ID45/SQRT(15)</f>
        <v>1.6782927833565473</v>
      </c>
      <c r="IE46" s="24">
        <f>IE45/SQRT(15)</f>
        <v>2.5561690084968953</v>
      </c>
      <c r="IF46" s="24">
        <v>2.5819888974716112</v>
      </c>
      <c r="IG46" s="24">
        <f>IG45/SQRT(15)</f>
        <v>1.7815723392554117</v>
      </c>
      <c r="IH46" s="24">
        <f>IH45/SQRT(15)</f>
        <v>1.8073922282301278</v>
      </c>
      <c r="II46" s="24">
        <f>II45/SQRT(15)</f>
        <v>2.0914110069520051</v>
      </c>
    </row>
    <row r="47" spans="168:246" s="24" customFormat="1" x14ac:dyDescent="0.2"/>
    <row r="48" spans="168:246" s="24" customFormat="1" x14ac:dyDescent="0.2"/>
    <row r="49" s="24" customFormat="1" x14ac:dyDescent="0.2"/>
    <row r="50" s="24" customFormat="1" x14ac:dyDescent="0.2"/>
    <row r="51" s="24" customFormat="1" x14ac:dyDescent="0.2"/>
    <row r="52" s="24" customFormat="1" x14ac:dyDescent="0.2"/>
    <row r="53" s="24" customFormat="1" x14ac:dyDescent="0.2"/>
    <row r="54" s="24" customFormat="1" x14ac:dyDescent="0.2"/>
    <row r="55" s="24" customFormat="1" x14ac:dyDescent="0.2"/>
    <row r="56" s="24" customFormat="1" x14ac:dyDescent="0.2"/>
    <row r="57" s="24" customFormat="1" x14ac:dyDescent="0.2"/>
    <row r="58" s="24" customFormat="1" x14ac:dyDescent="0.2"/>
    <row r="59" s="24" customFormat="1" x14ac:dyDescent="0.2"/>
    <row r="60" s="24" customFormat="1" x14ac:dyDescent="0.2"/>
    <row r="61" s="24" customFormat="1" x14ac:dyDescent="0.2"/>
    <row r="62" s="24" customFormat="1" x14ac:dyDescent="0.2"/>
    <row r="63" s="24" customFormat="1" x14ac:dyDescent="0.2"/>
    <row r="64" s="24" customFormat="1" x14ac:dyDescent="0.2"/>
    <row r="65" s="24" customFormat="1" x14ac:dyDescent="0.2"/>
  </sheetData>
  <mergeCells count="12">
    <mergeCell ref="MD1:MH1"/>
    <mergeCell ref="MI1:ML1"/>
    <mergeCell ref="MP1:MP2"/>
    <mergeCell ref="MQ1:MY1"/>
    <mergeCell ref="DA1:DD1"/>
    <mergeCell ref="DE1:DH1"/>
    <mergeCell ref="DI1:DL1"/>
    <mergeCell ref="DR1:DU1"/>
    <mergeCell ref="DV1:DY1"/>
    <mergeCell ref="DZ1:ED1"/>
    <mergeCell ref="EE1:EH1"/>
    <mergeCell ref="EI1:EL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53"/>
  <sheetViews>
    <sheetView topLeftCell="A2" zoomScale="75" zoomScaleNormal="75" zoomScalePageLayoutView="75" workbookViewId="0">
      <pane xSplit="1" topLeftCell="DM1" activePane="topRight" state="frozen"/>
      <selection pane="topRight" activeCell="A2" sqref="A2:A17"/>
    </sheetView>
  </sheetViews>
  <sheetFormatPr baseColWidth="10" defaultColWidth="8.6640625" defaultRowHeight="15" x14ac:dyDescent="0.2"/>
  <cols>
    <col min="1" max="79" width="8.6640625" style="5"/>
    <col min="80" max="80" width="11.1640625" style="5" customWidth="1"/>
    <col min="81" max="84" width="8.6640625" style="5"/>
    <col min="85" max="86" width="8.6640625" style="5" customWidth="1"/>
    <col min="87" max="16384" width="8.6640625" style="5"/>
  </cols>
  <sheetData>
    <row r="1" spans="1:161" s="6" customFormat="1" ht="17" thickBot="1" x14ac:dyDescent="0.25">
      <c r="A1" s="67"/>
      <c r="B1" s="218" t="s">
        <v>347</v>
      </c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330" t="s">
        <v>768</v>
      </c>
      <c r="N1" s="330"/>
      <c r="O1" s="330"/>
      <c r="P1" s="330"/>
      <c r="Q1" s="330"/>
      <c r="R1" s="330"/>
      <c r="S1" s="330"/>
      <c r="T1" s="67" t="s">
        <v>697</v>
      </c>
      <c r="AE1" s="7"/>
      <c r="AG1" s="67" t="s">
        <v>644</v>
      </c>
      <c r="AS1" s="7" t="s">
        <v>734</v>
      </c>
      <c r="AU1" s="67" t="s">
        <v>661</v>
      </c>
      <c r="AV1" s="6" t="s">
        <v>711</v>
      </c>
      <c r="AW1" s="475" t="s">
        <v>501</v>
      </c>
      <c r="AX1" s="237" t="s">
        <v>501</v>
      </c>
      <c r="AY1" s="544" t="s">
        <v>687</v>
      </c>
      <c r="AZ1" s="544"/>
      <c r="BA1" s="544"/>
      <c r="BB1" s="544"/>
      <c r="BC1" s="544"/>
      <c r="BD1" s="544"/>
      <c r="BE1" s="544"/>
      <c r="BF1" s="544"/>
      <c r="BG1" s="544"/>
      <c r="BH1" s="510" t="s">
        <v>747</v>
      </c>
      <c r="BI1" s="476"/>
      <c r="BJ1" s="561" t="s">
        <v>701</v>
      </c>
      <c r="BK1" s="562"/>
      <c r="BL1" s="562"/>
      <c r="BM1" s="562"/>
      <c r="BQ1" s="477" t="s">
        <v>584</v>
      </c>
      <c r="BR1" s="478" t="s">
        <v>587</v>
      </c>
      <c r="BU1" s="479" t="s">
        <v>586</v>
      </c>
      <c r="BV1" s="6" t="s">
        <v>710</v>
      </c>
      <c r="BX1" s="479" t="s">
        <v>592</v>
      </c>
      <c r="CA1" s="480" t="s">
        <v>721</v>
      </c>
      <c r="CB1" s="480" t="s">
        <v>722</v>
      </c>
      <c r="CC1" s="481" t="s">
        <v>724</v>
      </c>
      <c r="CD1" s="331" t="s">
        <v>725</v>
      </c>
      <c r="CE1" s="331" t="s">
        <v>726</v>
      </c>
      <c r="CF1" s="331" t="s">
        <v>727</v>
      </c>
      <c r="CG1" s="482" t="s">
        <v>52</v>
      </c>
      <c r="CH1" s="503" t="s">
        <v>733</v>
      </c>
      <c r="CI1" s="498" t="s">
        <v>732</v>
      </c>
      <c r="CJ1" s="65" t="s">
        <v>55</v>
      </c>
      <c r="CK1" s="6" t="s">
        <v>56</v>
      </c>
      <c r="CL1" s="136" t="s">
        <v>731</v>
      </c>
      <c r="CM1" s="65"/>
      <c r="CO1" s="483" t="s">
        <v>730</v>
      </c>
      <c r="CP1" s="484"/>
      <c r="CQ1" s="485"/>
      <c r="CR1" s="483" t="s">
        <v>728</v>
      </c>
      <c r="CS1" s="65"/>
      <c r="CU1" s="160" t="s">
        <v>729</v>
      </c>
      <c r="CV1" s="182" t="s">
        <v>740</v>
      </c>
      <c r="CW1" s="160" t="s">
        <v>741</v>
      </c>
      <c r="CX1" s="187" t="s">
        <v>742</v>
      </c>
      <c r="CY1" s="432" t="s">
        <v>661</v>
      </c>
      <c r="CZ1" s="432"/>
      <c r="DA1" s="508" t="s">
        <v>743</v>
      </c>
      <c r="DB1" s="508" t="s">
        <v>743</v>
      </c>
      <c r="DC1" s="6" t="s">
        <v>711</v>
      </c>
      <c r="DD1" s="6">
        <v>1</v>
      </c>
      <c r="DE1" s="6">
        <v>2</v>
      </c>
      <c r="DF1" s="6">
        <v>3</v>
      </c>
      <c r="DG1" s="6">
        <v>4</v>
      </c>
      <c r="DH1" s="6">
        <v>5</v>
      </c>
      <c r="DI1" s="6">
        <v>6</v>
      </c>
      <c r="DJ1" s="6">
        <v>7</v>
      </c>
      <c r="DK1" s="6">
        <v>8</v>
      </c>
      <c r="DL1" s="6">
        <v>9</v>
      </c>
      <c r="DM1" s="6">
        <v>10</v>
      </c>
      <c r="DN1" s="6">
        <v>11</v>
      </c>
      <c r="DO1" s="6">
        <v>12</v>
      </c>
      <c r="DY1" s="6" t="s">
        <v>750</v>
      </c>
      <c r="EV1" s="6" t="s">
        <v>751</v>
      </c>
      <c r="EW1" s="6" t="s">
        <v>752</v>
      </c>
      <c r="EY1" s="6" t="s">
        <v>453</v>
      </c>
      <c r="EZ1" s="6" t="s">
        <v>750</v>
      </c>
      <c r="FA1" s="6" t="s">
        <v>770</v>
      </c>
      <c r="FB1" s="6" t="s">
        <v>770</v>
      </c>
      <c r="FC1" s="6" t="s">
        <v>770</v>
      </c>
      <c r="FE1" s="6" t="s">
        <v>794</v>
      </c>
    </row>
    <row r="2" spans="1:161" s="6" customFormat="1" ht="17" thickBot="1" x14ac:dyDescent="0.25">
      <c r="A2" s="67"/>
      <c r="B2" s="146" t="s">
        <v>406</v>
      </c>
      <c r="C2" s="71" t="s">
        <v>407</v>
      </c>
      <c r="D2" s="142" t="s">
        <v>408</v>
      </c>
      <c r="E2" s="147" t="s">
        <v>409</v>
      </c>
      <c r="F2" s="136" t="s">
        <v>410</v>
      </c>
      <c r="G2" s="135" t="s">
        <v>411</v>
      </c>
      <c r="H2" s="148" t="s">
        <v>412</v>
      </c>
      <c r="I2" s="149" t="s">
        <v>413</v>
      </c>
      <c r="J2" s="150" t="s">
        <v>414</v>
      </c>
      <c r="K2" s="141" t="s">
        <v>415</v>
      </c>
      <c r="L2" s="143" t="s">
        <v>416</v>
      </c>
      <c r="M2" s="486"/>
      <c r="N2" s="487" t="s">
        <v>621</v>
      </c>
      <c r="O2" s="487" t="s">
        <v>330</v>
      </c>
      <c r="P2" s="487" t="s">
        <v>622</v>
      </c>
      <c r="Q2" s="487" t="s">
        <v>332</v>
      </c>
      <c r="R2" s="487" t="s">
        <v>333</v>
      </c>
      <c r="S2" s="487" t="s">
        <v>334</v>
      </c>
      <c r="T2" s="67" t="s">
        <v>521</v>
      </c>
      <c r="U2" s="6" t="s">
        <v>522</v>
      </c>
      <c r="V2" s="6" t="s">
        <v>523</v>
      </c>
      <c r="W2" s="6" t="s">
        <v>655</v>
      </c>
      <c r="X2" s="6" t="s">
        <v>310</v>
      </c>
      <c r="Y2" s="6" t="s">
        <v>518</v>
      </c>
      <c r="Z2" s="6" t="s">
        <v>519</v>
      </c>
      <c r="AA2" s="6" t="s">
        <v>656</v>
      </c>
      <c r="AB2" s="6" t="s">
        <v>698</v>
      </c>
      <c r="AC2" s="6" t="s">
        <v>699</v>
      </c>
      <c r="AD2" s="6" t="s">
        <v>520</v>
      </c>
      <c r="AE2" s="7" t="s">
        <v>653</v>
      </c>
      <c r="AF2" s="488" t="s">
        <v>238</v>
      </c>
      <c r="AG2" s="67" t="s">
        <v>521</v>
      </c>
      <c r="AH2" s="6" t="s">
        <v>522</v>
      </c>
      <c r="AI2" s="6" t="s">
        <v>523</v>
      </c>
      <c r="AJ2" s="6" t="s">
        <v>655</v>
      </c>
      <c r="AK2" s="6" t="s">
        <v>310</v>
      </c>
      <c r="AL2" s="6" t="s">
        <v>518</v>
      </c>
      <c r="AM2" s="6" t="s">
        <v>519</v>
      </c>
      <c r="AN2" s="6" t="s">
        <v>656</v>
      </c>
      <c r="AO2" s="6" t="s">
        <v>698</v>
      </c>
      <c r="AP2" s="6" t="s">
        <v>699</v>
      </c>
      <c r="AQ2" s="6" t="s">
        <v>520</v>
      </c>
      <c r="AR2" s="6" t="s">
        <v>653</v>
      </c>
      <c r="AS2" s="192" t="s">
        <v>654</v>
      </c>
      <c r="AT2" s="488" t="s">
        <v>238</v>
      </c>
      <c r="AU2" s="489" t="s">
        <v>700</v>
      </c>
      <c r="AV2" s="165" t="s">
        <v>579</v>
      </c>
      <c r="AW2" s="490" t="s">
        <v>517</v>
      </c>
      <c r="AX2" s="488" t="s">
        <v>707</v>
      </c>
      <c r="AY2" s="139" t="s">
        <v>688</v>
      </c>
      <c r="AZ2" s="139" t="s">
        <v>689</v>
      </c>
      <c r="BA2" s="139" t="s">
        <v>690</v>
      </c>
      <c r="BB2" s="139" t="s">
        <v>691</v>
      </c>
      <c r="BC2" s="139" t="s">
        <v>692</v>
      </c>
      <c r="BD2" s="139" t="s">
        <v>693</v>
      </c>
      <c r="BE2" s="139" t="s">
        <v>694</v>
      </c>
      <c r="BF2" s="139" t="s">
        <v>695</v>
      </c>
      <c r="BG2" s="139" t="s">
        <v>696</v>
      </c>
      <c r="BH2" s="65" t="s">
        <v>702</v>
      </c>
      <c r="BI2" s="476"/>
      <c r="BJ2" s="491" t="s">
        <v>513</v>
      </c>
      <c r="BK2" s="491" t="s">
        <v>514</v>
      </c>
      <c r="BL2" s="492" t="s">
        <v>515</v>
      </c>
      <c r="BM2" s="493" t="s">
        <v>516</v>
      </c>
      <c r="BN2" s="494" t="s">
        <v>704</v>
      </c>
      <c r="BO2" s="494" t="s">
        <v>705</v>
      </c>
      <c r="BP2" s="494" t="s">
        <v>706</v>
      </c>
      <c r="BQ2" s="479" t="s">
        <v>592</v>
      </c>
      <c r="BR2" s="495" t="s">
        <v>588</v>
      </c>
      <c r="BS2" s="6" t="s">
        <v>709</v>
      </c>
      <c r="BT2" s="6" t="s">
        <v>616</v>
      </c>
      <c r="BU2" s="495" t="s">
        <v>588</v>
      </c>
      <c r="BV2" s="495" t="s">
        <v>607</v>
      </c>
      <c r="BW2" s="6" t="s">
        <v>616</v>
      </c>
      <c r="BX2" s="495" t="s">
        <v>590</v>
      </c>
      <c r="BY2" s="495" t="s">
        <v>588</v>
      </c>
      <c r="BZ2" s="495" t="s">
        <v>616</v>
      </c>
      <c r="CC2" s="481">
        <v>219</v>
      </c>
      <c r="CD2" s="331">
        <v>271</v>
      </c>
      <c r="CE2" s="331">
        <v>256</v>
      </c>
      <c r="CF2" s="331">
        <v>253</v>
      </c>
      <c r="CG2" s="7"/>
      <c r="CH2" s="504"/>
      <c r="CI2" s="501"/>
      <c r="CJ2" s="496" t="s">
        <v>712</v>
      </c>
      <c r="CL2" s="497" t="s">
        <v>347</v>
      </c>
      <c r="CM2" s="65" t="s">
        <v>713</v>
      </c>
      <c r="CN2" s="237" t="s">
        <v>714</v>
      </c>
      <c r="CO2" s="483" t="s">
        <v>715</v>
      </c>
      <c r="CP2" s="484" t="s">
        <v>717</v>
      </c>
      <c r="CQ2" s="485" t="s">
        <v>716</v>
      </c>
      <c r="CR2" s="483"/>
      <c r="CS2" s="65" t="s">
        <v>718</v>
      </c>
      <c r="CT2" s="6" t="s">
        <v>719</v>
      </c>
      <c r="CU2" s="190" t="s">
        <v>720</v>
      </c>
      <c r="CV2" s="190" t="s">
        <v>737</v>
      </c>
      <c r="CW2" s="136" t="s">
        <v>739</v>
      </c>
      <c r="CX2" s="189" t="s">
        <v>738</v>
      </c>
      <c r="CY2" s="498" t="s">
        <v>735</v>
      </c>
      <c r="CZ2" s="507" t="s">
        <v>736</v>
      </c>
      <c r="DA2" s="508" t="s">
        <v>744</v>
      </c>
      <c r="DB2" s="508" t="s">
        <v>745</v>
      </c>
      <c r="DC2" s="165" t="s">
        <v>579</v>
      </c>
      <c r="DD2" s="152" t="s">
        <v>568</v>
      </c>
      <c r="DE2" s="165" t="s">
        <v>572</v>
      </c>
      <c r="DF2" s="165" t="s">
        <v>576</v>
      </c>
      <c r="DG2" s="165" t="s">
        <v>723</v>
      </c>
      <c r="DH2" s="165" t="s">
        <v>518</v>
      </c>
      <c r="DI2" s="165" t="s">
        <v>653</v>
      </c>
      <c r="DJ2" s="165" t="s">
        <v>520</v>
      </c>
      <c r="DK2" s="165" t="s">
        <v>310</v>
      </c>
      <c r="DL2" s="165" t="s">
        <v>655</v>
      </c>
      <c r="DM2" s="165" t="s">
        <v>656</v>
      </c>
      <c r="DN2" s="165" t="s">
        <v>671</v>
      </c>
      <c r="DO2" s="165" t="s">
        <v>672</v>
      </c>
      <c r="DP2" s="165" t="s">
        <v>238</v>
      </c>
      <c r="DQ2" s="94" t="s">
        <v>276</v>
      </c>
      <c r="DR2" s="95" t="s">
        <v>265</v>
      </c>
      <c r="DS2" s="95" t="s">
        <v>270</v>
      </c>
      <c r="DT2" s="95" t="s">
        <v>271</v>
      </c>
      <c r="DU2" s="95" t="s">
        <v>272</v>
      </c>
      <c r="DV2" s="95" t="s">
        <v>273</v>
      </c>
      <c r="DW2" s="95" t="s">
        <v>274</v>
      </c>
      <c r="DX2" s="94" t="s">
        <v>276</v>
      </c>
      <c r="DY2" s="150" t="s">
        <v>29</v>
      </c>
      <c r="DZ2" s="94" t="s">
        <v>276</v>
      </c>
      <c r="EA2" s="95" t="s">
        <v>268</v>
      </c>
      <c r="EB2" s="95" t="s">
        <v>269</v>
      </c>
      <c r="EC2" s="96" t="s">
        <v>247</v>
      </c>
      <c r="ED2" s="95" t="s">
        <v>248</v>
      </c>
      <c r="EE2" s="95" t="s">
        <v>250</v>
      </c>
      <c r="EF2" s="18" t="s">
        <v>251</v>
      </c>
      <c r="EG2" s="67" t="s">
        <v>252</v>
      </c>
      <c r="EH2" s="95" t="s">
        <v>253</v>
      </c>
      <c r="EI2" s="95" t="s">
        <v>256</v>
      </c>
      <c r="EJ2" s="95" t="s">
        <v>255</v>
      </c>
      <c r="EK2" s="95" t="s">
        <v>259</v>
      </c>
      <c r="EL2" s="95" t="s">
        <v>258</v>
      </c>
      <c r="EM2" s="95" t="s">
        <v>257</v>
      </c>
      <c r="EN2" s="95" t="s">
        <v>263</v>
      </c>
      <c r="EO2" s="95" t="s">
        <v>264</v>
      </c>
      <c r="EP2" s="95" t="s">
        <v>265</v>
      </c>
      <c r="EQ2" s="95" t="s">
        <v>266</v>
      </c>
      <c r="ER2" s="95" t="s">
        <v>249</v>
      </c>
      <c r="ES2" s="95" t="s">
        <v>350</v>
      </c>
      <c r="ET2" s="487" t="s">
        <v>334</v>
      </c>
      <c r="EU2" s="4" t="s">
        <v>20</v>
      </c>
      <c r="EV2" s="6" t="s">
        <v>29</v>
      </c>
      <c r="EW2" s="6" t="s">
        <v>29</v>
      </c>
      <c r="EX2" s="161" t="s">
        <v>518</v>
      </c>
      <c r="EY2" s="65" t="s">
        <v>455</v>
      </c>
      <c r="EZ2" s="150" t="s">
        <v>29</v>
      </c>
      <c r="FA2" s="65" t="s">
        <v>769</v>
      </c>
      <c r="FB2" s="6" t="s">
        <v>771</v>
      </c>
      <c r="FC2" s="6" t="s">
        <v>347</v>
      </c>
      <c r="FD2" s="512" t="s">
        <v>276</v>
      </c>
      <c r="FE2" s="527" t="s">
        <v>786</v>
      </c>
    </row>
    <row r="3" spans="1:161" x14ac:dyDescent="0.2">
      <c r="A3" s="3" t="s">
        <v>0</v>
      </c>
      <c r="B3" s="18">
        <v>-3.999999910592E-3</v>
      </c>
      <c r="C3" s="18">
        <v>-6.6666665176533342E-3</v>
      </c>
      <c r="D3" s="18">
        <v>2.6666667933273335E-2</v>
      </c>
      <c r="E3" s="18">
        <v>3.6666665226346672E-2</v>
      </c>
      <c r="F3" s="18">
        <v>6.9999998435520003E-2</v>
      </c>
      <c r="G3" s="18">
        <v>-5.7142855865600006E-3</v>
      </c>
      <c r="H3" s="18">
        <v>-3.3333332588266671E-3</v>
      </c>
      <c r="I3" s="18">
        <v>7.0000001539646653E-2</v>
      </c>
      <c r="J3" s="18">
        <v>0.98666667938233321</v>
      </c>
      <c r="K3" s="18">
        <v>0.27333332784493997</v>
      </c>
      <c r="L3" s="18">
        <v>-6.6666665176533342E-3</v>
      </c>
      <c r="M3" s="166" t="s">
        <v>0</v>
      </c>
      <c r="N3" s="358">
        <v>11</v>
      </c>
      <c r="O3" s="358">
        <v>16</v>
      </c>
      <c r="P3" s="358">
        <v>10.5</v>
      </c>
      <c r="Q3" s="358">
        <v>3</v>
      </c>
      <c r="R3" s="358">
        <v>10</v>
      </c>
      <c r="S3" s="358">
        <v>0</v>
      </c>
      <c r="T3" s="68">
        <v>-0.1812428102000001</v>
      </c>
      <c r="U3" s="5">
        <v>-1.3957951899999932E-2</v>
      </c>
      <c r="V3" s="5">
        <v>-9.4979387999999942E-3</v>
      </c>
      <c r="W3" s="5">
        <v>-7.7297546100000059E-2</v>
      </c>
      <c r="X3" s="5">
        <v>-0.5348340547999999</v>
      </c>
      <c r="Y3" s="5">
        <v>-0.18724261410000009</v>
      </c>
      <c r="Z3" s="5">
        <v>-0.21316443750000003</v>
      </c>
      <c r="AA3" s="5">
        <v>-0.14355034690000001</v>
      </c>
      <c r="AB3" s="5">
        <v>2.4650532000000003E-2</v>
      </c>
      <c r="AC3" s="5">
        <v>0.20603572979999996</v>
      </c>
      <c r="AD3" s="5">
        <v>-4.6699681499999923E-2</v>
      </c>
      <c r="AE3" s="80">
        <v>-1.4249803700000063E-2</v>
      </c>
      <c r="AF3" s="5">
        <f>AVERAGE(T3:AE3)</f>
        <v>-9.9254243641666698E-2</v>
      </c>
      <c r="AG3" s="68">
        <v>-0.5929621445000004</v>
      </c>
      <c r="AH3" s="5">
        <v>6.7175084999995249E-3</v>
      </c>
      <c r="AI3" s="5">
        <v>0.46721673799999941</v>
      </c>
      <c r="AJ3" s="5">
        <v>3.0818617870000011</v>
      </c>
      <c r="AK3" s="5">
        <v>-1.6142910509999995</v>
      </c>
      <c r="AL3" s="5">
        <v>-4.7818485000000521E-2</v>
      </c>
      <c r="AM3" s="5">
        <v>-0.18999881300000077</v>
      </c>
      <c r="AN3" s="5">
        <v>-0.31578781300000003</v>
      </c>
      <c r="AO3" s="5">
        <v>0.81285793849999965</v>
      </c>
      <c r="AP3" s="5">
        <v>1.5972597020000006</v>
      </c>
      <c r="AQ3" s="5">
        <v>-0.45334417950000017</v>
      </c>
      <c r="AR3" s="5">
        <v>0.47607511549999959</v>
      </c>
      <c r="AS3" s="196">
        <v>0.57792599800000044</v>
      </c>
      <c r="AT3" s="5">
        <f>AVERAGE(AG3:AR3)</f>
        <v>0.26898219195833323</v>
      </c>
      <c r="AU3" s="68">
        <v>-1.6873948219999999</v>
      </c>
      <c r="AV3" s="3">
        <v>18.338000000000008</v>
      </c>
      <c r="AW3" s="80">
        <v>1.6630495780000001</v>
      </c>
      <c r="AX3" s="458">
        <v>2.1629603340000001</v>
      </c>
      <c r="AY3" s="18">
        <v>0.20569999999999999</v>
      </c>
      <c r="AZ3" s="18">
        <v>0.1222</v>
      </c>
      <c r="BA3" s="18">
        <v>0.69740000000000002</v>
      </c>
      <c r="BB3" s="18">
        <v>0.31519999999999998</v>
      </c>
      <c r="BC3" s="18">
        <v>4.9099999999999998E-2</v>
      </c>
      <c r="BD3" s="18">
        <v>0.33279999999999998</v>
      </c>
      <c r="BE3" s="18">
        <v>0.4178</v>
      </c>
      <c r="BF3" s="18">
        <v>2.81E-2</v>
      </c>
      <c r="BG3" s="18">
        <v>0.17949999999999999</v>
      </c>
      <c r="BH3" s="161">
        <f>AVERAGE(AY3:BF3)</f>
        <v>0.27103749999999999</v>
      </c>
      <c r="BI3" s="285" t="s">
        <v>524</v>
      </c>
      <c r="BJ3" s="24">
        <v>6.8573040092166304E-2</v>
      </c>
      <c r="BK3" s="24">
        <v>6.1532081013825304E-2</v>
      </c>
      <c r="BL3" s="294">
        <v>6.0591785668202898E-2</v>
      </c>
      <c r="BM3" s="294">
        <f>(BJ3+BL3)/2</f>
        <v>6.4582412880184598E-2</v>
      </c>
      <c r="BN3" s="18">
        <v>0.18629999999999999</v>
      </c>
      <c r="BO3" s="18">
        <v>9.8400000000000001E-2</v>
      </c>
      <c r="BP3" s="18">
        <v>-0.31309999999999999</v>
      </c>
      <c r="BQ3" s="336" t="s">
        <v>593</v>
      </c>
      <c r="BR3" s="18">
        <v>0.65714946064990098</v>
      </c>
      <c r="BS3" s="5">
        <f t="shared" ref="BS3:BS8" si="0">1-BR3</f>
        <v>0.34285053935009902</v>
      </c>
      <c r="BT3" s="5">
        <f>LOG(BR3)</f>
        <v>-0.18233584420967672</v>
      </c>
      <c r="BU3" s="18">
        <v>0.244943388843369</v>
      </c>
      <c r="BV3" s="18">
        <f t="shared" ref="BV3:BV8" si="1">1-BU3</f>
        <v>0.75505661115663103</v>
      </c>
      <c r="BW3" s="5">
        <f>LOG(BU3)</f>
        <v>-0.61093427789612165</v>
      </c>
      <c r="BX3" s="336" t="s">
        <v>593</v>
      </c>
      <c r="BY3" s="18">
        <v>0.399774026575279</v>
      </c>
      <c r="BZ3" s="5">
        <f>LOG(BY3)</f>
        <v>-0.39818542552920894</v>
      </c>
      <c r="CA3" s="18">
        <v>-0.43709999999999999</v>
      </c>
      <c r="CB3" s="18">
        <v>-0.68310000000000004</v>
      </c>
      <c r="CC3" s="68">
        <v>-0.44040000000000001</v>
      </c>
      <c r="CD3" s="5">
        <v>-0.58660000000000001</v>
      </c>
      <c r="CE3" s="5">
        <v>-0.50060000000000004</v>
      </c>
      <c r="CF3" s="5">
        <v>-0.43240000000000001</v>
      </c>
      <c r="CG3" s="80">
        <f t="shared" ref="CG3:CG8" si="2">AVERAGE(CC3:CF3)</f>
        <v>-0.49</v>
      </c>
      <c r="CH3" s="505">
        <f>CU3-CR3</f>
        <v>8.1732000000000085</v>
      </c>
      <c r="CI3" s="502">
        <f>CO3-CL3</f>
        <v>5.8781999999999925</v>
      </c>
      <c r="CJ3" s="161">
        <v>75.59</v>
      </c>
      <c r="CK3" s="5">
        <v>72.123500000000007</v>
      </c>
      <c r="CL3" s="154">
        <f>CJ3-CK3</f>
        <v>3.4664999999999964</v>
      </c>
      <c r="CM3" s="161">
        <v>91.092699999999994</v>
      </c>
      <c r="CN3" s="18">
        <v>81.748000000000005</v>
      </c>
      <c r="CO3" s="469">
        <f>(CM3-CN3)</f>
        <v>9.3446999999999889</v>
      </c>
      <c r="CP3" s="470">
        <v>72.602800000000002</v>
      </c>
      <c r="CQ3" s="471">
        <v>69.257000000000005</v>
      </c>
      <c r="CR3" s="472">
        <f>(CP3-CQ3)</f>
        <v>3.345799999999997</v>
      </c>
      <c r="CS3" s="161">
        <v>76.953500000000005</v>
      </c>
      <c r="CT3" s="5">
        <v>65.4345</v>
      </c>
      <c r="CU3" s="154">
        <f>CS3-CT3</f>
        <v>11.519000000000005</v>
      </c>
      <c r="CV3" s="179">
        <v>-5.5169999999999959</v>
      </c>
      <c r="CW3" s="154">
        <v>4.4132000000000033</v>
      </c>
      <c r="CX3" s="185">
        <v>3.9198000000000022</v>
      </c>
      <c r="CY3" s="432">
        <v>-1.0039172329999999</v>
      </c>
      <c r="CZ3" s="432">
        <v>2.4116468750000002</v>
      </c>
      <c r="DA3" s="509">
        <f>CV3-CX3</f>
        <v>-9.4367999999999981</v>
      </c>
      <c r="DB3" s="509">
        <f>CV3-CW3</f>
        <v>-9.9301999999999992</v>
      </c>
      <c r="DC3" s="3">
        <v>18.338000000000008</v>
      </c>
      <c r="DD3" s="3">
        <v>7.2231000000000023</v>
      </c>
      <c r="DE3" s="3">
        <v>1.3881999999999977</v>
      </c>
      <c r="DF3" s="3">
        <v>7.0144999999999982</v>
      </c>
      <c r="DG3" s="3">
        <v>-0.21549999999999869</v>
      </c>
      <c r="DH3" s="3">
        <v>-0.17830000000000013</v>
      </c>
      <c r="DI3" s="3">
        <v>-1.7508000000000052</v>
      </c>
      <c r="DJ3" s="3">
        <v>0.32759999999999678</v>
      </c>
      <c r="DK3" s="3">
        <v>-1.2605999999999966</v>
      </c>
      <c r="DL3" s="3">
        <v>5.9123000000000019</v>
      </c>
      <c r="DM3" s="3">
        <v>-0.75400000000000489</v>
      </c>
      <c r="DN3" s="3">
        <v>-1.2968000000000046</v>
      </c>
      <c r="DO3" s="3">
        <v>1.3498000000000019</v>
      </c>
      <c r="DP3" s="5">
        <f>AVERAGE(DD3:DO3)</f>
        <v>1.4799583333333324</v>
      </c>
      <c r="DQ3" s="3" t="s">
        <v>0</v>
      </c>
      <c r="DR3" s="5">
        <v>0</v>
      </c>
      <c r="DS3" s="5">
        <v>1</v>
      </c>
      <c r="DT3" s="5">
        <v>0</v>
      </c>
      <c r="DU3" s="5">
        <v>-4</v>
      </c>
      <c r="DV3" s="5">
        <v>14</v>
      </c>
      <c r="DW3" s="5">
        <v>6</v>
      </c>
      <c r="DX3" s="3" t="s">
        <v>0</v>
      </c>
      <c r="DY3" s="144">
        <v>0</v>
      </c>
      <c r="DZ3" s="3" t="s">
        <v>0</v>
      </c>
      <c r="EA3" s="5">
        <v>0</v>
      </c>
      <c r="EB3" s="5">
        <v>3</v>
      </c>
      <c r="EC3" s="5">
        <v>20</v>
      </c>
      <c r="ED3" s="5">
        <v>58</v>
      </c>
      <c r="EE3" s="5">
        <v>56</v>
      </c>
      <c r="EF3" s="18">
        <v>24</v>
      </c>
      <c r="EG3" s="24">
        <v>55</v>
      </c>
      <c r="EH3" s="5">
        <v>23</v>
      </c>
      <c r="EI3" s="5">
        <v>131</v>
      </c>
      <c r="EJ3" s="5">
        <v>80</v>
      </c>
      <c r="EK3" s="5">
        <v>159</v>
      </c>
      <c r="EL3" s="5">
        <v>50</v>
      </c>
      <c r="EM3" s="5">
        <v>161</v>
      </c>
      <c r="EN3" s="5">
        <v>0</v>
      </c>
      <c r="EO3" s="5">
        <v>-6</v>
      </c>
      <c r="EP3" s="5">
        <v>0</v>
      </c>
      <c r="EQ3" s="5">
        <v>-1</v>
      </c>
      <c r="ER3" s="5">
        <v>8</v>
      </c>
      <c r="ES3" s="18">
        <v>6</v>
      </c>
      <c r="ET3" s="358">
        <v>0</v>
      </c>
      <c r="EU3" s="3" t="s">
        <v>0</v>
      </c>
      <c r="EV3" s="21">
        <v>0</v>
      </c>
      <c r="EW3" s="5">
        <f>AVERAGE(EV3,DY3)</f>
        <v>0</v>
      </c>
      <c r="EX3" s="161">
        <v>-0.73623574609999987</v>
      </c>
      <c r="EY3" s="21">
        <v>0</v>
      </c>
      <c r="EZ3" s="144">
        <v>0</v>
      </c>
      <c r="FA3" s="161">
        <v>0.32030999999999998</v>
      </c>
      <c r="FB3" s="5">
        <v>0.34488999999999997</v>
      </c>
      <c r="FC3" s="154">
        <f>FA3-FB3</f>
        <v>-2.4579999999999991E-2</v>
      </c>
      <c r="FD3" s="3" t="s">
        <v>0</v>
      </c>
      <c r="FE3" s="519">
        <v>7</v>
      </c>
    </row>
    <row r="4" spans="1:161" x14ac:dyDescent="0.2">
      <c r="A4" s="3" t="s">
        <v>1</v>
      </c>
      <c r="B4" s="18">
        <v>0.40600000000000003</v>
      </c>
      <c r="C4" s="18">
        <v>0.22666666666666666</v>
      </c>
      <c r="D4" s="18">
        <v>0.41333333333333327</v>
      </c>
      <c r="E4" s="18">
        <v>0.37666666666666665</v>
      </c>
      <c r="F4" s="18">
        <v>0.48333333333333339</v>
      </c>
      <c r="G4" s="18">
        <v>0.20142857142857146</v>
      </c>
      <c r="H4" s="18">
        <v>3.8333333333333337E-2</v>
      </c>
      <c r="I4" s="18">
        <v>0.62</v>
      </c>
      <c r="J4" s="18">
        <v>0.55000000000000004</v>
      </c>
      <c r="K4" s="18">
        <v>0.69</v>
      </c>
      <c r="L4" s="18">
        <v>0.34</v>
      </c>
      <c r="M4" s="166" t="s">
        <v>1</v>
      </c>
      <c r="N4" s="358">
        <v>11.5</v>
      </c>
      <c r="O4" s="358">
        <v>10</v>
      </c>
      <c r="P4" s="358">
        <v>6.5</v>
      </c>
      <c r="Q4" s="358">
        <v>11.5</v>
      </c>
      <c r="R4" s="358">
        <v>3.5</v>
      </c>
      <c r="S4" s="358">
        <v>16</v>
      </c>
      <c r="T4" s="68">
        <v>-0.94251040239999995</v>
      </c>
      <c r="U4" s="5">
        <v>-0.4002785848</v>
      </c>
      <c r="V4" s="5">
        <v>-0.28224115179999998</v>
      </c>
      <c r="W4" s="5">
        <v>-0.21832855899999992</v>
      </c>
      <c r="X4" s="5">
        <v>-0.47578696549999988</v>
      </c>
      <c r="Y4" s="5">
        <v>-0.5019366932999999</v>
      </c>
      <c r="Z4" s="5">
        <v>-0.47757468179999996</v>
      </c>
      <c r="AA4" s="5">
        <v>-0.35952236169999996</v>
      </c>
      <c r="AB4" s="5">
        <v>-6.2941001700000054E-2</v>
      </c>
      <c r="AC4" s="5">
        <v>-0.32747197299999997</v>
      </c>
      <c r="AD4" s="5">
        <v>-0.61372735040000004</v>
      </c>
      <c r="AE4" s="80">
        <v>-0.27105937809999991</v>
      </c>
      <c r="AF4" s="5">
        <f t="shared" ref="AF4:AF17" si="3">AVERAGE(T4:AE4)</f>
        <v>-0.41111492529166666</v>
      </c>
      <c r="AG4" s="68">
        <v>-14.875789452500001</v>
      </c>
      <c r="AH4" s="5">
        <v>-4.7650362074999997</v>
      </c>
      <c r="AI4" s="5">
        <v>-12.579593249999999</v>
      </c>
      <c r="AJ4" s="5">
        <v>-4.6482015450000027</v>
      </c>
      <c r="AK4" s="5">
        <v>-7.0901064945000005</v>
      </c>
      <c r="AL4" s="5">
        <v>-6.5069756599999984</v>
      </c>
      <c r="AM4" s="5">
        <v>-5.6627043705000002</v>
      </c>
      <c r="AN4" s="5">
        <v>-8.2737150499999998</v>
      </c>
      <c r="AO4" s="5">
        <v>-4.2340947649999983</v>
      </c>
      <c r="AP4" s="5">
        <v>-5.1208286399999992</v>
      </c>
      <c r="AQ4" s="5">
        <v>-5.8016161950000011</v>
      </c>
      <c r="AR4" s="5">
        <v>-3.266597554999997</v>
      </c>
      <c r="AS4" s="196">
        <v>-4.3736342599999993</v>
      </c>
      <c r="AT4" s="5">
        <f t="shared" ref="AT4:AT17" si="4">AVERAGE(AG4:AR4)</f>
        <v>-6.9021049320833328</v>
      </c>
      <c r="AU4" s="68">
        <v>-3.3545457519999999</v>
      </c>
      <c r="AV4" s="3">
        <v>40.101999999999997</v>
      </c>
      <c r="AW4" s="80">
        <v>1.938641179</v>
      </c>
      <c r="AX4" s="458">
        <v>2.9967363599999999</v>
      </c>
      <c r="AY4" s="18">
        <v>0.60229999999999995</v>
      </c>
      <c r="AZ4" s="18">
        <v>0.37680000000000002</v>
      </c>
      <c r="BA4" s="18">
        <v>0.1216</v>
      </c>
      <c r="BB4" s="18">
        <v>0.34520000000000001</v>
      </c>
      <c r="BC4" s="18">
        <v>1.23E-2</v>
      </c>
      <c r="BD4" s="18">
        <v>2.4500000000000001E-2</v>
      </c>
      <c r="BE4" s="18">
        <v>0.49669999999999997</v>
      </c>
      <c r="BF4" s="18">
        <v>2.76E-2</v>
      </c>
      <c r="BG4" s="18">
        <v>-0.34539999999999998</v>
      </c>
      <c r="BH4" s="161">
        <f t="shared" ref="BH4:BH17" si="5">AVERAGE(AY4:BF4)</f>
        <v>0.25087499999999996</v>
      </c>
      <c r="BI4" s="296" t="s">
        <v>525</v>
      </c>
      <c r="BJ4" s="24">
        <v>3.1343779262672011E-2</v>
      </c>
      <c r="BK4" s="24">
        <v>8.4764691705068992E-2</v>
      </c>
      <c r="BL4" s="294">
        <v>9.9846217050691397E-2</v>
      </c>
      <c r="BM4" s="294">
        <f t="shared" ref="BM4:BM17" si="6">(BJ4+BL4)/2</f>
        <v>6.5594998156681711E-2</v>
      </c>
      <c r="BN4" s="18">
        <v>0.28239999999999998</v>
      </c>
      <c r="BO4" s="18">
        <v>0.51900000000000002</v>
      </c>
      <c r="BP4" s="18">
        <v>0.2014</v>
      </c>
      <c r="BQ4" s="336" t="s">
        <v>594</v>
      </c>
      <c r="BR4" s="18">
        <v>0.31991479442487902</v>
      </c>
      <c r="BS4" s="5">
        <f t="shared" si="0"/>
        <v>0.68008520557512098</v>
      </c>
      <c r="BT4" s="5">
        <f t="shared" ref="BT4:BT17" si="7">LOG(BR4)</f>
        <v>-0.4949656755504015</v>
      </c>
      <c r="BU4" s="18">
        <v>0.27703996309275802</v>
      </c>
      <c r="BV4" s="18">
        <f t="shared" si="1"/>
        <v>0.72296003690724198</v>
      </c>
      <c r="BW4" s="5">
        <f t="shared" ref="BW4:BW17" si="8">LOG(BU4)</f>
        <v>-0.55745757931526829</v>
      </c>
      <c r="BX4" s="336" t="s">
        <v>594</v>
      </c>
      <c r="BY4" s="18">
        <v>0.29921809698499302</v>
      </c>
      <c r="BZ4" s="5">
        <f t="shared" ref="BZ4:BZ17" si="9">LOG(BY4)</f>
        <v>-0.52401214348456726</v>
      </c>
      <c r="CA4" s="18">
        <v>-1.7874000000000001</v>
      </c>
      <c r="CB4" s="18">
        <v>-1.2347999999999999</v>
      </c>
      <c r="CC4" s="68">
        <v>-1.3006</v>
      </c>
      <c r="CD4" s="5">
        <v>-1.4789000000000001</v>
      </c>
      <c r="CE4" s="5">
        <v>-1.0944</v>
      </c>
      <c r="CF4" s="5">
        <v>-1.1185</v>
      </c>
      <c r="CG4" s="80">
        <f t="shared" si="2"/>
        <v>-1.2481</v>
      </c>
      <c r="CH4" s="505">
        <f t="shared" ref="CH4:CH17" si="10">CU4-CR4</f>
        <v>18.490099999999998</v>
      </c>
      <c r="CI4" s="502">
        <f t="shared" ref="CI4:CI17" si="11">CO4-CL4</f>
        <v>-17.790100000000002</v>
      </c>
      <c r="CJ4" s="161">
        <v>76.074700000000007</v>
      </c>
      <c r="CK4" s="5">
        <v>60.341500000000003</v>
      </c>
      <c r="CL4" s="154">
        <f t="shared" ref="CL4:CL17" si="12">CJ4-CK4</f>
        <v>15.733200000000004</v>
      </c>
      <c r="CM4" s="161">
        <v>88.951800000000006</v>
      </c>
      <c r="CN4" s="18">
        <v>91.008700000000005</v>
      </c>
      <c r="CO4" s="469">
        <f t="shared" ref="CO4:CO17" si="13">(CM4-CN4)</f>
        <v>-2.0568999999999988</v>
      </c>
      <c r="CP4" s="470">
        <v>65.037000000000006</v>
      </c>
      <c r="CQ4" s="471">
        <v>54.758000000000003</v>
      </c>
      <c r="CR4" s="472">
        <f t="shared" ref="CR4:CR17" si="14">(CP4-CQ4)</f>
        <v>10.279000000000003</v>
      </c>
      <c r="CS4" s="161">
        <v>78.552800000000005</v>
      </c>
      <c r="CT4" s="5">
        <v>49.783700000000003</v>
      </c>
      <c r="CU4" s="154">
        <f t="shared" ref="CU4:CU17" si="15">CS4-CT4</f>
        <v>28.769100000000002</v>
      </c>
      <c r="CV4" s="179">
        <v>21.125599999999999</v>
      </c>
      <c r="CW4" s="154">
        <v>4.7978000000000023</v>
      </c>
      <c r="CX4" s="185">
        <v>21.488700000000001</v>
      </c>
      <c r="CY4" s="432">
        <v>-0.81876754659999995</v>
      </c>
      <c r="CZ4" s="432">
        <v>2.2282943770000001</v>
      </c>
      <c r="DA4" s="509">
        <f t="shared" ref="DA4:DA17" si="16">CV4-CX4</f>
        <v>-0.36310000000000286</v>
      </c>
      <c r="DB4" s="509">
        <f t="shared" ref="DB4:DB17" si="17">CV4-CW4</f>
        <v>16.327799999999996</v>
      </c>
      <c r="DC4" s="3">
        <v>40.101999999999997</v>
      </c>
      <c r="DD4" s="3">
        <v>17.617800000000003</v>
      </c>
      <c r="DE4" s="3">
        <v>8.0515000000000043</v>
      </c>
      <c r="DF4" s="3">
        <v>13.068800000000003</v>
      </c>
      <c r="DG4" s="3">
        <v>7.8230000000000004</v>
      </c>
      <c r="DH4" s="3">
        <v>8.9923000000000002</v>
      </c>
      <c r="DI4" s="3">
        <v>3.7583000000000055</v>
      </c>
      <c r="DJ4" s="3">
        <v>-2.2154000000000025</v>
      </c>
      <c r="DK4" s="3">
        <v>0.84429999999999694</v>
      </c>
      <c r="DL4" s="3">
        <v>10.070000000000007</v>
      </c>
      <c r="DM4" s="3">
        <v>3.5805000000000007</v>
      </c>
      <c r="DN4" s="3">
        <v>4.1957000000000022</v>
      </c>
      <c r="DO4" s="3">
        <v>3.0427999999999997</v>
      </c>
      <c r="DP4" s="5">
        <f t="shared" ref="DP4:DP17" si="18">AVERAGE(DD4:DO4)</f>
        <v>6.5691333333333342</v>
      </c>
      <c r="DQ4" s="3" t="s">
        <v>1</v>
      </c>
      <c r="DR4" s="5">
        <v>2</v>
      </c>
      <c r="DS4" s="5">
        <v>1</v>
      </c>
      <c r="DT4" s="5">
        <v>5</v>
      </c>
      <c r="DU4" s="5">
        <v>4</v>
      </c>
      <c r="DV4" s="5">
        <v>-5</v>
      </c>
      <c r="DW4" s="5">
        <v>-2</v>
      </c>
      <c r="DX4" s="3" t="s">
        <v>1</v>
      </c>
      <c r="DY4" s="144">
        <v>0.93</v>
      </c>
      <c r="DZ4" s="3" t="s">
        <v>1</v>
      </c>
      <c r="EA4" s="5">
        <v>0</v>
      </c>
      <c r="EB4" s="5">
        <v>1</v>
      </c>
      <c r="EC4" s="5">
        <v>33</v>
      </c>
      <c r="ED4" s="5">
        <v>42</v>
      </c>
      <c r="EE4" s="5">
        <v>56</v>
      </c>
      <c r="EF4" s="18">
        <v>30</v>
      </c>
      <c r="EG4" s="24">
        <v>94</v>
      </c>
      <c r="EH4" s="5">
        <v>16</v>
      </c>
      <c r="EI4" s="5">
        <v>130</v>
      </c>
      <c r="EJ4" s="5">
        <v>124</v>
      </c>
      <c r="EK4" s="5">
        <v>125</v>
      </c>
      <c r="EL4" s="5">
        <v>86</v>
      </c>
      <c r="EM4" s="5">
        <v>123</v>
      </c>
      <c r="EN4" s="5">
        <v>9.5</v>
      </c>
      <c r="EO4" s="5">
        <v>2</v>
      </c>
      <c r="EP4" s="5">
        <v>2</v>
      </c>
      <c r="EQ4" s="5">
        <v>-1</v>
      </c>
      <c r="ER4" s="5">
        <v>8</v>
      </c>
      <c r="ES4" s="18">
        <v>8</v>
      </c>
      <c r="ET4" s="358">
        <v>16</v>
      </c>
      <c r="EU4" s="3" t="s">
        <v>1</v>
      </c>
      <c r="EV4" s="21">
        <v>0.49</v>
      </c>
      <c r="EW4" s="5">
        <f t="shared" ref="EW4:EW17" si="19">AVERAGE(EV4,DY4)</f>
        <v>0.71</v>
      </c>
      <c r="EX4" s="161">
        <v>-0.17369222530000006</v>
      </c>
      <c r="EY4" s="21">
        <v>0.17</v>
      </c>
      <c r="EZ4" s="144">
        <v>0.93</v>
      </c>
      <c r="FA4" s="161">
        <v>0.30917</v>
      </c>
      <c r="FB4" s="5">
        <v>0.37291000000000002</v>
      </c>
      <c r="FC4" s="154">
        <f t="shared" ref="FC4:FC17" si="20">FA4-FB4</f>
        <v>-6.3740000000000019E-2</v>
      </c>
      <c r="FD4" s="3" t="s">
        <v>1</v>
      </c>
      <c r="FE4" s="519">
        <v>2</v>
      </c>
    </row>
    <row r="5" spans="1:161" x14ac:dyDescent="0.2">
      <c r="A5" s="3" t="s">
        <v>2</v>
      </c>
      <c r="B5" s="18">
        <v>0.04</v>
      </c>
      <c r="C5" s="18">
        <v>0.20000000000000004</v>
      </c>
      <c r="D5" s="18">
        <v>0.14666666666666667</v>
      </c>
      <c r="E5" s="18">
        <v>0.28666666666666668</v>
      </c>
      <c r="F5" s="18">
        <v>3.3333333333333335E-3</v>
      </c>
      <c r="G5" s="18">
        <v>0.19285714285714287</v>
      </c>
      <c r="H5" s="18">
        <v>6.6666666666666666E-2</v>
      </c>
      <c r="I5" s="18">
        <v>0.06</v>
      </c>
      <c r="J5" s="18">
        <v>0.21</v>
      </c>
      <c r="K5" s="18">
        <v>0.20666666666666667</v>
      </c>
      <c r="L5" s="18">
        <v>0.20333333333333334</v>
      </c>
      <c r="M5" s="166" t="s">
        <v>2</v>
      </c>
      <c r="N5" s="358">
        <v>10.5</v>
      </c>
      <c r="O5" s="358">
        <v>4.5</v>
      </c>
      <c r="P5" s="358">
        <v>0.5</v>
      </c>
      <c r="Q5" s="358">
        <v>3</v>
      </c>
      <c r="R5" s="358">
        <v>1.5</v>
      </c>
      <c r="S5" s="358">
        <v>0</v>
      </c>
      <c r="T5" s="68">
        <v>-0.50504371569999995</v>
      </c>
      <c r="U5" s="5">
        <v>-0.30585200719999994</v>
      </c>
      <c r="V5" s="5">
        <v>2.7928874300000017E-2</v>
      </c>
      <c r="W5" s="5">
        <v>-0.31912339879999996</v>
      </c>
      <c r="X5" s="5">
        <v>-0.96383373189999999</v>
      </c>
      <c r="Y5" s="5">
        <v>-4.5924070999999955E-2</v>
      </c>
      <c r="Z5" s="5">
        <v>-0.24449949309999996</v>
      </c>
      <c r="AA5" s="5">
        <v>-0.23139444729999992</v>
      </c>
      <c r="AB5" s="5">
        <v>-0.10615042029999999</v>
      </c>
      <c r="AC5" s="5">
        <v>8.0066484800000004E-2</v>
      </c>
      <c r="AD5" s="5">
        <v>-0.10937221990000001</v>
      </c>
      <c r="AE5" s="80">
        <v>-6.5920036299999984E-2</v>
      </c>
      <c r="AF5" s="5">
        <f t="shared" si="3"/>
        <v>-0.23242651520000002</v>
      </c>
      <c r="AG5" s="68">
        <v>-3.5665276670000008</v>
      </c>
      <c r="AH5" s="5">
        <v>-2.9182687704999992</v>
      </c>
      <c r="AI5" s="5">
        <v>0.2306936369999999</v>
      </c>
      <c r="AJ5" s="5">
        <v>-1.3140671014999992</v>
      </c>
      <c r="AK5" s="5">
        <v>-6.2927891744999993</v>
      </c>
      <c r="AL5" s="5">
        <v>-3.0688676189999988</v>
      </c>
      <c r="AM5" s="5">
        <v>-4.3984819794999996</v>
      </c>
      <c r="AN5" s="5">
        <v>-5.3670353684999998</v>
      </c>
      <c r="AO5" s="5">
        <v>-3.0020817154999992</v>
      </c>
      <c r="AP5" s="5">
        <v>-2.0676609129999992</v>
      </c>
      <c r="AQ5" s="5">
        <v>-3.3183920219999994</v>
      </c>
      <c r="AR5" s="5">
        <v>-2.3528830430000003</v>
      </c>
      <c r="AS5" s="196">
        <v>-1.8774024239999996</v>
      </c>
      <c r="AT5" s="5">
        <f t="shared" si="4"/>
        <v>-3.1196968114166652</v>
      </c>
      <c r="AU5" s="68">
        <v>-1.120985176</v>
      </c>
      <c r="AV5" s="3">
        <v>2.5339999999999918</v>
      </c>
      <c r="AW5" s="80">
        <v>0.4313899839</v>
      </c>
      <c r="AX5" s="458">
        <v>0.90737317200000001</v>
      </c>
      <c r="AY5" s="18">
        <v>0.1978</v>
      </c>
      <c r="AZ5" s="18">
        <v>0.2215</v>
      </c>
      <c r="BA5" s="18">
        <v>0.80489999999999995</v>
      </c>
      <c r="BB5" s="18">
        <v>-0.1835</v>
      </c>
      <c r="BC5" s="18">
        <v>0.40939999999999999</v>
      </c>
      <c r="BD5" s="18">
        <v>0.21290000000000001</v>
      </c>
      <c r="BE5" s="18">
        <v>-0.39169999999999999</v>
      </c>
      <c r="BF5" s="18">
        <v>0.47289999999999999</v>
      </c>
      <c r="BG5" s="18">
        <v>-0.74280000000000002</v>
      </c>
      <c r="BH5" s="161">
        <f t="shared" si="5"/>
        <v>0.21802500000000002</v>
      </c>
      <c r="BI5" s="285" t="s">
        <v>526</v>
      </c>
      <c r="BJ5" s="24">
        <v>4.2909624884792601E-2</v>
      </c>
      <c r="BK5" s="298">
        <v>3.4441197373271906E-2</v>
      </c>
      <c r="BL5" s="294">
        <v>3.4192052995391797E-2</v>
      </c>
      <c r="BM5" s="294">
        <f t="shared" si="6"/>
        <v>3.8550838940092202E-2</v>
      </c>
      <c r="BN5" s="18">
        <v>0.46250000000000002</v>
      </c>
      <c r="BO5" s="18">
        <v>-0.1002</v>
      </c>
      <c r="BP5" s="18">
        <v>-5.2999999999999999E-2</v>
      </c>
      <c r="BQ5" s="336" t="s">
        <v>595</v>
      </c>
      <c r="BR5" s="18">
        <v>0.41503475067220302</v>
      </c>
      <c r="BS5" s="5">
        <f t="shared" si="0"/>
        <v>0.58496524932779703</v>
      </c>
      <c r="BT5" s="5">
        <f t="shared" si="7"/>
        <v>-0.38191553848468235</v>
      </c>
      <c r="BU5" s="18">
        <v>0.53251837055237905</v>
      </c>
      <c r="BV5" s="18">
        <f t="shared" si="1"/>
        <v>0.46748162944762095</v>
      </c>
      <c r="BW5" s="5">
        <f t="shared" si="8"/>
        <v>-0.2736654055569962</v>
      </c>
      <c r="BX5" s="336" t="s">
        <v>595</v>
      </c>
      <c r="BY5" s="18">
        <v>0.48548326092278998</v>
      </c>
      <c r="BZ5" s="5">
        <f t="shared" si="9"/>
        <v>-0.31382573962660365</v>
      </c>
      <c r="CA5" s="18">
        <v>-1.0185999999999999</v>
      </c>
      <c r="CB5" s="18">
        <v>-0.84050000000000002</v>
      </c>
      <c r="CC5" s="68">
        <v>-0.93149999999999999</v>
      </c>
      <c r="CD5" s="5">
        <v>-1.3769</v>
      </c>
      <c r="CE5" s="5">
        <v>-0.80869999999999997</v>
      </c>
      <c r="CF5" s="5">
        <v>-0.68</v>
      </c>
      <c r="CG5" s="80">
        <f t="shared" si="2"/>
        <v>-0.94927499999999998</v>
      </c>
      <c r="CH5" s="505">
        <f t="shared" si="10"/>
        <v>12.752400000000002</v>
      </c>
      <c r="CI5" s="502">
        <f t="shared" si="11"/>
        <v>6.193799999999996</v>
      </c>
      <c r="CJ5" s="161">
        <v>76.403800000000004</v>
      </c>
      <c r="CK5" s="5">
        <v>79.723299999999995</v>
      </c>
      <c r="CL5" s="154">
        <f t="shared" si="12"/>
        <v>-3.3194999999999908</v>
      </c>
      <c r="CM5" s="161">
        <v>100.119</v>
      </c>
      <c r="CN5" s="18">
        <v>97.244699999999995</v>
      </c>
      <c r="CO5" s="469">
        <f t="shared" si="13"/>
        <v>2.8743000000000052</v>
      </c>
      <c r="CP5" s="470">
        <v>52.817500000000003</v>
      </c>
      <c r="CQ5" s="471">
        <v>61.883200000000002</v>
      </c>
      <c r="CR5" s="472">
        <f t="shared" si="14"/>
        <v>-9.0656999999999996</v>
      </c>
      <c r="CS5" s="161">
        <v>99.588999999999999</v>
      </c>
      <c r="CT5" s="5">
        <v>95.902299999999997</v>
      </c>
      <c r="CU5" s="154">
        <f t="shared" si="15"/>
        <v>3.6867000000000019</v>
      </c>
      <c r="CV5" s="179">
        <v>-21.813099999999991</v>
      </c>
      <c r="CW5" s="154">
        <v>-8.2383000000000024</v>
      </c>
      <c r="CX5" s="185">
        <v>-21.1755</v>
      </c>
      <c r="CY5" s="432">
        <v>1.1231995029999999</v>
      </c>
      <c r="CZ5" s="432">
        <v>0.82678924620000005</v>
      </c>
      <c r="DA5" s="509">
        <f t="shared" si="16"/>
        <v>-0.63759999999999195</v>
      </c>
      <c r="DB5" s="509">
        <f t="shared" si="17"/>
        <v>-13.574799999999989</v>
      </c>
      <c r="DC5" s="3">
        <v>2.5339999999999918</v>
      </c>
      <c r="DD5" s="3">
        <v>-2.3659999999999997</v>
      </c>
      <c r="DE5" s="3">
        <v>3.3845000000000027</v>
      </c>
      <c r="DF5" s="3">
        <v>3.2280000000000086</v>
      </c>
      <c r="DG5" s="3">
        <v>1.4581999999999979</v>
      </c>
      <c r="DH5" s="3">
        <v>-4.8009000000000057</v>
      </c>
      <c r="DI5" s="3">
        <v>-1.4849999999999994</v>
      </c>
      <c r="DJ5" s="3">
        <v>-4.242999999999995</v>
      </c>
      <c r="DK5" s="3">
        <v>-4.0801999999999978</v>
      </c>
      <c r="DL5" s="3">
        <v>-9.5215000000000032</v>
      </c>
      <c r="DM5" s="3">
        <v>3.9154999999999944</v>
      </c>
      <c r="DN5" s="3">
        <v>-4.2931000000000026</v>
      </c>
      <c r="DO5" s="3">
        <v>-2.3537000000000035</v>
      </c>
      <c r="DP5" s="5">
        <f t="shared" si="18"/>
        <v>-1.7631000000000003</v>
      </c>
      <c r="DQ5" s="3" t="s">
        <v>2</v>
      </c>
      <c r="DR5" s="5">
        <v>5</v>
      </c>
      <c r="DS5" s="5">
        <v>2</v>
      </c>
      <c r="DT5" s="5">
        <v>3</v>
      </c>
      <c r="DU5" s="5">
        <v>-2</v>
      </c>
      <c r="DV5" s="5">
        <v>1</v>
      </c>
      <c r="DW5" s="5">
        <v>8</v>
      </c>
      <c r="DX5" s="3" t="s">
        <v>2</v>
      </c>
      <c r="DY5" s="144">
        <v>0.05</v>
      </c>
      <c r="DZ5" s="3" t="s">
        <v>2</v>
      </c>
      <c r="EA5" s="5">
        <v>0</v>
      </c>
      <c r="EB5" s="5">
        <v>0</v>
      </c>
      <c r="EC5" s="5">
        <v>35</v>
      </c>
      <c r="ED5" s="5">
        <v>71</v>
      </c>
      <c r="EE5" s="5">
        <v>52</v>
      </c>
      <c r="EF5" s="18">
        <v>28</v>
      </c>
      <c r="EG5" s="24">
        <v>146</v>
      </c>
      <c r="EH5" s="5">
        <v>18</v>
      </c>
      <c r="EI5" s="5">
        <v>114</v>
      </c>
      <c r="EJ5" s="5">
        <v>117</v>
      </c>
      <c r="EK5" s="5">
        <v>123</v>
      </c>
      <c r="EL5" s="5">
        <v>88</v>
      </c>
      <c r="EM5" s="5">
        <v>136</v>
      </c>
      <c r="EN5" s="5">
        <v>0</v>
      </c>
      <c r="EO5" s="5">
        <v>-8</v>
      </c>
      <c r="EP5" s="5">
        <v>5</v>
      </c>
      <c r="EQ5" s="5">
        <v>-2</v>
      </c>
      <c r="ER5" s="5">
        <v>12</v>
      </c>
      <c r="ES5" s="18">
        <v>7</v>
      </c>
      <c r="ET5" s="358">
        <v>0</v>
      </c>
      <c r="EU5" s="3" t="s">
        <v>2</v>
      </c>
      <c r="EV5" s="21">
        <v>0</v>
      </c>
      <c r="EW5" s="5">
        <f t="shared" si="19"/>
        <v>2.5000000000000001E-2</v>
      </c>
      <c r="EX5" s="161">
        <v>-0.50966878699999985</v>
      </c>
      <c r="EY5" s="21">
        <v>0</v>
      </c>
      <c r="EZ5" s="144">
        <v>0.05</v>
      </c>
      <c r="FA5" s="161">
        <v>0.42597000000000002</v>
      </c>
      <c r="FB5" s="5">
        <v>0.41849999999999998</v>
      </c>
      <c r="FC5" s="154">
        <f t="shared" si="20"/>
        <v>7.4700000000000322E-3</v>
      </c>
      <c r="FD5" s="3" t="s">
        <v>2</v>
      </c>
      <c r="FE5" s="519">
        <v>6</v>
      </c>
    </row>
    <row r="6" spans="1:161" x14ac:dyDescent="0.2">
      <c r="A6" s="3" t="s">
        <v>3</v>
      </c>
      <c r="B6" s="18">
        <v>0.83400000445530398</v>
      </c>
      <c r="C6" s="18">
        <v>0.33333333333333331</v>
      </c>
      <c r="D6" s="18">
        <v>1</v>
      </c>
      <c r="E6" s="18">
        <v>0.76333332061766657</v>
      </c>
      <c r="F6" s="18">
        <v>0.99333333969100002</v>
      </c>
      <c r="G6" s="18">
        <v>0.5714285714285714</v>
      </c>
      <c r="H6" s="18">
        <v>0.48833332614341335</v>
      </c>
      <c r="I6" s="18">
        <v>0.66999999992549331</v>
      </c>
      <c r="J6" s="18">
        <v>1</v>
      </c>
      <c r="K6" s="18">
        <v>0.85999999443700004</v>
      </c>
      <c r="L6" s="18">
        <v>0.5499999920526667</v>
      </c>
      <c r="M6" s="166" t="s">
        <v>3</v>
      </c>
      <c r="N6" s="358">
        <v>13</v>
      </c>
      <c r="O6" s="358">
        <v>20</v>
      </c>
      <c r="P6" s="358">
        <v>20</v>
      </c>
      <c r="Q6" s="358">
        <v>10.5</v>
      </c>
      <c r="R6" s="358">
        <v>9.5</v>
      </c>
      <c r="S6" s="358">
        <v>2</v>
      </c>
      <c r="T6" s="68">
        <v>-0.89562378110000007</v>
      </c>
      <c r="U6" s="5">
        <v>-0.4733981624000001</v>
      </c>
      <c r="V6" s="5">
        <v>-0.2623042525</v>
      </c>
      <c r="W6" s="5">
        <v>-0.20462824739999996</v>
      </c>
      <c r="X6" s="5">
        <v>-0.5843165857999999</v>
      </c>
      <c r="Y6" s="5">
        <v>-0.28727576049999992</v>
      </c>
      <c r="Z6" s="5">
        <v>-0.36684919729999987</v>
      </c>
      <c r="AA6" s="5">
        <v>-9.2381868899999997E-2</v>
      </c>
      <c r="AB6" s="5">
        <v>-0.26846032600000014</v>
      </c>
      <c r="AC6" s="5">
        <v>-0.59725522530000008</v>
      </c>
      <c r="AD6" s="5">
        <v>-0.38237307910000007</v>
      </c>
      <c r="AE6" s="80">
        <v>-0.18863541759999991</v>
      </c>
      <c r="AF6" s="5">
        <f t="shared" si="3"/>
        <v>-0.3836251586583333</v>
      </c>
      <c r="AG6" s="68">
        <v>-9.7606782270000014</v>
      </c>
      <c r="AH6" s="5">
        <v>-2.8137648085000002</v>
      </c>
      <c r="AI6" s="5">
        <v>-5.6543934470000004</v>
      </c>
      <c r="AJ6" s="5">
        <v>-6.625720737</v>
      </c>
      <c r="AK6" s="5">
        <v>-5.9398054944999998</v>
      </c>
      <c r="AL6" s="5">
        <v>-6.6852118049999998</v>
      </c>
      <c r="AM6" s="5">
        <v>-5.6991878495000012</v>
      </c>
      <c r="AN6" s="5">
        <v>-3.6634601369999995</v>
      </c>
      <c r="AO6" s="5">
        <v>-5.0640305934999983</v>
      </c>
      <c r="AP6" s="5">
        <v>-6.4450727269999977</v>
      </c>
      <c r="AQ6" s="5">
        <v>-5.5067439290000006</v>
      </c>
      <c r="AR6" s="5">
        <v>-4.2433156625000006</v>
      </c>
      <c r="AS6" s="196">
        <v>-5.3906750854999999</v>
      </c>
      <c r="AT6" s="5">
        <f t="shared" si="4"/>
        <v>-5.6751154514583328</v>
      </c>
      <c r="AU6" s="68">
        <v>-2.6255046279999998</v>
      </c>
      <c r="AV6" s="3">
        <v>16.746000000000009</v>
      </c>
      <c r="AW6" s="80">
        <v>2.2356263059999999</v>
      </c>
      <c r="AX6" s="458">
        <v>2.8503821199999999</v>
      </c>
      <c r="AY6" s="18">
        <v>0.31709999999999999</v>
      </c>
      <c r="AZ6" s="18">
        <v>0.27629999999999999</v>
      </c>
      <c r="BA6" s="18">
        <v>-0.1195</v>
      </c>
      <c r="BB6" s="18">
        <v>-6.1800000000000001E-2</v>
      </c>
      <c r="BC6" s="18">
        <v>-9.69E-2</v>
      </c>
      <c r="BD6" s="18">
        <v>0.1782</v>
      </c>
      <c r="BE6" s="18">
        <v>8.3400000000000002E-2</v>
      </c>
      <c r="BF6" s="18">
        <v>0.22689999999999999</v>
      </c>
      <c r="BG6" s="18">
        <v>-0.18579999999999999</v>
      </c>
      <c r="BH6" s="161">
        <f t="shared" si="5"/>
        <v>0.1004625</v>
      </c>
      <c r="BI6" s="285" t="s">
        <v>527</v>
      </c>
      <c r="BJ6" s="24">
        <v>2.3092890322580703E-2</v>
      </c>
      <c r="BK6" s="24">
        <v>2.2777428571428601E-2</v>
      </c>
      <c r="BL6" s="294">
        <v>9.2530304147460385E-4</v>
      </c>
      <c r="BM6" s="294">
        <f t="shared" si="6"/>
        <v>1.2009096682027653E-2</v>
      </c>
      <c r="BN6" s="18">
        <v>0.184</v>
      </c>
      <c r="BO6" s="18">
        <v>-0.24490000000000001</v>
      </c>
      <c r="BP6" s="18">
        <v>-0.1174</v>
      </c>
      <c r="BQ6" s="336" t="s">
        <v>596</v>
      </c>
      <c r="BR6" s="18">
        <v>0.47924233001810501</v>
      </c>
      <c r="BS6" s="5">
        <f t="shared" si="0"/>
        <v>0.52075766998189499</v>
      </c>
      <c r="BT6" s="5">
        <f t="shared" si="7"/>
        <v>-0.3194448290132148</v>
      </c>
      <c r="BU6" s="18">
        <v>0.17584367794812</v>
      </c>
      <c r="BV6" s="18">
        <f t="shared" si="1"/>
        <v>0.82415632205187994</v>
      </c>
      <c r="BW6" s="5">
        <f t="shared" si="8"/>
        <v>-0.75487324111787524</v>
      </c>
      <c r="BX6" s="336" t="s">
        <v>596</v>
      </c>
      <c r="BY6" s="18">
        <v>0.24731079821412599</v>
      </c>
      <c r="BZ6" s="5">
        <f t="shared" si="9"/>
        <v>-0.60675692083066457</v>
      </c>
      <c r="CA6" s="18">
        <v>-0.71989999999999998</v>
      </c>
      <c r="CB6" s="18">
        <v>-1.1757</v>
      </c>
      <c r="CC6" s="68">
        <v>-0.72189999999999999</v>
      </c>
      <c r="CD6" s="5">
        <v>-0.81889999999999996</v>
      </c>
      <c r="CE6" s="5">
        <v>-0.88529999999999998</v>
      </c>
      <c r="CF6" s="5">
        <v>-0.71919999999999995</v>
      </c>
      <c r="CG6" s="80">
        <f t="shared" si="2"/>
        <v>-0.78632499999999994</v>
      </c>
      <c r="CH6" s="505">
        <f t="shared" si="10"/>
        <v>11.073799999999991</v>
      </c>
      <c r="CI6" s="502">
        <f t="shared" si="11"/>
        <v>-3.4699000000000098</v>
      </c>
      <c r="CJ6" s="161">
        <v>86.708500000000001</v>
      </c>
      <c r="CK6" s="5">
        <v>82.316999999999993</v>
      </c>
      <c r="CL6" s="154">
        <f t="shared" si="12"/>
        <v>4.3915000000000077</v>
      </c>
      <c r="CM6" s="161">
        <v>92.216300000000004</v>
      </c>
      <c r="CN6" s="18">
        <v>91.294700000000006</v>
      </c>
      <c r="CO6" s="469">
        <f t="shared" si="13"/>
        <v>0.92159999999999798</v>
      </c>
      <c r="CP6" s="470">
        <v>77.158000000000001</v>
      </c>
      <c r="CQ6" s="471">
        <v>78.787499999999994</v>
      </c>
      <c r="CR6" s="472">
        <f t="shared" si="14"/>
        <v>-1.6294999999999931</v>
      </c>
      <c r="CS6" s="161">
        <v>85.704300000000003</v>
      </c>
      <c r="CT6" s="5">
        <v>76.260000000000005</v>
      </c>
      <c r="CU6" s="154">
        <f t="shared" si="15"/>
        <v>9.4442999999999984</v>
      </c>
      <c r="CV6" s="179">
        <v>13.501999999999995</v>
      </c>
      <c r="CW6" s="154">
        <v>2.4493000000000009</v>
      </c>
      <c r="CX6" s="185">
        <v>5.597699999999989</v>
      </c>
      <c r="CY6" s="432">
        <v>1.09176501</v>
      </c>
      <c r="CZ6" s="432">
        <v>1.533247435</v>
      </c>
      <c r="DA6" s="509">
        <f t="shared" si="16"/>
        <v>7.9043000000000063</v>
      </c>
      <c r="DB6" s="509">
        <f t="shared" si="17"/>
        <v>11.052699999999994</v>
      </c>
      <c r="DC6" s="3">
        <v>16.746000000000009</v>
      </c>
      <c r="DD6" s="3">
        <v>5.9035000000000082</v>
      </c>
      <c r="DE6" s="3">
        <v>3.5165000000000006</v>
      </c>
      <c r="DF6" s="3">
        <v>4.2117999999999967</v>
      </c>
      <c r="DG6" s="3">
        <v>1.7469999999999999</v>
      </c>
      <c r="DH6" s="3">
        <v>2.2262999999999948</v>
      </c>
      <c r="DI6" s="3">
        <v>3.1898000000000053</v>
      </c>
      <c r="DJ6" s="3">
        <v>3.0228999999999999</v>
      </c>
      <c r="DK6" s="3">
        <v>4.7669000000000068</v>
      </c>
      <c r="DL6" s="3">
        <v>0.6886999999999972</v>
      </c>
      <c r="DM6" s="3">
        <v>0.23930000000000007</v>
      </c>
      <c r="DN6" s="3">
        <v>-0.72329999999999472</v>
      </c>
      <c r="DO6" s="3">
        <v>-1.1370000000000005</v>
      </c>
      <c r="DP6" s="5">
        <f t="shared" si="18"/>
        <v>2.304366666666668</v>
      </c>
      <c r="DQ6" s="3" t="s">
        <v>3</v>
      </c>
      <c r="DR6" s="5">
        <v>-4</v>
      </c>
      <c r="DS6" s="5">
        <v>14</v>
      </c>
      <c r="DT6" s="5">
        <v>-5</v>
      </c>
      <c r="DU6" s="5">
        <v>-1</v>
      </c>
      <c r="DV6" s="5">
        <v>-2</v>
      </c>
      <c r="DW6" s="5">
        <v>13</v>
      </c>
      <c r="DX6" s="3" t="s">
        <v>3</v>
      </c>
      <c r="DY6" s="144">
        <v>7.0000000298000006E-2</v>
      </c>
      <c r="DZ6" s="3" t="s">
        <v>3</v>
      </c>
      <c r="EA6" s="79"/>
      <c r="EB6" s="5">
        <v>7</v>
      </c>
      <c r="EC6" s="5">
        <v>35</v>
      </c>
      <c r="ED6" s="5">
        <v>79</v>
      </c>
      <c r="EE6" s="5">
        <v>56</v>
      </c>
      <c r="EF6" s="18">
        <v>39</v>
      </c>
      <c r="EG6" s="24">
        <v>112</v>
      </c>
      <c r="EH6" s="5">
        <v>23</v>
      </c>
      <c r="EI6" s="5">
        <v>144</v>
      </c>
      <c r="EJ6" s="5">
        <v>81</v>
      </c>
      <c r="EK6" s="5">
        <v>148</v>
      </c>
      <c r="EL6" s="5">
        <v>84</v>
      </c>
      <c r="EM6" s="5">
        <v>147</v>
      </c>
      <c r="EN6" s="5">
        <v>1</v>
      </c>
      <c r="EO6" s="5">
        <v>-13</v>
      </c>
      <c r="EP6" s="5">
        <v>-4</v>
      </c>
      <c r="EQ6" s="5">
        <v>-14</v>
      </c>
      <c r="ER6" s="5">
        <v>12</v>
      </c>
      <c r="ES6" s="18">
        <v>7</v>
      </c>
      <c r="ET6" s="358">
        <v>2</v>
      </c>
      <c r="EU6" s="3" t="s">
        <v>3</v>
      </c>
      <c r="EV6" s="21">
        <v>0</v>
      </c>
      <c r="EW6" s="5">
        <f t="shared" si="19"/>
        <v>3.5000000149000003E-2</v>
      </c>
      <c r="EX6" s="161">
        <v>-0.16142878100000013</v>
      </c>
      <c r="EY6" s="21">
        <v>-1</v>
      </c>
      <c r="EZ6" s="144">
        <v>7.0000000298000006E-2</v>
      </c>
      <c r="FA6" s="161">
        <v>0.41110999999999998</v>
      </c>
      <c r="FB6" s="5">
        <v>0.37248999999999999</v>
      </c>
      <c r="FC6" s="154">
        <f t="shared" si="20"/>
        <v>3.8619999999999988E-2</v>
      </c>
      <c r="FD6" s="3" t="s">
        <v>3</v>
      </c>
      <c r="FE6" s="519">
        <v>1</v>
      </c>
    </row>
    <row r="7" spans="1:161" x14ac:dyDescent="0.2">
      <c r="A7" s="3" t="s">
        <v>5</v>
      </c>
      <c r="B7" s="18">
        <v>1.9999999999999997E-2</v>
      </c>
      <c r="C7" s="18">
        <v>1.9999999999999997E-2</v>
      </c>
      <c r="D7" s="18">
        <v>1.9999999999999997E-2</v>
      </c>
      <c r="E7" s="18">
        <v>0.01</v>
      </c>
      <c r="F7" s="18">
        <v>0</v>
      </c>
      <c r="G7" s="18">
        <v>1.1428571428571429E-2</v>
      </c>
      <c r="H7" s="18">
        <v>0.02</v>
      </c>
      <c r="I7" s="18">
        <v>4.3333333333333328E-2</v>
      </c>
      <c r="J7" s="18">
        <v>0.02</v>
      </c>
      <c r="K7" s="18">
        <v>1.3333333333333332E-2</v>
      </c>
      <c r="L7" s="18">
        <v>0.02</v>
      </c>
      <c r="M7" s="166" t="s">
        <v>5</v>
      </c>
      <c r="N7" s="358">
        <v>8.5</v>
      </c>
      <c r="O7" s="358">
        <v>0</v>
      </c>
      <c r="P7" s="358">
        <v>1</v>
      </c>
      <c r="Q7" s="358">
        <v>12</v>
      </c>
      <c r="R7" s="358">
        <v>-0.5</v>
      </c>
      <c r="S7" s="358">
        <v>0</v>
      </c>
      <c r="T7" s="68">
        <v>-0.39603707909999997</v>
      </c>
      <c r="U7" s="5">
        <v>-0.50748207129999989</v>
      </c>
      <c r="V7" s="5">
        <v>-0.17013501749999999</v>
      </c>
      <c r="W7" s="5">
        <v>-0.18209581520000007</v>
      </c>
      <c r="X7" s="5">
        <v>-0.44343836560000005</v>
      </c>
      <c r="Y7" s="5">
        <v>-0.43593042500000001</v>
      </c>
      <c r="Z7" s="5">
        <v>-0.34233468389999999</v>
      </c>
      <c r="AA7" s="5">
        <v>-0.11554060339999994</v>
      </c>
      <c r="AB7" s="5">
        <v>-0.23384422860000009</v>
      </c>
      <c r="AC7" s="5">
        <v>-0.48516273329999993</v>
      </c>
      <c r="AD7" s="5">
        <v>-0.38203062920000008</v>
      </c>
      <c r="AE7" s="80">
        <v>-0.25453985369999987</v>
      </c>
      <c r="AF7" s="5">
        <f t="shared" si="3"/>
        <v>-0.32904762548333327</v>
      </c>
      <c r="AG7" s="68">
        <v>-4.9224164814999991</v>
      </c>
      <c r="AH7" s="5">
        <v>-4.4806162434999992</v>
      </c>
      <c r="AI7" s="5">
        <v>-3.5956708674999991</v>
      </c>
      <c r="AJ7" s="5">
        <v>-2.3700170400000005</v>
      </c>
      <c r="AK7" s="5">
        <v>-3.2850211640000007</v>
      </c>
      <c r="AL7" s="5">
        <v>-5.7121714699999995</v>
      </c>
      <c r="AM7" s="5">
        <v>-5.7028859380000014</v>
      </c>
      <c r="AN7" s="5">
        <v>-4.2512917844999993</v>
      </c>
      <c r="AO7" s="5">
        <v>-4.7999080785000015</v>
      </c>
      <c r="AP7" s="5">
        <v>-4.394213603499999</v>
      </c>
      <c r="AQ7" s="5">
        <v>-6.8882995700000009</v>
      </c>
      <c r="AR7" s="5">
        <v>-4.9138987400000005</v>
      </c>
      <c r="AS7" s="196">
        <v>-4.2408204000000023</v>
      </c>
      <c r="AT7" s="5">
        <f>AVERAGE(AG7:AR7)</f>
        <v>-4.6097009150833337</v>
      </c>
      <c r="AU7" s="68">
        <v>-2.3296673989999999</v>
      </c>
      <c r="AV7" s="3">
        <v>20.270499999999998</v>
      </c>
      <c r="AW7" s="80">
        <v>-0.93770227250000004</v>
      </c>
      <c r="AX7" s="458">
        <v>9.2598797999999996E-2</v>
      </c>
      <c r="AY7" s="18">
        <v>-6.5000000000000002E-2</v>
      </c>
      <c r="AZ7" s="18">
        <v>7.0000000000000007E-2</v>
      </c>
      <c r="BA7" s="18">
        <v>0.4516</v>
      </c>
      <c r="BB7" s="18">
        <v>0.2802</v>
      </c>
      <c r="BC7" s="18">
        <v>8.4099999999999994E-2</v>
      </c>
      <c r="BD7" s="18">
        <v>0.46879999999999999</v>
      </c>
      <c r="BE7" s="18">
        <v>0.3175</v>
      </c>
      <c r="BF7" s="18">
        <v>-2.1499999999999998E-2</v>
      </c>
      <c r="BG7" s="18">
        <v>-1.34E-2</v>
      </c>
      <c r="BH7" s="161">
        <f t="shared" si="5"/>
        <v>0.19821249999999996</v>
      </c>
      <c r="BI7" s="296" t="s">
        <v>528</v>
      </c>
      <c r="BJ7" s="24">
        <v>4.9844937327189004E-2</v>
      </c>
      <c r="BK7" s="24">
        <v>-1.8455530875575998E-2</v>
      </c>
      <c r="BL7" s="294">
        <v>4.0654959907833993E-2</v>
      </c>
      <c r="BM7" s="294">
        <f t="shared" si="6"/>
        <v>4.5249948617511498E-2</v>
      </c>
      <c r="BN7" s="430">
        <v>-6.59E-2</v>
      </c>
      <c r="BO7" s="18">
        <v>-0.24399999999999999</v>
      </c>
      <c r="BP7" s="18">
        <v>-0.40079999999999999</v>
      </c>
      <c r="BQ7" s="336" t="s">
        <v>597</v>
      </c>
      <c r="BR7" s="18">
        <v>0.50404565549281399</v>
      </c>
      <c r="BS7" s="5">
        <f t="shared" si="0"/>
        <v>0.49595434450718601</v>
      </c>
      <c r="BT7" s="5">
        <f t="shared" si="7"/>
        <v>-0.29753012420808062</v>
      </c>
      <c r="BU7" s="18">
        <v>0.58256470393437898</v>
      </c>
      <c r="BV7" s="18">
        <f t="shared" si="1"/>
        <v>0.41743529606562102</v>
      </c>
      <c r="BW7" s="5">
        <f t="shared" si="8"/>
        <v>-0.23465583167349263</v>
      </c>
      <c r="BX7" s="336" t="s">
        <v>597</v>
      </c>
      <c r="BY7" s="18">
        <v>0.70200018564972599</v>
      </c>
      <c r="BZ7" s="5">
        <f t="shared" si="9"/>
        <v>-0.15366277301742989</v>
      </c>
      <c r="CA7" s="18">
        <v>-0.26290000000000002</v>
      </c>
      <c r="CB7" s="18">
        <v>-0.57999999999999996</v>
      </c>
      <c r="CC7" s="68">
        <v>-0.51639999999999997</v>
      </c>
      <c r="CD7" s="5">
        <v>-0.7712</v>
      </c>
      <c r="CE7" s="5">
        <v>-0.56869999999999998</v>
      </c>
      <c r="CF7" s="5">
        <v>-0.20219999999999999</v>
      </c>
      <c r="CG7" s="80">
        <f t="shared" si="2"/>
        <v>-0.514625</v>
      </c>
      <c r="CH7" s="505">
        <f t="shared" si="10"/>
        <v>4.2169999999999987</v>
      </c>
      <c r="CI7" s="502">
        <f t="shared" si="11"/>
        <v>-7.6705000000000041</v>
      </c>
      <c r="CJ7" s="161">
        <v>92.506500000000003</v>
      </c>
      <c r="CK7" s="5">
        <v>85.629000000000005</v>
      </c>
      <c r="CL7" s="154">
        <f t="shared" si="12"/>
        <v>6.8774999999999977</v>
      </c>
      <c r="CM7" s="161">
        <v>90.507499999999993</v>
      </c>
      <c r="CN7" s="18">
        <v>91.3005</v>
      </c>
      <c r="CO7" s="469">
        <f t="shared" si="13"/>
        <v>-0.79300000000000637</v>
      </c>
      <c r="CP7" s="470">
        <v>86.1</v>
      </c>
      <c r="CQ7" s="471">
        <v>78.840999999999994</v>
      </c>
      <c r="CR7" s="472">
        <f t="shared" si="14"/>
        <v>7.2590000000000003</v>
      </c>
      <c r="CS7" s="161">
        <v>91.355800000000002</v>
      </c>
      <c r="CT7" s="5">
        <v>79.879800000000003</v>
      </c>
      <c r="CU7" s="154">
        <f t="shared" si="15"/>
        <v>11.475999999999999</v>
      </c>
      <c r="CV7" s="179">
        <v>3.2862999999999971</v>
      </c>
      <c r="CW7" s="154">
        <v>3.9055000000000035</v>
      </c>
      <c r="CX7" s="185">
        <v>9.0587000000000018</v>
      </c>
      <c r="CY7" s="432">
        <v>-2.3798406550000002</v>
      </c>
      <c r="CZ7" s="432">
        <v>1.6664677139999999</v>
      </c>
      <c r="DA7" s="509">
        <f t="shared" si="16"/>
        <v>-5.7724000000000046</v>
      </c>
      <c r="DB7" s="509">
        <f t="shared" si="17"/>
        <v>-0.61920000000000641</v>
      </c>
      <c r="DC7" s="3">
        <v>20.270499999999998</v>
      </c>
      <c r="DD7" s="3">
        <v>8.9150000000000063</v>
      </c>
      <c r="DE7" s="3">
        <v>5.5591999999999899</v>
      </c>
      <c r="DF7" s="3">
        <v>6.6358000000000033</v>
      </c>
      <c r="DG7" s="3">
        <v>1.5399999999999991</v>
      </c>
      <c r="DH7" s="3">
        <v>3.875</v>
      </c>
      <c r="DI7" s="3">
        <v>3.4819999999999993</v>
      </c>
      <c r="DJ7" s="3">
        <v>1.2836999999999961</v>
      </c>
      <c r="DK7" s="3">
        <v>-0.79240000000000066</v>
      </c>
      <c r="DL7" s="3">
        <v>2.7469999999999999</v>
      </c>
      <c r="DM7" s="3">
        <v>1.7176999999999936</v>
      </c>
      <c r="DN7" s="3">
        <v>1.9880000000000067</v>
      </c>
      <c r="DO7" s="3">
        <v>2.0769999999999982</v>
      </c>
      <c r="DP7" s="5">
        <f t="shared" si="18"/>
        <v>3.2523333333333326</v>
      </c>
      <c r="DQ7" s="3" t="s">
        <v>5</v>
      </c>
      <c r="DR7" s="5">
        <v>-1</v>
      </c>
      <c r="DS7" s="5">
        <v>-1</v>
      </c>
      <c r="DT7" s="5">
        <v>7</v>
      </c>
      <c r="DU7" s="5">
        <v>-5</v>
      </c>
      <c r="DV7" s="5">
        <v>-6</v>
      </c>
      <c r="DW7" s="5">
        <v>-1</v>
      </c>
      <c r="DX7" s="3" t="s">
        <v>5</v>
      </c>
      <c r="DY7" s="144">
        <v>0.08</v>
      </c>
      <c r="DZ7" s="3" t="s">
        <v>5</v>
      </c>
      <c r="EA7" s="79"/>
      <c r="EB7" s="327"/>
      <c r="EC7" s="327"/>
      <c r="ED7" s="5">
        <v>81</v>
      </c>
      <c r="EE7" s="5">
        <v>54</v>
      </c>
      <c r="EF7" s="18">
        <v>37</v>
      </c>
      <c r="EG7" s="24">
        <v>117</v>
      </c>
      <c r="EH7" s="5">
        <v>15</v>
      </c>
      <c r="EI7" s="5">
        <v>134</v>
      </c>
      <c r="EJ7" s="5">
        <v>106</v>
      </c>
      <c r="EK7" s="5">
        <v>126</v>
      </c>
      <c r="EL7" s="5">
        <v>91</v>
      </c>
      <c r="EM7" s="5">
        <v>162</v>
      </c>
      <c r="EN7" s="5">
        <v>0</v>
      </c>
      <c r="EO7" s="5">
        <v>1</v>
      </c>
      <c r="EP7" s="5">
        <v>-1</v>
      </c>
      <c r="EQ7" s="5">
        <v>1</v>
      </c>
      <c r="ER7" s="5">
        <v>12</v>
      </c>
      <c r="ES7" s="18">
        <v>6</v>
      </c>
      <c r="ET7" s="358">
        <v>0</v>
      </c>
      <c r="EU7" s="3" t="s">
        <v>5</v>
      </c>
      <c r="EV7" s="21">
        <v>0.12</v>
      </c>
      <c r="EW7" s="5">
        <f t="shared" si="19"/>
        <v>0.1</v>
      </c>
      <c r="EX7" s="161">
        <v>-0.23628617200000002</v>
      </c>
      <c r="EY7" s="21">
        <v>-1.33</v>
      </c>
      <c r="EZ7" s="144">
        <v>0.08</v>
      </c>
      <c r="FA7" s="161">
        <v>0.32907999999999998</v>
      </c>
      <c r="FB7" s="5">
        <v>0.40900999999999998</v>
      </c>
      <c r="FC7" s="154">
        <f t="shared" si="20"/>
        <v>-7.9930000000000001E-2</v>
      </c>
      <c r="FD7" s="3" t="s">
        <v>5</v>
      </c>
      <c r="FE7" s="519">
        <v>-6</v>
      </c>
    </row>
    <row r="8" spans="1:161" x14ac:dyDescent="0.2">
      <c r="A8" s="3" t="s">
        <v>8</v>
      </c>
      <c r="B8" s="18">
        <v>0.18800000020000002</v>
      </c>
      <c r="C8" s="18">
        <v>6.6666666666666671E-3</v>
      </c>
      <c r="D8" s="18">
        <v>0.29000000133333331</v>
      </c>
      <c r="E8" s="18">
        <v>0.52999999133333331</v>
      </c>
      <c r="F8" s="18">
        <v>0.66666666666666663</v>
      </c>
      <c r="G8" s="18">
        <v>2.4285714571428575E-2</v>
      </c>
      <c r="H8" s="18">
        <v>0</v>
      </c>
      <c r="I8" s="18">
        <v>0.45333333799999997</v>
      </c>
      <c r="J8" s="18">
        <v>1</v>
      </c>
      <c r="K8" s="18">
        <v>0.72999999933333337</v>
      </c>
      <c r="L8" s="18">
        <v>0.54000000166666673</v>
      </c>
      <c r="M8" s="166" t="s">
        <v>8</v>
      </c>
      <c r="N8" s="358">
        <v>14.5</v>
      </c>
      <c r="O8" s="358">
        <v>17</v>
      </c>
      <c r="P8" s="358">
        <v>17</v>
      </c>
      <c r="Q8" s="358">
        <v>5.5</v>
      </c>
      <c r="R8" s="358">
        <v>10</v>
      </c>
      <c r="S8" s="358">
        <v>6</v>
      </c>
      <c r="T8" s="68">
        <v>-0.1654776429</v>
      </c>
      <c r="U8" s="5">
        <v>-0.13979975649999998</v>
      </c>
      <c r="V8" s="5">
        <v>-0.18530570200000002</v>
      </c>
      <c r="W8" s="5">
        <v>0.16830998249999995</v>
      </c>
      <c r="X8" s="5">
        <v>-0.2785145631999999</v>
      </c>
      <c r="Y8" s="5">
        <v>-0.20431877910000007</v>
      </c>
      <c r="Z8" s="5">
        <v>-0.16001067660000001</v>
      </c>
      <c r="AA8" s="5">
        <v>-0.22665327060000007</v>
      </c>
      <c r="AB8" s="5">
        <v>-0.20426843700000008</v>
      </c>
      <c r="AC8" s="5">
        <v>7.941798599999994E-2</v>
      </c>
      <c r="AD8" s="5">
        <v>5.5733252999999872E-2</v>
      </c>
      <c r="AE8" s="80">
        <v>-0.14221410100000009</v>
      </c>
      <c r="AF8" s="5">
        <f t="shared" si="3"/>
        <v>-0.11692514228333335</v>
      </c>
      <c r="AG8" s="68">
        <v>-1.6134674954999992</v>
      </c>
      <c r="AH8" s="5">
        <v>-1.5938117399999996</v>
      </c>
      <c r="AI8" s="5">
        <v>-1.7583949374999994</v>
      </c>
      <c r="AJ8" s="5">
        <v>1.5667178315000001</v>
      </c>
      <c r="AK8" s="5">
        <v>-0.98861500149999948</v>
      </c>
      <c r="AL8" s="5">
        <v>-1.7645714800000007</v>
      </c>
      <c r="AM8" s="5">
        <v>-2.2632565135</v>
      </c>
      <c r="AN8" s="5">
        <v>-1.7213247460000005</v>
      </c>
      <c r="AO8" s="5">
        <v>-1.7795388944999999</v>
      </c>
      <c r="AP8" s="5">
        <v>-0.54565823299999927</v>
      </c>
      <c r="AQ8" s="5">
        <v>-1.6773781499999991</v>
      </c>
      <c r="AR8" s="5">
        <v>-2.2134943719999995</v>
      </c>
      <c r="AS8" s="196">
        <v>-0.84795844499999973</v>
      </c>
      <c r="AT8" s="5">
        <f t="shared" si="4"/>
        <v>-1.3627328109999997</v>
      </c>
      <c r="AU8" s="68">
        <v>-3.0254243939999999</v>
      </c>
      <c r="AV8" s="3">
        <v>20.569500000000005</v>
      </c>
      <c r="AW8" s="80">
        <v>1.468671265</v>
      </c>
      <c r="AX8" s="458">
        <v>1.876124694</v>
      </c>
      <c r="AY8" s="18">
        <v>0.22370000000000001</v>
      </c>
      <c r="AZ8" s="18">
        <v>0.13339999999999999</v>
      </c>
      <c r="BA8" s="18">
        <v>0.62139999999999995</v>
      </c>
      <c r="BB8" s="18">
        <v>-5.2999999999999999E-2</v>
      </c>
      <c r="BC8" s="18">
        <v>-4.3499999999999997E-2</v>
      </c>
      <c r="BD8" s="18">
        <v>5.0099999999999999E-2</v>
      </c>
      <c r="BE8" s="18">
        <v>-0.2117</v>
      </c>
      <c r="BF8" s="18">
        <v>0.25990000000000002</v>
      </c>
      <c r="BG8" s="18">
        <v>-1.0261</v>
      </c>
      <c r="BH8" s="161">
        <f t="shared" si="5"/>
        <v>0.12253749999999999</v>
      </c>
      <c r="BI8" s="285" t="s">
        <v>529</v>
      </c>
      <c r="BJ8" s="24">
        <v>-2.4178640553000064E-3</v>
      </c>
      <c r="BK8" s="24">
        <v>3.9065764516129003E-2</v>
      </c>
      <c r="BL8" s="294">
        <v>4.1911547926267695E-2</v>
      </c>
      <c r="BM8" s="294">
        <f t="shared" si="6"/>
        <v>1.9746841935483844E-2</v>
      </c>
      <c r="BN8" s="18">
        <v>3.3000000000000002E-2</v>
      </c>
      <c r="BO8" s="18">
        <v>-4.6800000000000001E-2</v>
      </c>
      <c r="BP8" s="18">
        <v>8.6999999999999994E-2</v>
      </c>
      <c r="BQ8" s="336" t="s">
        <v>599</v>
      </c>
      <c r="BR8" s="18">
        <v>0.57568601175968503</v>
      </c>
      <c r="BS8" s="5">
        <f t="shared" si="0"/>
        <v>0.42431398824031497</v>
      </c>
      <c r="BT8" s="5">
        <f t="shared" si="7"/>
        <v>-0.23981432307115796</v>
      </c>
      <c r="BU8" s="18">
        <v>0.57132012192061998</v>
      </c>
      <c r="BV8" s="18">
        <f t="shared" si="1"/>
        <v>0.42867987807938002</v>
      </c>
      <c r="BW8" s="5">
        <f t="shared" si="8"/>
        <v>-0.24312047979872353</v>
      </c>
      <c r="BX8" s="336" t="s">
        <v>599</v>
      </c>
      <c r="BY8" s="18">
        <v>0.78780867342828897</v>
      </c>
      <c r="BZ8" s="5">
        <f t="shared" si="9"/>
        <v>-0.10357924210861162</v>
      </c>
      <c r="CA8" s="18">
        <v>-0.2626</v>
      </c>
      <c r="CB8" s="18">
        <v>-0.32719999999999999</v>
      </c>
      <c r="CC8" s="68">
        <v>-0.45240000000000002</v>
      </c>
      <c r="CD8" s="5">
        <v>-0.41689999999999999</v>
      </c>
      <c r="CE8" s="5">
        <v>-0.2104</v>
      </c>
      <c r="CF8" s="5">
        <v>-0.22109999999999999</v>
      </c>
      <c r="CG8" s="80">
        <f t="shared" si="2"/>
        <v>-0.32519999999999999</v>
      </c>
      <c r="CH8" s="505">
        <f t="shared" si="10"/>
        <v>5.8849999999999909</v>
      </c>
      <c r="CI8" s="502">
        <f t="shared" si="11"/>
        <v>-24.025700000000001</v>
      </c>
      <c r="CJ8" s="161">
        <v>93.702200000000005</v>
      </c>
      <c r="CK8" s="5">
        <v>77.058800000000005</v>
      </c>
      <c r="CL8" s="154">
        <f t="shared" si="12"/>
        <v>16.6434</v>
      </c>
      <c r="CM8" s="161">
        <v>91.983999999999995</v>
      </c>
      <c r="CN8" s="18">
        <v>99.366299999999995</v>
      </c>
      <c r="CO8" s="469">
        <f t="shared" si="13"/>
        <v>-7.3823000000000008</v>
      </c>
      <c r="CP8" s="470">
        <v>79.576800000000006</v>
      </c>
      <c r="CQ8" s="471">
        <v>66.813999999999993</v>
      </c>
      <c r="CR8" s="472">
        <f t="shared" si="14"/>
        <v>12.762800000000013</v>
      </c>
      <c r="CS8" s="161">
        <v>103.027</v>
      </c>
      <c r="CT8" s="5">
        <v>84.379199999999997</v>
      </c>
      <c r="CU8" s="154">
        <f t="shared" si="15"/>
        <v>18.647800000000004</v>
      </c>
      <c r="CV8" s="179">
        <v>4.6443000000000012</v>
      </c>
      <c r="CW8" s="154">
        <v>8.697499999999998</v>
      </c>
      <c r="CX8" s="185">
        <v>27.499099999999999</v>
      </c>
      <c r="CY8" s="432">
        <v>-1.717963288</v>
      </c>
      <c r="CZ8" s="432">
        <v>2.5532704329999998</v>
      </c>
      <c r="DA8" s="509">
        <f t="shared" si="16"/>
        <v>-22.854799999999997</v>
      </c>
      <c r="DB8" s="509">
        <f t="shared" si="17"/>
        <v>-4.0531999999999968</v>
      </c>
      <c r="DC8" s="3">
        <v>20.569500000000005</v>
      </c>
      <c r="DD8" s="3">
        <v>12.891499999999994</v>
      </c>
      <c r="DE8" s="3">
        <v>7.7583000000000055</v>
      </c>
      <c r="DF8" s="3">
        <v>6.5869999999999891</v>
      </c>
      <c r="DG8" s="3">
        <v>9.0927000000000007</v>
      </c>
      <c r="DH8" s="3">
        <v>7.2538000000000054</v>
      </c>
      <c r="DI8" s="3">
        <v>5.1651999999999987</v>
      </c>
      <c r="DJ8" s="3">
        <v>6.6201000000000008</v>
      </c>
      <c r="DK8" s="3">
        <v>-7.5865000000000009</v>
      </c>
      <c r="DL8" s="3">
        <v>4.7295000000000016</v>
      </c>
      <c r="DM8" s="3">
        <v>5.9359999999999999</v>
      </c>
      <c r="DN8" s="3">
        <v>8.9168000000000021</v>
      </c>
      <c r="DO8" s="3">
        <v>8.9819999999999922</v>
      </c>
      <c r="DP8" s="5">
        <f t="shared" si="18"/>
        <v>6.3621999999999987</v>
      </c>
      <c r="DQ8" s="3" t="s">
        <v>8</v>
      </c>
      <c r="DR8" s="5">
        <v>0</v>
      </c>
      <c r="DS8" s="5">
        <v>-1</v>
      </c>
      <c r="DT8" s="5">
        <v>3</v>
      </c>
      <c r="DU8" s="5">
        <v>11</v>
      </c>
      <c r="DV8" s="5">
        <v>-8</v>
      </c>
      <c r="DW8" s="5">
        <v>1</v>
      </c>
      <c r="DX8" s="3" t="s">
        <v>8</v>
      </c>
      <c r="DY8" s="144">
        <v>0.25</v>
      </c>
      <c r="DZ8" s="3" t="s">
        <v>8</v>
      </c>
      <c r="EA8" s="5">
        <v>0</v>
      </c>
      <c r="EB8" s="5">
        <v>1</v>
      </c>
      <c r="EC8" s="5">
        <v>26</v>
      </c>
      <c r="ED8" s="5">
        <v>59</v>
      </c>
      <c r="EE8" s="5">
        <v>54</v>
      </c>
      <c r="EF8" s="18">
        <v>25</v>
      </c>
      <c r="EG8" s="24">
        <v>117</v>
      </c>
      <c r="EH8" s="5">
        <v>18</v>
      </c>
      <c r="EI8" s="5">
        <v>160</v>
      </c>
      <c r="EJ8" s="5">
        <v>72</v>
      </c>
      <c r="EK8" s="5">
        <v>92</v>
      </c>
      <c r="EL8" s="5">
        <v>61</v>
      </c>
      <c r="EM8" s="5">
        <v>166</v>
      </c>
      <c r="EN8" s="5">
        <v>7</v>
      </c>
      <c r="EO8" s="5">
        <v>-1</v>
      </c>
      <c r="EP8" s="5">
        <v>0</v>
      </c>
      <c r="EQ8" s="5">
        <v>1</v>
      </c>
      <c r="ER8" s="5">
        <v>8</v>
      </c>
      <c r="ES8" s="18">
        <v>7</v>
      </c>
      <c r="ET8" s="358">
        <v>6</v>
      </c>
      <c r="EU8" s="3" t="s">
        <v>8</v>
      </c>
      <c r="EV8" s="21">
        <v>0.790000021</v>
      </c>
      <c r="EW8" s="5">
        <f t="shared" si="19"/>
        <v>0.5200000105</v>
      </c>
      <c r="EX8" s="161">
        <v>-0.67649976499999998</v>
      </c>
      <c r="EY8" s="21">
        <v>-2.67</v>
      </c>
      <c r="EZ8" s="144">
        <v>0.25</v>
      </c>
      <c r="FA8" s="161">
        <v>0.46272999999999997</v>
      </c>
      <c r="FB8" s="5">
        <v>0.41295999999999999</v>
      </c>
      <c r="FC8" s="154">
        <f t="shared" si="20"/>
        <v>4.9769999999999981E-2</v>
      </c>
      <c r="FD8" s="188" t="s">
        <v>8</v>
      </c>
      <c r="FE8" s="519">
        <v>1</v>
      </c>
    </row>
    <row r="9" spans="1:161" x14ac:dyDescent="0.2">
      <c r="A9" s="3" t="s">
        <v>9</v>
      </c>
      <c r="B9" s="18">
        <v>0.16200000000000001</v>
      </c>
      <c r="C9" s="18">
        <v>0.10666666666666667</v>
      </c>
      <c r="D9" s="18">
        <v>0.11333333333333333</v>
      </c>
      <c r="E9" s="18">
        <v>7.0000000000000007E-2</v>
      </c>
      <c r="F9" s="18">
        <v>0.67333333333333334</v>
      </c>
      <c r="G9" s="18">
        <v>0.63428571428571423</v>
      </c>
      <c r="H9" s="18">
        <v>0.25333333333333335</v>
      </c>
      <c r="I9" s="18">
        <v>0.42333333333333334</v>
      </c>
      <c r="J9" s="18">
        <v>0.96333333333333326</v>
      </c>
      <c r="K9" s="18">
        <v>0.03</v>
      </c>
      <c r="L9" s="18">
        <v>0.15666666666666665</v>
      </c>
      <c r="M9" s="166" t="s">
        <v>9</v>
      </c>
      <c r="N9" s="358">
        <v>11</v>
      </c>
      <c r="O9" s="358">
        <v>0.5</v>
      </c>
      <c r="P9" s="358">
        <v>0.5</v>
      </c>
      <c r="Q9" s="358">
        <v>12</v>
      </c>
      <c r="R9" s="358">
        <v>0</v>
      </c>
      <c r="S9" s="358">
        <v>1</v>
      </c>
      <c r="T9" s="68">
        <v>-0.29437390769999994</v>
      </c>
      <c r="U9" s="5">
        <v>-0.4073683924</v>
      </c>
      <c r="V9" s="5">
        <v>-6.0932764200000045E-2</v>
      </c>
      <c r="W9" s="5">
        <v>-0.21150513739999999</v>
      </c>
      <c r="X9" s="5">
        <v>-0.47228327010000004</v>
      </c>
      <c r="Y9" s="5">
        <v>-0.73623574609999987</v>
      </c>
      <c r="Z9" s="5">
        <v>-0.46553508239999997</v>
      </c>
      <c r="AA9" s="5">
        <v>-0.90618745229999997</v>
      </c>
      <c r="AB9" s="5">
        <v>-0.22118183439999994</v>
      </c>
      <c r="AC9" s="5">
        <v>-0.60231828570000001</v>
      </c>
      <c r="AD9" s="5">
        <v>-0.54200883030000002</v>
      </c>
      <c r="AE9" s="80">
        <v>-0.2517129709</v>
      </c>
      <c r="AF9" s="5">
        <f t="shared" si="3"/>
        <v>-0.43097030615833337</v>
      </c>
      <c r="AG9" s="68">
        <v>-6.3671408079999985</v>
      </c>
      <c r="AH9" s="5">
        <v>-4.7551593169999995</v>
      </c>
      <c r="AI9" s="5">
        <v>-4.2960007094999995</v>
      </c>
      <c r="AJ9" s="5">
        <v>-3.0779900149999992</v>
      </c>
      <c r="AK9" s="5">
        <v>-6.0335255970000006</v>
      </c>
      <c r="AL9" s="5">
        <v>-7.2003302644999998</v>
      </c>
      <c r="AM9" s="5">
        <v>-6.9569341314999997</v>
      </c>
      <c r="AN9" s="5">
        <v>-8.3574107289999997</v>
      </c>
      <c r="AO9" s="5">
        <v>-4.8667765325000012</v>
      </c>
      <c r="AP9" s="5">
        <v>-5.7218691644999993</v>
      </c>
      <c r="AQ9" s="5">
        <v>-6.1047042739999995</v>
      </c>
      <c r="AR9" s="5">
        <v>-3.2587051835</v>
      </c>
      <c r="AS9" s="196">
        <v>-3.9292742914999987</v>
      </c>
      <c r="AT9" s="5">
        <f t="shared" si="4"/>
        <v>-5.5830455605000004</v>
      </c>
      <c r="AU9" s="68">
        <v>-1.202560635</v>
      </c>
      <c r="AV9" s="3">
        <v>23.381900000000009</v>
      </c>
      <c r="AW9" s="80">
        <v>1.0856230659999999</v>
      </c>
      <c r="AX9" s="458">
        <v>1.3437930149999999</v>
      </c>
      <c r="AY9" s="18">
        <v>0.22339999999999999</v>
      </c>
      <c r="AZ9" s="18">
        <v>0.19439999999999999</v>
      </c>
      <c r="BA9" s="18">
        <v>0.4592</v>
      </c>
      <c r="BB9" s="18">
        <v>0.23519999999999999</v>
      </c>
      <c r="BC9" s="18">
        <v>0.29620000000000002</v>
      </c>
      <c r="BD9" s="18">
        <v>0.10349999999999999</v>
      </c>
      <c r="BE9" s="18">
        <v>0.33379999999999999</v>
      </c>
      <c r="BF9" s="18">
        <v>0.31690000000000002</v>
      </c>
      <c r="BG9" s="18">
        <v>-0.1411</v>
      </c>
      <c r="BH9" s="161">
        <f t="shared" si="5"/>
        <v>0.27032499999999998</v>
      </c>
      <c r="BI9" s="296" t="s">
        <v>530</v>
      </c>
      <c r="BJ9" s="24">
        <v>7.0848122119815893E-2</v>
      </c>
      <c r="BK9" s="24">
        <v>5.7915920276497806E-2</v>
      </c>
      <c r="BL9" s="294">
        <v>8.0369227649769198E-2</v>
      </c>
      <c r="BM9" s="294">
        <f t="shared" si="6"/>
        <v>7.5608674884792546E-2</v>
      </c>
      <c r="BN9" s="18">
        <v>0.16009999999999999</v>
      </c>
      <c r="BO9" s="18">
        <v>0.1542</v>
      </c>
      <c r="BP9" s="18">
        <v>1.2999999999999999E-2</v>
      </c>
      <c r="BQ9" s="39"/>
      <c r="BR9" s="39"/>
      <c r="BS9" s="24"/>
      <c r="BU9" s="18"/>
      <c r="BV9" s="18"/>
      <c r="BX9" s="18"/>
      <c r="BY9" s="18"/>
      <c r="CC9" s="68"/>
      <c r="CG9" s="80"/>
      <c r="CH9" s="505">
        <f t="shared" si="10"/>
        <v>15.645099999999999</v>
      </c>
      <c r="CI9" s="502">
        <f t="shared" si="11"/>
        <v>-10.6477</v>
      </c>
      <c r="CJ9" s="161">
        <v>64.398300000000006</v>
      </c>
      <c r="CK9" s="5">
        <v>49.448099999999997</v>
      </c>
      <c r="CL9" s="154">
        <f t="shared" si="12"/>
        <v>14.950200000000009</v>
      </c>
      <c r="CM9" s="161">
        <v>83.858000000000004</v>
      </c>
      <c r="CN9" s="18">
        <v>79.555499999999995</v>
      </c>
      <c r="CO9" s="469">
        <f t="shared" si="13"/>
        <v>4.3025000000000091</v>
      </c>
      <c r="CP9" s="470">
        <v>59.048000000000002</v>
      </c>
      <c r="CQ9" s="471">
        <v>59.325699999999998</v>
      </c>
      <c r="CR9" s="472">
        <f t="shared" si="14"/>
        <v>-0.27769999999999584</v>
      </c>
      <c r="CS9" s="161">
        <v>58.064500000000002</v>
      </c>
      <c r="CT9" s="5">
        <v>42.697099999999999</v>
      </c>
      <c r="CU9" s="154">
        <f t="shared" si="15"/>
        <v>15.367400000000004</v>
      </c>
      <c r="CV9" s="179">
        <v>-4.1840000000000046</v>
      </c>
      <c r="CW9" s="154">
        <v>-0.11580000000000013</v>
      </c>
      <c r="CX9" s="185">
        <v>21.012999999999998</v>
      </c>
      <c r="CY9" s="432">
        <v>-4.2447475609999996</v>
      </c>
      <c r="CZ9" s="432">
        <v>2.0675218860000002</v>
      </c>
      <c r="DA9" s="509">
        <f t="shared" si="16"/>
        <v>-25.197000000000003</v>
      </c>
      <c r="DB9" s="509">
        <f t="shared" si="17"/>
        <v>-4.0682000000000045</v>
      </c>
      <c r="DC9" s="3"/>
      <c r="DD9" s="3">
        <v>13.406800000000004</v>
      </c>
      <c r="DE9" s="3">
        <v>7.4863999999999962</v>
      </c>
      <c r="DF9" s="3">
        <v>10.407299999999999</v>
      </c>
      <c r="DG9" s="3">
        <v>6.776600000000002</v>
      </c>
      <c r="DH9" s="3">
        <v>-2.2760999999999996</v>
      </c>
      <c r="DI9" s="3">
        <v>-1.4963000000000051</v>
      </c>
      <c r="DJ9" s="3">
        <v>-1.9809000000000054</v>
      </c>
      <c r="DK9" s="3">
        <v>-0.97670000000000101</v>
      </c>
      <c r="DL9" s="3">
        <v>1.127200000000002</v>
      </c>
      <c r="DM9" s="3">
        <v>2.702300000000001</v>
      </c>
      <c r="DN9" s="3">
        <v>1.2219999999999942</v>
      </c>
      <c r="DO9" s="3">
        <v>1.037700000000001</v>
      </c>
      <c r="DP9" s="5">
        <f t="shared" si="18"/>
        <v>3.1196916666666659</v>
      </c>
      <c r="DQ9" s="3" t="s">
        <v>9</v>
      </c>
      <c r="DR9" s="5">
        <v>2</v>
      </c>
      <c r="DS9" s="5">
        <v>-2</v>
      </c>
      <c r="DT9" s="5">
        <v>9</v>
      </c>
      <c r="DU9" s="5">
        <v>10</v>
      </c>
      <c r="DV9" s="5">
        <v>5</v>
      </c>
      <c r="DW9" s="5">
        <v>10</v>
      </c>
      <c r="DX9" s="3" t="s">
        <v>9</v>
      </c>
      <c r="DY9" s="144">
        <v>0</v>
      </c>
      <c r="DZ9" s="3" t="s">
        <v>9</v>
      </c>
      <c r="EA9" s="5">
        <v>0</v>
      </c>
      <c r="EB9" s="5">
        <v>5</v>
      </c>
      <c r="EC9" s="5">
        <v>29</v>
      </c>
      <c r="ED9" s="5">
        <v>19</v>
      </c>
      <c r="EE9" s="5">
        <v>44</v>
      </c>
      <c r="EF9" s="18">
        <v>40</v>
      </c>
      <c r="EG9" s="24">
        <v>118</v>
      </c>
      <c r="EH9" s="5">
        <v>15</v>
      </c>
      <c r="EI9" s="5">
        <v>106</v>
      </c>
      <c r="EJ9" s="5">
        <v>118</v>
      </c>
      <c r="EK9" s="5">
        <v>101</v>
      </c>
      <c r="EL9" s="5">
        <v>78</v>
      </c>
      <c r="EM9" s="5">
        <v>109</v>
      </c>
      <c r="EN9" s="5">
        <v>2.5</v>
      </c>
      <c r="EO9" s="5">
        <v>-10</v>
      </c>
      <c r="EP9" s="5">
        <v>2</v>
      </c>
      <c r="EQ9" s="5">
        <v>2</v>
      </c>
      <c r="ER9" s="5">
        <v>14</v>
      </c>
      <c r="ES9" s="18">
        <v>2</v>
      </c>
      <c r="ET9" s="358">
        <v>1</v>
      </c>
      <c r="EU9" s="3" t="s">
        <v>9</v>
      </c>
      <c r="EV9" s="21">
        <v>0</v>
      </c>
      <c r="EW9" s="5">
        <f t="shared" si="19"/>
        <v>0</v>
      </c>
      <c r="EX9" s="161">
        <v>-0.71777224540000006</v>
      </c>
      <c r="EY9" s="21">
        <v>-3.17</v>
      </c>
      <c r="EZ9" s="144">
        <v>0</v>
      </c>
      <c r="FA9" s="161">
        <v>0.35164000000000001</v>
      </c>
      <c r="FB9" s="5">
        <v>0.41470000000000001</v>
      </c>
      <c r="FC9" s="154">
        <f t="shared" si="20"/>
        <v>-6.3060000000000005E-2</v>
      </c>
      <c r="FD9" s="3" t="s">
        <v>9</v>
      </c>
      <c r="FE9" s="519">
        <v>1</v>
      </c>
    </row>
    <row r="10" spans="1:161" x14ac:dyDescent="0.2">
      <c r="A10" s="3" t="s">
        <v>10</v>
      </c>
      <c r="B10" s="18">
        <v>8.7999998400000001E-2</v>
      </c>
      <c r="C10" s="18">
        <v>0.16999999933333335</v>
      </c>
      <c r="D10" s="18">
        <v>0.18666666600000001</v>
      </c>
      <c r="E10" s="18">
        <v>5.0000000999999995E-2</v>
      </c>
      <c r="F10" s="18">
        <v>0</v>
      </c>
      <c r="G10" s="18">
        <v>0.11000000057142857</v>
      </c>
      <c r="H10" s="18">
        <v>2.4999999666666672E-2</v>
      </c>
      <c r="I10" s="18">
        <v>0.17333333999999997</v>
      </c>
      <c r="J10" s="18">
        <v>0.56000000233333325</v>
      </c>
      <c r="K10" s="18">
        <v>5.9999999333333331E-2</v>
      </c>
      <c r="L10" s="18">
        <v>4.3333333666666668E-2</v>
      </c>
      <c r="M10" s="166" t="s">
        <v>10</v>
      </c>
      <c r="N10" s="358">
        <v>8.5</v>
      </c>
      <c r="O10" s="358">
        <v>6</v>
      </c>
      <c r="P10" s="358">
        <v>2.5</v>
      </c>
      <c r="Q10" s="358">
        <v>9.5</v>
      </c>
      <c r="R10" s="358">
        <v>0.5</v>
      </c>
      <c r="S10" s="358">
        <v>0</v>
      </c>
      <c r="T10" s="68">
        <v>-0.68886163559999991</v>
      </c>
      <c r="U10" s="5">
        <v>-0.21420504679999997</v>
      </c>
      <c r="V10" s="5">
        <v>-0.57120965349999997</v>
      </c>
      <c r="W10" s="5">
        <v>-0.10611283099999991</v>
      </c>
      <c r="X10" s="5">
        <v>-0.51399470049999996</v>
      </c>
      <c r="Y10" s="5">
        <v>-0.17369222530000006</v>
      </c>
      <c r="Z10" s="5">
        <v>-2.4710641999999838E-3</v>
      </c>
      <c r="AA10" s="5">
        <v>-0.30232253009999999</v>
      </c>
      <c r="AB10" s="5">
        <v>-0.35417729909999995</v>
      </c>
      <c r="AC10" s="5">
        <v>0.23689376200000001</v>
      </c>
      <c r="AD10" s="5">
        <v>-0.42972363479999987</v>
      </c>
      <c r="AE10" s="80">
        <v>-9.7144552999999911E-2</v>
      </c>
      <c r="AF10" s="5">
        <f t="shared" si="3"/>
        <v>-0.26808511765833326</v>
      </c>
      <c r="AG10" s="68">
        <v>-8.8646657054999984</v>
      </c>
      <c r="AH10" s="5">
        <v>-6.217447239000002</v>
      </c>
      <c r="AI10" s="5">
        <v>-8.0571863545000006</v>
      </c>
      <c r="AJ10" s="5">
        <v>-1.0409438850000008</v>
      </c>
      <c r="AK10" s="5">
        <v>-5.0616580134999989</v>
      </c>
      <c r="AL10" s="5">
        <v>-5.5754123630000016</v>
      </c>
      <c r="AM10" s="5">
        <v>-7.1640121664999992</v>
      </c>
      <c r="AN10" s="5">
        <v>-6.8615192540000018</v>
      </c>
      <c r="AO10" s="5">
        <v>-6.5737242145000003</v>
      </c>
      <c r="AP10" s="5">
        <v>-2.8137528050000018</v>
      </c>
      <c r="AQ10" s="5">
        <v>-7.0273727760000018</v>
      </c>
      <c r="AR10" s="5">
        <v>-5.2245708084999976</v>
      </c>
      <c r="AS10" s="196">
        <v>-5.3308184389999997</v>
      </c>
      <c r="AT10" s="5">
        <f t="shared" si="4"/>
        <v>-5.8735221320833331</v>
      </c>
      <c r="AU10" s="68">
        <v>-0.80597653049999995</v>
      </c>
      <c r="AV10" s="3">
        <v>0.26000000000000512</v>
      </c>
      <c r="AW10" s="80">
        <v>1.03214019</v>
      </c>
      <c r="AX10" s="458">
        <v>1.370384933</v>
      </c>
      <c r="AY10" s="18">
        <v>0.23649999999999999</v>
      </c>
      <c r="AZ10" s="18">
        <v>0.28220000000000001</v>
      </c>
      <c r="BA10" s="18">
        <v>0.99829999999999997</v>
      </c>
      <c r="BB10" s="18">
        <v>-7.8299999999999995E-2</v>
      </c>
      <c r="BC10" s="18">
        <v>0.1552</v>
      </c>
      <c r="BD10" s="18">
        <v>0.253</v>
      </c>
      <c r="BE10" s="18">
        <v>-0.13339999999999999</v>
      </c>
      <c r="BF10" s="18">
        <v>-1.1900000000000001E-2</v>
      </c>
      <c r="BG10" s="18">
        <v>-0.1052</v>
      </c>
      <c r="BH10" s="161">
        <f t="shared" si="5"/>
        <v>0.21269999999999997</v>
      </c>
      <c r="BI10" s="285" t="s">
        <v>531</v>
      </c>
      <c r="BJ10" s="24">
        <v>1.0014539631336292E-2</v>
      </c>
      <c r="BK10" s="24">
        <v>1.4247044239630899E-2</v>
      </c>
      <c r="BL10" s="294">
        <v>6.5861041474653964E-3</v>
      </c>
      <c r="BM10" s="294">
        <f t="shared" si="6"/>
        <v>8.300321889400844E-3</v>
      </c>
      <c r="BN10" s="18">
        <v>0.26429999999999998</v>
      </c>
      <c r="BO10" s="18">
        <v>0.52669999999999995</v>
      </c>
      <c r="BP10" s="18">
        <v>8.6199999999999999E-2</v>
      </c>
      <c r="BQ10" s="39"/>
      <c r="BR10" s="39"/>
      <c r="BS10" s="24"/>
      <c r="BU10" s="39"/>
      <c r="BV10" s="18"/>
      <c r="BX10" s="39"/>
      <c r="BY10" s="39"/>
      <c r="CC10" s="68"/>
      <c r="CG10" s="80"/>
      <c r="CH10" s="505">
        <f t="shared" si="10"/>
        <v>15.973700000000008</v>
      </c>
      <c r="CI10" s="502">
        <f t="shared" si="11"/>
        <v>9.5511999999999802</v>
      </c>
      <c r="CJ10" s="161">
        <v>79.456000000000003</v>
      </c>
      <c r="CK10" s="5">
        <v>87.042199999999994</v>
      </c>
      <c r="CL10" s="154">
        <f t="shared" si="12"/>
        <v>-7.586199999999991</v>
      </c>
      <c r="CM10" s="161">
        <v>93.900499999999994</v>
      </c>
      <c r="CN10" s="18">
        <v>91.935500000000005</v>
      </c>
      <c r="CO10" s="469">
        <f t="shared" si="13"/>
        <v>1.9649999999999892</v>
      </c>
      <c r="CP10" s="470">
        <v>66.602500000000006</v>
      </c>
      <c r="CQ10" s="471">
        <v>79.782700000000006</v>
      </c>
      <c r="CR10" s="472">
        <f t="shared" si="14"/>
        <v>-13.180199999999999</v>
      </c>
      <c r="CS10" s="161">
        <v>93.919700000000006</v>
      </c>
      <c r="CT10" s="5">
        <v>91.126199999999997</v>
      </c>
      <c r="CU10" s="154">
        <f t="shared" si="15"/>
        <v>2.7935000000000088</v>
      </c>
      <c r="CV10" s="179">
        <v>-30.012</v>
      </c>
      <c r="CW10" s="154">
        <v>-6.9913000000000025</v>
      </c>
      <c r="CX10" s="185">
        <v>-25.071700000000007</v>
      </c>
      <c r="CY10" s="432">
        <v>0.35526945980000002</v>
      </c>
      <c r="CZ10" s="432">
        <v>2.0979807309999998</v>
      </c>
      <c r="DA10" s="509">
        <f t="shared" si="16"/>
        <v>-4.9402999999999935</v>
      </c>
      <c r="DB10" s="509">
        <f t="shared" si="17"/>
        <v>-23.020699999999998</v>
      </c>
      <c r="DC10" s="3"/>
      <c r="DD10" s="3">
        <v>-3.2535000000000025</v>
      </c>
      <c r="DE10" s="3">
        <v>0.5320999999999998</v>
      </c>
      <c r="DF10" s="3">
        <v>5.4421999999999997</v>
      </c>
      <c r="DG10" s="3">
        <v>-5.275500000000001</v>
      </c>
      <c r="DH10" s="3">
        <v>-10.198399999999992</v>
      </c>
      <c r="DI10" s="3">
        <v>-10.365300000000005</v>
      </c>
      <c r="DJ10" s="3">
        <v>-5.8485000000000014</v>
      </c>
      <c r="DK10" s="3">
        <v>6.0994000000000028</v>
      </c>
      <c r="DL10" s="3">
        <v>-12.495500000000007</v>
      </c>
      <c r="DM10" s="3">
        <v>-4.5513999999999939</v>
      </c>
      <c r="DN10" s="3">
        <v>-9.7630999999999943</v>
      </c>
      <c r="DO10" s="3">
        <v>-9.8149999999999906</v>
      </c>
      <c r="DP10" s="5">
        <f t="shared" si="18"/>
        <v>-4.9577083333333318</v>
      </c>
      <c r="DQ10" s="3" t="s">
        <v>10</v>
      </c>
      <c r="DR10" s="5">
        <v>2</v>
      </c>
      <c r="DS10" s="5">
        <v>-1</v>
      </c>
      <c r="DT10" s="5">
        <v>4</v>
      </c>
      <c r="DU10" s="5">
        <v>0</v>
      </c>
      <c r="DV10" s="5">
        <v>-1</v>
      </c>
      <c r="DW10" s="5">
        <v>1</v>
      </c>
      <c r="DX10" s="3" t="s">
        <v>10</v>
      </c>
      <c r="DY10" s="144">
        <v>0.10000000149</v>
      </c>
      <c r="DZ10" s="3" t="s">
        <v>10</v>
      </c>
      <c r="EA10" s="5">
        <v>0</v>
      </c>
      <c r="EB10" s="5">
        <v>8</v>
      </c>
      <c r="EC10" s="5">
        <v>28</v>
      </c>
      <c r="ED10" s="5">
        <v>75</v>
      </c>
      <c r="EE10" s="5">
        <v>49</v>
      </c>
      <c r="EF10" s="18">
        <v>52</v>
      </c>
      <c r="EG10" s="24">
        <v>145</v>
      </c>
      <c r="EH10" s="5">
        <v>18</v>
      </c>
      <c r="EI10" s="5">
        <v>124</v>
      </c>
      <c r="EJ10" s="5">
        <v>123</v>
      </c>
      <c r="EK10" s="5">
        <v>108</v>
      </c>
      <c r="EL10" s="5">
        <v>82</v>
      </c>
      <c r="EM10" s="5">
        <v>135</v>
      </c>
      <c r="EN10" s="5">
        <v>0.5</v>
      </c>
      <c r="EO10" s="5">
        <v>-1</v>
      </c>
      <c r="EP10" s="5">
        <v>2</v>
      </c>
      <c r="EQ10" s="5">
        <v>1</v>
      </c>
      <c r="ER10" s="5">
        <v>9</v>
      </c>
      <c r="ES10" s="18">
        <v>9</v>
      </c>
      <c r="ET10" s="358">
        <v>0</v>
      </c>
      <c r="EU10" s="3" t="s">
        <v>10</v>
      </c>
      <c r="EV10" s="21">
        <v>0.119999997</v>
      </c>
      <c r="EW10" s="5">
        <f t="shared" si="19"/>
        <v>0.10999999924500001</v>
      </c>
      <c r="EX10" s="161">
        <v>-0.39722959629999999</v>
      </c>
      <c r="EY10" s="21">
        <v>0.17</v>
      </c>
      <c r="EZ10" s="144">
        <v>0.10000000149</v>
      </c>
      <c r="FA10" s="161">
        <v>0.37563000000000002</v>
      </c>
      <c r="FB10" s="5">
        <v>0.38059999999999999</v>
      </c>
      <c r="FC10" s="154">
        <f t="shared" si="20"/>
        <v>-4.9699999999999744E-3</v>
      </c>
      <c r="FD10" s="3" t="s">
        <v>10</v>
      </c>
      <c r="FE10" s="519">
        <v>7</v>
      </c>
    </row>
    <row r="11" spans="1:161" x14ac:dyDescent="0.2">
      <c r="A11" s="3" t="s">
        <v>11</v>
      </c>
      <c r="B11" s="18">
        <v>0.16799999999999998</v>
      </c>
      <c r="C11" s="18">
        <v>0</v>
      </c>
      <c r="D11" s="18">
        <v>0</v>
      </c>
      <c r="E11" s="18">
        <v>1.3333333333333334E-2</v>
      </c>
      <c r="F11" s="18">
        <v>0</v>
      </c>
      <c r="G11" s="18">
        <v>9.1428571428571415E-2</v>
      </c>
      <c r="H11" s="18">
        <v>0</v>
      </c>
      <c r="I11" s="18">
        <v>0.48</v>
      </c>
      <c r="J11" s="18">
        <v>0.98666666666666669</v>
      </c>
      <c r="K11" s="18">
        <v>0.97666666666666668</v>
      </c>
      <c r="L11" s="18">
        <v>0</v>
      </c>
      <c r="M11" s="166" t="s">
        <v>11</v>
      </c>
      <c r="N11" s="358">
        <v>4</v>
      </c>
      <c r="O11" s="358">
        <v>4</v>
      </c>
      <c r="P11" s="358">
        <v>0</v>
      </c>
      <c r="Q11" s="358">
        <v>5</v>
      </c>
      <c r="R11" s="358">
        <v>6.5</v>
      </c>
      <c r="S11" s="358">
        <v>0</v>
      </c>
      <c r="T11" s="68">
        <v>-0.32027882950000003</v>
      </c>
      <c r="U11" s="5">
        <v>-0.42942973080000013</v>
      </c>
      <c r="V11" s="5">
        <v>-0.33995394399999995</v>
      </c>
      <c r="W11" s="5">
        <v>-0.38697662340000005</v>
      </c>
      <c r="X11" s="5">
        <v>-0.56519255090000009</v>
      </c>
      <c r="Y11" s="5">
        <v>-0.50966878699999985</v>
      </c>
      <c r="Z11" s="5">
        <v>-0.6102917739999999</v>
      </c>
      <c r="AA11" s="5">
        <v>-0.3593079936000001</v>
      </c>
      <c r="AB11" s="5">
        <v>-0.29920858350000001</v>
      </c>
      <c r="AC11" s="5">
        <v>-0.49973726900000015</v>
      </c>
      <c r="AD11" s="5">
        <v>-0.39863949949999999</v>
      </c>
      <c r="AE11" s="80">
        <v>-0.32025474400000009</v>
      </c>
      <c r="AF11" s="5">
        <f t="shared" si="3"/>
        <v>-0.41991169410000007</v>
      </c>
      <c r="AG11" s="68">
        <v>-8.0665751010000015</v>
      </c>
      <c r="AH11" s="5">
        <v>-3.9286804215000011</v>
      </c>
      <c r="AI11" s="5">
        <v>-4.9461507739999986</v>
      </c>
      <c r="AJ11" s="5">
        <v>-5.2588174195000015</v>
      </c>
      <c r="AK11" s="5">
        <v>-5.7594997569999995</v>
      </c>
      <c r="AL11" s="5">
        <v>-8.0413927150000006</v>
      </c>
      <c r="AM11" s="5">
        <v>-7.6614643449999988</v>
      </c>
      <c r="AN11" s="5">
        <v>-5.4997745449999993</v>
      </c>
      <c r="AO11" s="5">
        <v>-5.2615888509999991</v>
      </c>
      <c r="AP11" s="5">
        <v>-6.0879426060000004</v>
      </c>
      <c r="AQ11" s="5">
        <v>-6.515369334999999</v>
      </c>
      <c r="AR11" s="5">
        <v>-4.6451732455000005</v>
      </c>
      <c r="AS11" s="196">
        <v>-4.2054502020000015</v>
      </c>
      <c r="AT11" s="5">
        <f t="shared" si="4"/>
        <v>-5.9727024262916677</v>
      </c>
      <c r="AU11" s="68">
        <v>-1.464961551</v>
      </c>
      <c r="AV11" s="3">
        <v>16.989199999999997</v>
      </c>
      <c r="AW11" s="80">
        <v>1.9248468110000001</v>
      </c>
      <c r="AX11" s="458">
        <v>2.014571385</v>
      </c>
      <c r="AY11" s="18">
        <v>0.2016</v>
      </c>
      <c r="AZ11" s="18">
        <v>0.2263</v>
      </c>
      <c r="BA11" s="18">
        <v>0.54339999999999999</v>
      </c>
      <c r="BB11" s="18">
        <v>0.30509999999999998</v>
      </c>
      <c r="BC11" s="18">
        <v>0.46460000000000001</v>
      </c>
      <c r="BD11" s="18">
        <v>0.41499999999999998</v>
      </c>
      <c r="BE11" s="18">
        <v>0.33800000000000002</v>
      </c>
      <c r="BF11" s="18">
        <v>0.23730000000000001</v>
      </c>
      <c r="BG11" s="18">
        <v>-0.65129999999999999</v>
      </c>
      <c r="BH11" s="161">
        <f t="shared" si="5"/>
        <v>0.34141250000000001</v>
      </c>
      <c r="BI11" s="285" t="s">
        <v>532</v>
      </c>
      <c r="BJ11" s="24">
        <v>1.54837852534562E-2</v>
      </c>
      <c r="BK11" s="298">
        <v>2.0065488479261984E-3</v>
      </c>
      <c r="BL11" s="294">
        <v>3.4893783410137047E-3</v>
      </c>
      <c r="BM11" s="294">
        <f t="shared" si="6"/>
        <v>9.4865817972349525E-3</v>
      </c>
      <c r="BN11" s="18">
        <v>0.2472</v>
      </c>
      <c r="BO11" s="18">
        <v>-3.9300000000000002E-2</v>
      </c>
      <c r="BP11" s="18">
        <v>-0.1293</v>
      </c>
      <c r="BQ11" s="336" t="s">
        <v>600</v>
      </c>
      <c r="BR11" s="18">
        <v>0.48387493329701498</v>
      </c>
      <c r="BS11" s="5">
        <f>1-BR11</f>
        <v>0.51612506670298508</v>
      </c>
      <c r="BT11" s="5">
        <f t="shared" si="7"/>
        <v>-0.31526687554121957</v>
      </c>
      <c r="BU11" s="18">
        <v>0.41898596648429598</v>
      </c>
      <c r="BV11" s="18">
        <f>1-BU11</f>
        <v>0.58101403351570402</v>
      </c>
      <c r="BW11" s="5">
        <f t="shared" si="8"/>
        <v>-0.37780052304921397</v>
      </c>
      <c r="BX11" s="468" t="s">
        <v>600</v>
      </c>
      <c r="BY11" s="39">
        <v>0.339413542425751</v>
      </c>
      <c r="BZ11" s="5">
        <f t="shared" si="9"/>
        <v>-0.46927083354621202</v>
      </c>
      <c r="CA11" s="18">
        <v>-0.74919999999999998</v>
      </c>
      <c r="CB11" s="18">
        <v>-1.4247000000000001</v>
      </c>
      <c r="CC11" s="68">
        <v>-1.0966</v>
      </c>
      <c r="CD11" s="5">
        <v>-1.7478</v>
      </c>
      <c r="CE11" s="5">
        <v>-1.2814000000000001</v>
      </c>
      <c r="CF11" s="5">
        <v>-1.0207999999999999</v>
      </c>
      <c r="CG11" s="80">
        <f>AVERAGE(CC11:CF11)</f>
        <v>-1.2866499999999998</v>
      </c>
      <c r="CH11" s="505">
        <f t="shared" si="10"/>
        <v>10.997600000000006</v>
      </c>
      <c r="CI11" s="502">
        <f t="shared" si="11"/>
        <v>0.58199999999999363</v>
      </c>
      <c r="CJ11" s="161">
        <v>72.825500000000005</v>
      </c>
      <c r="CK11" s="5">
        <v>72.599500000000006</v>
      </c>
      <c r="CL11" s="154">
        <f t="shared" si="12"/>
        <v>0.22599999999999909</v>
      </c>
      <c r="CM11" s="161">
        <v>86.676299999999998</v>
      </c>
      <c r="CN11" s="18">
        <v>85.868300000000005</v>
      </c>
      <c r="CO11" s="469">
        <f t="shared" si="13"/>
        <v>0.80799999999999272</v>
      </c>
      <c r="CP11" s="470">
        <v>70.351699999999994</v>
      </c>
      <c r="CQ11" s="471">
        <v>75.026300000000006</v>
      </c>
      <c r="CR11" s="472">
        <f t="shared" si="14"/>
        <v>-4.6746000000000123</v>
      </c>
      <c r="CS11" s="161">
        <v>68.403999999999996</v>
      </c>
      <c r="CT11" s="5">
        <v>62.081000000000003</v>
      </c>
      <c r="CU11" s="154">
        <f t="shared" si="15"/>
        <v>6.3229999999999933</v>
      </c>
      <c r="CV11" s="179">
        <v>-7.927199999999992</v>
      </c>
      <c r="CW11" s="154">
        <v>-2.4674000000000049</v>
      </c>
      <c r="CX11" s="185">
        <v>-12.792299999999997</v>
      </c>
      <c r="CY11" s="432">
        <v>0.29598647630000002</v>
      </c>
      <c r="CZ11" s="432">
        <v>2.7994683899999999</v>
      </c>
      <c r="DA11" s="509">
        <f t="shared" si="16"/>
        <v>4.8651000000000053</v>
      </c>
      <c r="DB11" s="509">
        <f t="shared" si="17"/>
        <v>-5.4597999999999871</v>
      </c>
      <c r="DC11" s="3">
        <v>16.989199999999997</v>
      </c>
      <c r="DD11" s="3">
        <v>5.6946999999999974</v>
      </c>
      <c r="DE11" s="3">
        <v>7.2239000000000004</v>
      </c>
      <c r="DF11" s="3">
        <v>8.2127999999999943</v>
      </c>
      <c r="DG11" s="3">
        <v>-1.0810999999999993</v>
      </c>
      <c r="DH11" s="3">
        <v>-4.2886000000000024</v>
      </c>
      <c r="DI11" s="3">
        <v>-0.85180000000000433</v>
      </c>
      <c r="DJ11" s="3">
        <v>-2.7881999999999962</v>
      </c>
      <c r="DK11" s="3">
        <v>2.898299999999999</v>
      </c>
      <c r="DL11" s="3">
        <v>-7.1779999999999973</v>
      </c>
      <c r="DM11" s="3">
        <v>-0.18260000000000076</v>
      </c>
      <c r="DN11" s="3">
        <v>-2.1540999999999997</v>
      </c>
      <c r="DO11" s="3">
        <v>-5.3753000000000029</v>
      </c>
      <c r="DP11" s="5">
        <f t="shared" si="18"/>
        <v>1.0833333333332362E-2</v>
      </c>
      <c r="DQ11" s="3" t="s">
        <v>11</v>
      </c>
      <c r="DR11" s="5">
        <v>0</v>
      </c>
      <c r="DS11" s="5">
        <v>8</v>
      </c>
      <c r="DT11" s="5">
        <v>-14</v>
      </c>
      <c r="DU11" s="5">
        <v>4</v>
      </c>
      <c r="DV11" s="5">
        <v>-14</v>
      </c>
      <c r="DW11" s="5">
        <v>2</v>
      </c>
      <c r="DX11" s="3" t="s">
        <v>11</v>
      </c>
      <c r="DY11" s="144">
        <v>0.11</v>
      </c>
      <c r="DZ11" s="3" t="s">
        <v>11</v>
      </c>
      <c r="EA11" s="79"/>
      <c r="EB11" s="5">
        <v>3</v>
      </c>
      <c r="EC11" s="5">
        <v>23</v>
      </c>
      <c r="ED11" s="5">
        <v>49</v>
      </c>
      <c r="EE11" s="5">
        <v>56</v>
      </c>
      <c r="EF11" s="18">
        <v>30</v>
      </c>
      <c r="EG11" s="79">
        <v>103</v>
      </c>
      <c r="EH11" s="5">
        <v>21</v>
      </c>
      <c r="EI11" s="5">
        <v>126</v>
      </c>
      <c r="EJ11" s="5">
        <v>121</v>
      </c>
      <c r="EK11" s="5">
        <v>142</v>
      </c>
      <c r="EL11" s="5">
        <v>79</v>
      </c>
      <c r="EM11" s="5">
        <v>148</v>
      </c>
      <c r="EN11" s="5">
        <v>0</v>
      </c>
      <c r="EO11" s="5">
        <v>-2</v>
      </c>
      <c r="EP11" s="5">
        <v>0</v>
      </c>
      <c r="EQ11" s="5">
        <v>-8</v>
      </c>
      <c r="ER11" s="5">
        <v>12</v>
      </c>
      <c r="ES11" s="18">
        <v>10</v>
      </c>
      <c r="ET11" s="358">
        <v>0</v>
      </c>
      <c r="EU11" s="3" t="s">
        <v>11</v>
      </c>
      <c r="EV11" s="21">
        <v>0</v>
      </c>
      <c r="EW11" s="5">
        <f t="shared" si="19"/>
        <v>5.5E-2</v>
      </c>
      <c r="EX11" s="161">
        <v>-0.18724261410000009</v>
      </c>
      <c r="EY11" s="21">
        <v>0</v>
      </c>
      <c r="EZ11" s="144">
        <v>0.11</v>
      </c>
      <c r="FA11" s="161">
        <v>0.37147000000000002</v>
      </c>
      <c r="FB11" s="5">
        <v>0.38324999999999998</v>
      </c>
      <c r="FC11" s="154">
        <f t="shared" si="20"/>
        <v>-1.1779999999999957E-2</v>
      </c>
      <c r="FD11" s="3" t="s">
        <v>11</v>
      </c>
      <c r="FE11" s="519">
        <v>2</v>
      </c>
    </row>
    <row r="12" spans="1:161" ht="16" thickBot="1" x14ac:dyDescent="0.25">
      <c r="A12" s="3" t="s">
        <v>12</v>
      </c>
      <c r="B12" s="18">
        <v>0.21599999740722797</v>
      </c>
      <c r="C12" s="18">
        <v>0.33333332712433333</v>
      </c>
      <c r="D12" s="18">
        <v>0.23333332253017333</v>
      </c>
      <c r="E12" s="18">
        <v>0.45666666515184001</v>
      </c>
      <c r="F12" s="18">
        <v>0</v>
      </c>
      <c r="G12" s="18">
        <v>0.20142857836814859</v>
      </c>
      <c r="H12" s="18">
        <v>0.25666666372384667</v>
      </c>
      <c r="I12" s="18">
        <v>0.77333333839970664</v>
      </c>
      <c r="J12" s="18">
        <v>0.84999999776467994</v>
      </c>
      <c r="K12" s="18">
        <v>0.90666664702183997</v>
      </c>
      <c r="L12" s="18">
        <v>0.25333333387967999</v>
      </c>
      <c r="M12" s="166" t="s">
        <v>12</v>
      </c>
      <c r="N12" s="358">
        <v>13</v>
      </c>
      <c r="O12" s="358">
        <v>10.5</v>
      </c>
      <c r="P12" s="358">
        <v>3</v>
      </c>
      <c r="Q12" s="358">
        <v>10</v>
      </c>
      <c r="R12" s="358">
        <v>0</v>
      </c>
      <c r="S12" s="358">
        <v>0</v>
      </c>
      <c r="T12" s="68">
        <v>-0.1291901319</v>
      </c>
      <c r="U12" s="5">
        <v>-9.5423213100000015E-2</v>
      </c>
      <c r="V12" s="5">
        <v>1.820450149999997E-2</v>
      </c>
      <c r="W12" s="5">
        <v>0.27318633329999997</v>
      </c>
      <c r="X12" s="5">
        <v>0.13647798789999999</v>
      </c>
      <c r="Y12" s="5">
        <v>-0.16142878100000013</v>
      </c>
      <c r="Z12" s="5">
        <v>-0.19368496330000007</v>
      </c>
      <c r="AA12" s="5">
        <v>-0.27054672749999997</v>
      </c>
      <c r="AB12" s="5">
        <v>-0.1255323129</v>
      </c>
      <c r="AC12" s="5">
        <v>-0.27372740840000009</v>
      </c>
      <c r="AD12" s="5">
        <v>-0.14744812899999993</v>
      </c>
      <c r="AE12" s="80">
        <v>-0.16098496129999995</v>
      </c>
      <c r="AF12" s="5">
        <f t="shared" si="3"/>
        <v>-9.4174817141666686E-2</v>
      </c>
      <c r="AG12" s="68">
        <v>2.8707903160000008</v>
      </c>
      <c r="AH12" s="5">
        <v>2.9234936035000008</v>
      </c>
      <c r="AI12" s="5">
        <v>3.7404955465000009</v>
      </c>
      <c r="AJ12" s="5">
        <v>6.3268712214999994</v>
      </c>
      <c r="AK12" s="5">
        <v>2.7860697984999998</v>
      </c>
      <c r="AL12" s="5">
        <v>2.7514308740000004</v>
      </c>
      <c r="AM12" s="5">
        <v>1.2172233165000002</v>
      </c>
      <c r="AN12" s="5">
        <v>0.68347495349999932</v>
      </c>
      <c r="AO12" s="5">
        <v>0.92464924349999933</v>
      </c>
      <c r="AP12" s="5">
        <v>2.955353284500001</v>
      </c>
      <c r="AQ12" s="5">
        <v>0.99886445649999978</v>
      </c>
      <c r="AR12" s="5">
        <v>3.0523289565000002</v>
      </c>
      <c r="AS12" s="196">
        <v>2.4693732794999974</v>
      </c>
      <c r="AT12" s="5">
        <f t="shared" si="4"/>
        <v>2.602587130916667</v>
      </c>
      <c r="AU12" s="68">
        <v>-2.4568252099999999</v>
      </c>
      <c r="AV12" s="3">
        <v>29.088499999999996</v>
      </c>
      <c r="AW12" s="80">
        <v>2.5291545759999998</v>
      </c>
      <c r="AX12" s="458">
        <v>3.3767176779999999</v>
      </c>
      <c r="AY12" s="18">
        <v>-2.01E-2</v>
      </c>
      <c r="AZ12" s="18">
        <v>8.9800000000000005E-2</v>
      </c>
      <c r="BA12" s="18">
        <v>0.81930000000000003</v>
      </c>
      <c r="BB12" s="18">
        <v>-0.1187</v>
      </c>
      <c r="BC12" s="18">
        <v>0.10780000000000001</v>
      </c>
      <c r="BD12" s="18">
        <v>0.20669999999999999</v>
      </c>
      <c r="BE12" s="18">
        <v>-5.6899999999999999E-2</v>
      </c>
      <c r="BF12" s="18">
        <v>-2.6700000000000002E-2</v>
      </c>
      <c r="BG12" s="18">
        <v>0.27439999999999998</v>
      </c>
      <c r="BH12" s="161">
        <f t="shared" si="5"/>
        <v>0.12515000000000001</v>
      </c>
      <c r="BI12" s="296" t="s">
        <v>533</v>
      </c>
      <c r="BJ12" s="24">
        <v>0.1248255824884789</v>
      </c>
      <c r="BK12" s="24">
        <v>6.2049576497696102E-2</v>
      </c>
      <c r="BL12" s="294">
        <v>9.9306102304147603E-2</v>
      </c>
      <c r="BM12" s="294">
        <f t="shared" si="6"/>
        <v>0.11206584239631326</v>
      </c>
      <c r="BN12" s="18">
        <v>0.13139999999999999</v>
      </c>
      <c r="BO12" s="18">
        <v>3.6700000000000003E-2</v>
      </c>
      <c r="BP12" s="18">
        <v>0.1326</v>
      </c>
      <c r="BQ12" s="336" t="s">
        <v>601</v>
      </c>
      <c r="BR12" s="18">
        <v>1.2112296365055899</v>
      </c>
      <c r="BS12" s="5">
        <f>1-BR12</f>
        <v>-0.2112296365055899</v>
      </c>
      <c r="BT12" s="5">
        <f t="shared" si="7"/>
        <v>8.3226488653169853E-2</v>
      </c>
      <c r="BU12" s="18">
        <v>0.22169790828017299</v>
      </c>
      <c r="BV12" s="18">
        <f>1-BU12</f>
        <v>0.77830209171982701</v>
      </c>
      <c r="BW12" s="5">
        <f t="shared" si="8"/>
        <v>-0.65423840443474057</v>
      </c>
      <c r="BX12" s="336" t="s">
        <v>601</v>
      </c>
      <c r="BY12" s="18">
        <v>0.30438071930323501</v>
      </c>
      <c r="BZ12" s="5">
        <f t="shared" si="9"/>
        <v>-0.51658286098626194</v>
      </c>
      <c r="CA12" s="18">
        <v>0.15290000000000001</v>
      </c>
      <c r="CB12" s="18">
        <v>-0.44850000000000001</v>
      </c>
      <c r="CC12" s="68">
        <v>0.12429999999999999</v>
      </c>
      <c r="CD12" s="5">
        <v>-0.2258</v>
      </c>
      <c r="CE12" s="5">
        <v>-0.31319999999999998</v>
      </c>
      <c r="CF12" s="5">
        <v>-0.1288</v>
      </c>
      <c r="CG12" s="80">
        <f>AVERAGE(CC12:CF12)</f>
        <v>-0.135875</v>
      </c>
      <c r="CH12" s="505">
        <f t="shared" si="10"/>
        <v>25.815299999999993</v>
      </c>
      <c r="CI12" s="502">
        <f t="shared" si="11"/>
        <v>-4.3489999999999895</v>
      </c>
      <c r="CJ12" s="161">
        <v>80.826499999999996</v>
      </c>
      <c r="CK12" s="5">
        <v>69.545000000000002</v>
      </c>
      <c r="CL12" s="154">
        <f t="shared" si="12"/>
        <v>11.281499999999994</v>
      </c>
      <c r="CM12" s="161">
        <v>90.499200000000002</v>
      </c>
      <c r="CN12" s="18">
        <v>83.566699999999997</v>
      </c>
      <c r="CO12" s="469">
        <f t="shared" si="13"/>
        <v>6.9325000000000045</v>
      </c>
      <c r="CP12" s="470">
        <v>61.585999999999999</v>
      </c>
      <c r="CQ12" s="471">
        <v>60.248199999999997</v>
      </c>
      <c r="CR12" s="472">
        <f t="shared" si="14"/>
        <v>1.3378000000000014</v>
      </c>
      <c r="CS12" s="161">
        <v>95.533299999999997</v>
      </c>
      <c r="CT12" s="5">
        <v>68.380200000000002</v>
      </c>
      <c r="CU12" s="154">
        <f t="shared" si="15"/>
        <v>27.153099999999995</v>
      </c>
      <c r="CV12" s="179">
        <v>-20.339700000000001</v>
      </c>
      <c r="CW12" s="154">
        <v>-0.72579999999999956</v>
      </c>
      <c r="CX12" s="185">
        <v>5.4415000000000049</v>
      </c>
      <c r="CY12" s="432">
        <v>-1.2205032899999999</v>
      </c>
      <c r="CZ12" s="432">
        <v>0.71472542989999999</v>
      </c>
      <c r="DA12" s="509">
        <f t="shared" si="16"/>
        <v>-25.781200000000005</v>
      </c>
      <c r="DB12" s="509">
        <f t="shared" si="17"/>
        <v>-19.613900000000001</v>
      </c>
      <c r="DC12" s="3">
        <v>29.088499999999996</v>
      </c>
      <c r="DD12" s="3">
        <v>14.425099999999986</v>
      </c>
      <c r="DE12" s="3">
        <v>8.2271000000000072</v>
      </c>
      <c r="DF12" s="3">
        <v>16.115899999999996</v>
      </c>
      <c r="DG12" s="3">
        <v>4.3330000000000055</v>
      </c>
      <c r="DH12" s="3">
        <v>0.21869999999999834</v>
      </c>
      <c r="DI12" s="3">
        <v>0.60249999999999915</v>
      </c>
      <c r="DJ12" s="3">
        <v>-2.3699000000000012</v>
      </c>
      <c r="DK12" s="3">
        <v>-0.34670000000000556</v>
      </c>
      <c r="DL12" s="3">
        <v>5.972699999999989</v>
      </c>
      <c r="DM12" s="3">
        <v>1.2067999999999941</v>
      </c>
      <c r="DN12" s="3">
        <v>-0.75399999999999778</v>
      </c>
      <c r="DO12" s="3">
        <v>4.1167000000000016</v>
      </c>
      <c r="DP12" s="5">
        <f t="shared" si="18"/>
        <v>4.3123249999999977</v>
      </c>
      <c r="DQ12" s="3" t="s">
        <v>12</v>
      </c>
      <c r="DR12" s="5">
        <v>2</v>
      </c>
      <c r="DS12" s="5">
        <v>4</v>
      </c>
      <c r="DT12" s="5">
        <v>4</v>
      </c>
      <c r="DU12" s="5">
        <v>0</v>
      </c>
      <c r="DV12" s="5">
        <v>-10</v>
      </c>
      <c r="DW12" s="5">
        <v>-1</v>
      </c>
      <c r="DX12" s="3" t="s">
        <v>12</v>
      </c>
      <c r="DY12" s="144">
        <v>0</v>
      </c>
      <c r="DZ12" s="3" t="s">
        <v>12</v>
      </c>
      <c r="EA12" s="5">
        <v>0</v>
      </c>
      <c r="EB12" s="5">
        <v>6</v>
      </c>
      <c r="EC12" s="5">
        <v>29</v>
      </c>
      <c r="ED12" s="5">
        <v>56</v>
      </c>
      <c r="EE12" s="5">
        <v>48</v>
      </c>
      <c r="EF12" s="18">
        <v>32</v>
      </c>
      <c r="EG12" s="24">
        <v>123</v>
      </c>
      <c r="EH12" s="5">
        <v>12</v>
      </c>
      <c r="EI12" s="5">
        <v>110</v>
      </c>
      <c r="EJ12" s="5">
        <v>106</v>
      </c>
      <c r="EK12" s="5">
        <v>110</v>
      </c>
      <c r="EL12" s="5">
        <v>94</v>
      </c>
      <c r="EM12" s="5">
        <v>130</v>
      </c>
      <c r="EN12" s="5">
        <v>0</v>
      </c>
      <c r="EO12" s="5">
        <v>1</v>
      </c>
      <c r="EP12" s="5">
        <v>2</v>
      </c>
      <c r="EQ12" s="5">
        <v>-4</v>
      </c>
      <c r="ER12" s="5">
        <v>17</v>
      </c>
      <c r="ES12" s="18">
        <v>5</v>
      </c>
      <c r="ET12" s="358">
        <v>0</v>
      </c>
      <c r="EU12" s="3" t="s">
        <v>12</v>
      </c>
      <c r="EV12" s="21">
        <v>0</v>
      </c>
      <c r="EW12" s="5">
        <f t="shared" si="19"/>
        <v>0</v>
      </c>
      <c r="EX12" s="163">
        <v>-0.38145985199999988</v>
      </c>
      <c r="EY12" s="21">
        <v>-0.67</v>
      </c>
      <c r="EZ12" s="144">
        <v>0</v>
      </c>
      <c r="FA12" s="161">
        <v>0.38528000000000001</v>
      </c>
      <c r="FB12" s="5">
        <v>0.39484999999999998</v>
      </c>
      <c r="FC12" s="154">
        <f t="shared" si="20"/>
        <v>-9.5699999999999674E-3</v>
      </c>
      <c r="FD12" s="3" t="s">
        <v>14</v>
      </c>
      <c r="FE12" s="519">
        <v>7</v>
      </c>
    </row>
    <row r="13" spans="1:161" x14ac:dyDescent="0.2">
      <c r="A13" s="3" t="s">
        <v>14</v>
      </c>
      <c r="B13" s="18">
        <v>0.24000000159999998</v>
      </c>
      <c r="C13" s="18">
        <v>9.6666668999999997E-2</v>
      </c>
      <c r="D13" s="18">
        <v>0.249999999</v>
      </c>
      <c r="E13" s="18">
        <v>0.21666666599999998</v>
      </c>
      <c r="F13" s="18">
        <v>0.50333332999999991</v>
      </c>
      <c r="G13" s="18">
        <v>0.33142856942857146</v>
      </c>
      <c r="H13" s="18">
        <v>0.11166666866666668</v>
      </c>
      <c r="I13" s="18">
        <v>0.37333333499999999</v>
      </c>
      <c r="J13" s="18">
        <v>0.58333334299999995</v>
      </c>
      <c r="K13" s="18">
        <v>0.34000000866666663</v>
      </c>
      <c r="L13" s="18">
        <v>0.15666666600000001</v>
      </c>
      <c r="M13" s="166" t="s">
        <v>14</v>
      </c>
      <c r="N13" s="358">
        <v>10.5</v>
      </c>
      <c r="O13" s="358">
        <v>9</v>
      </c>
      <c r="P13" s="358">
        <v>10</v>
      </c>
      <c r="Q13" s="358">
        <v>9.5</v>
      </c>
      <c r="R13" s="358">
        <v>12</v>
      </c>
      <c r="S13" s="358">
        <v>3</v>
      </c>
      <c r="T13" s="68">
        <v>-0.10178317270000004</v>
      </c>
      <c r="U13" s="5">
        <v>-0.27230852280000006</v>
      </c>
      <c r="V13" s="5">
        <v>-3.9106451399999909E-2</v>
      </c>
      <c r="W13" s="5">
        <v>0.3107015500000001</v>
      </c>
      <c r="X13" s="5">
        <v>-0.23104913380000003</v>
      </c>
      <c r="Y13" s="5">
        <v>-0.23628617200000002</v>
      </c>
      <c r="Z13" s="5">
        <v>2.1932579400000041E-2</v>
      </c>
      <c r="AA13" s="5">
        <v>-0.31563156539999992</v>
      </c>
      <c r="AB13" s="5">
        <v>0.12994874299999992</v>
      </c>
      <c r="AC13" s="5">
        <v>-0.166932729</v>
      </c>
      <c r="AD13" s="5">
        <v>1.0373908999999903E-2</v>
      </c>
      <c r="AE13" s="80">
        <v>9.1126003000000066E-2</v>
      </c>
      <c r="AF13" s="5">
        <f t="shared" si="3"/>
        <v>-6.6584580224999995E-2</v>
      </c>
      <c r="AG13" s="68">
        <v>1.2339791524999999</v>
      </c>
      <c r="AH13" s="5">
        <v>-0.76827553350000066</v>
      </c>
      <c r="AI13" s="5">
        <v>1.5033178604999993</v>
      </c>
      <c r="AJ13" s="5">
        <v>8.7300975399999992</v>
      </c>
      <c r="AK13" s="5">
        <v>0.20250738999999918</v>
      </c>
      <c r="AL13" s="5">
        <v>3.671068665</v>
      </c>
      <c r="AM13" s="5">
        <v>-1.069799484999999</v>
      </c>
      <c r="AN13" s="5">
        <v>-2.3497978199999991</v>
      </c>
      <c r="AO13" s="5">
        <v>2.3352191800000028</v>
      </c>
      <c r="AP13" s="5">
        <v>0.7981910050000014</v>
      </c>
      <c r="AQ13" s="5">
        <v>1.1988868450000005</v>
      </c>
      <c r="AR13" s="5">
        <v>3.0887195849999998</v>
      </c>
      <c r="AS13" s="196">
        <v>2.7089347050000043</v>
      </c>
      <c r="AT13" s="5">
        <f t="shared" si="4"/>
        <v>1.5478428653750003</v>
      </c>
      <c r="AU13" s="68">
        <v>-1.0380202569999999</v>
      </c>
      <c r="AV13" s="3">
        <v>32.369</v>
      </c>
      <c r="AW13" s="80">
        <v>1.3882512170000001</v>
      </c>
      <c r="AX13" s="458">
        <v>0.46180870800000001</v>
      </c>
      <c r="AY13" s="18">
        <v>0.3886</v>
      </c>
      <c r="AZ13" s="18">
        <v>1.6000000000000001E-3</v>
      </c>
      <c r="BA13" s="18">
        <v>-0.21590000000000001</v>
      </c>
      <c r="BB13" s="18">
        <v>0.32769999999999999</v>
      </c>
      <c r="BC13" s="18">
        <v>0.2913</v>
      </c>
      <c r="BD13" s="18">
        <v>0.12839999999999999</v>
      </c>
      <c r="BE13" s="18">
        <v>0.46810000000000002</v>
      </c>
      <c r="BF13" s="18">
        <v>0.1827</v>
      </c>
      <c r="BG13" s="18">
        <v>-0.9758</v>
      </c>
      <c r="BH13" s="161">
        <f t="shared" si="5"/>
        <v>0.1965625</v>
      </c>
      <c r="BI13" s="285" t="s">
        <v>534</v>
      </c>
      <c r="BJ13" s="24">
        <v>7.9234511059907489E-2</v>
      </c>
      <c r="BK13" s="298">
        <v>6.3192576497696204E-2</v>
      </c>
      <c r="BL13" s="294">
        <v>3.8960851612903108E-2</v>
      </c>
      <c r="BM13" s="294">
        <f t="shared" si="6"/>
        <v>5.9097681336405299E-2</v>
      </c>
      <c r="BN13" s="18">
        <v>0.39610000000000001</v>
      </c>
      <c r="BO13" s="18">
        <v>0.1961</v>
      </c>
      <c r="BP13" s="18">
        <v>0.2142</v>
      </c>
      <c r="BQ13" s="39"/>
      <c r="BR13" s="39"/>
      <c r="BS13" s="24"/>
      <c r="BU13" s="39"/>
      <c r="BV13" s="18"/>
      <c r="BX13" s="39"/>
      <c r="BY13" s="39"/>
      <c r="CA13" s="18"/>
      <c r="CB13" s="18"/>
      <c r="CC13" s="68"/>
      <c r="CG13" s="80"/>
      <c r="CH13" s="505">
        <f t="shared" si="10"/>
        <v>23.791199999999989</v>
      </c>
      <c r="CI13" s="502">
        <f t="shared" si="11"/>
        <v>-8.0842000000000098</v>
      </c>
      <c r="CJ13" s="161">
        <v>97.503500000000003</v>
      </c>
      <c r="CK13" s="5">
        <v>93.916799999999995</v>
      </c>
      <c r="CL13" s="154">
        <f t="shared" si="12"/>
        <v>3.5867000000000075</v>
      </c>
      <c r="CM13" s="161">
        <v>92.549300000000002</v>
      </c>
      <c r="CN13" s="18">
        <v>97.046800000000005</v>
      </c>
      <c r="CO13" s="469">
        <f t="shared" si="13"/>
        <v>-4.4975000000000023</v>
      </c>
      <c r="CP13" s="470">
        <v>79.573800000000006</v>
      </c>
      <c r="CQ13" s="471">
        <v>77.636499999999998</v>
      </c>
      <c r="CR13" s="472">
        <f t="shared" si="14"/>
        <v>1.9373000000000076</v>
      </c>
      <c r="CS13" s="161">
        <v>102.583</v>
      </c>
      <c r="CT13" s="5">
        <v>76.854500000000002</v>
      </c>
      <c r="CU13" s="154">
        <f t="shared" si="15"/>
        <v>25.728499999999997</v>
      </c>
      <c r="CV13" s="179">
        <v>-0.16400000000000148</v>
      </c>
      <c r="CW13" s="154">
        <v>0.52480000000000615</v>
      </c>
      <c r="CX13" s="185">
        <v>9.9295000000000044</v>
      </c>
      <c r="CY13" s="432">
        <v>-0.64642609920000005</v>
      </c>
      <c r="CZ13" s="432">
        <v>2.3907675720000001</v>
      </c>
      <c r="DA13" s="509">
        <f t="shared" si="16"/>
        <v>-10.093500000000006</v>
      </c>
      <c r="DB13" s="509">
        <f t="shared" si="17"/>
        <v>-0.68880000000000763</v>
      </c>
      <c r="DC13" s="3"/>
      <c r="DD13" s="3">
        <v>12.912300000000002</v>
      </c>
      <c r="DE13" s="3">
        <v>8.8762000000000114</v>
      </c>
      <c r="DF13" s="3">
        <v>22.093199999999996</v>
      </c>
      <c r="DG13" s="3">
        <v>3.4044999999999987</v>
      </c>
      <c r="DH13" s="3">
        <v>1.8881999999999977</v>
      </c>
      <c r="DI13" s="3">
        <v>2.8107000000000042</v>
      </c>
      <c r="DJ13" s="3">
        <v>-3.0418000000000021</v>
      </c>
      <c r="DK13" s="3">
        <v>2.5317000000000007</v>
      </c>
      <c r="DL13" s="3">
        <v>8.9907000000000039</v>
      </c>
      <c r="DM13" s="3">
        <v>2.3171999999999997</v>
      </c>
      <c r="DN13" s="3">
        <v>8.8000000000000966E-2</v>
      </c>
      <c r="DO13" s="3">
        <v>0.47699999999998965</v>
      </c>
      <c r="DP13" s="5">
        <f t="shared" si="18"/>
        <v>5.2789916666666672</v>
      </c>
      <c r="DQ13" s="3" t="s">
        <v>14</v>
      </c>
      <c r="DR13" s="5">
        <v>4</v>
      </c>
      <c r="DS13" s="5">
        <v>-2</v>
      </c>
      <c r="DT13" s="5">
        <v>-2</v>
      </c>
      <c r="DU13" s="5">
        <v>1</v>
      </c>
      <c r="DV13" s="5">
        <v>0</v>
      </c>
      <c r="DW13" s="5">
        <v>12</v>
      </c>
      <c r="DX13" s="3" t="s">
        <v>14</v>
      </c>
      <c r="DY13" s="144">
        <v>0.119999997318</v>
      </c>
      <c r="DZ13" s="3" t="s">
        <v>14</v>
      </c>
      <c r="EA13" s="79"/>
      <c r="EB13" s="5">
        <v>6</v>
      </c>
      <c r="EC13" s="5">
        <v>38</v>
      </c>
      <c r="ED13" s="5">
        <v>63</v>
      </c>
      <c r="EE13" s="5">
        <v>44</v>
      </c>
      <c r="EF13" s="18">
        <v>35</v>
      </c>
      <c r="EG13" s="24">
        <v>124</v>
      </c>
      <c r="EH13" s="5">
        <v>11</v>
      </c>
      <c r="EI13" s="5">
        <v>127</v>
      </c>
      <c r="EJ13" s="5">
        <v>128</v>
      </c>
      <c r="EK13" s="5">
        <v>115</v>
      </c>
      <c r="EL13" s="5">
        <v>93</v>
      </c>
      <c r="EM13" s="5">
        <v>130</v>
      </c>
      <c r="EN13" s="5">
        <v>3.5</v>
      </c>
      <c r="EO13" s="5">
        <v>-12</v>
      </c>
      <c r="EP13" s="5">
        <v>4</v>
      </c>
      <c r="EQ13" s="5">
        <v>2</v>
      </c>
      <c r="ER13" s="5">
        <v>17</v>
      </c>
      <c r="ES13" s="18">
        <v>8</v>
      </c>
      <c r="ET13" s="358">
        <v>3</v>
      </c>
      <c r="EU13" s="3" t="s">
        <v>14</v>
      </c>
      <c r="EV13" s="21">
        <v>3.9999999000000001E-2</v>
      </c>
      <c r="EW13" s="5">
        <f t="shared" si="19"/>
        <v>7.9999998158999996E-2</v>
      </c>
      <c r="EX13" s="161">
        <v>-0.5019366932999999</v>
      </c>
      <c r="EY13" s="21">
        <v>-0.83</v>
      </c>
      <c r="EZ13" s="144">
        <v>0.119999997318</v>
      </c>
      <c r="FA13" s="161">
        <v>0.35764000000000001</v>
      </c>
      <c r="FB13" s="5">
        <v>0.34199000000000002</v>
      </c>
      <c r="FC13" s="154">
        <f t="shared" si="20"/>
        <v>1.5649999999999997E-2</v>
      </c>
      <c r="FD13" s="3" t="s">
        <v>15</v>
      </c>
      <c r="FE13" s="519">
        <v>-9</v>
      </c>
    </row>
    <row r="14" spans="1:161" x14ac:dyDescent="0.2">
      <c r="A14" s="3" t="s">
        <v>16</v>
      </c>
      <c r="B14" s="18">
        <v>0.69200000219999991</v>
      </c>
      <c r="C14" s="18">
        <v>0.55333333699999998</v>
      </c>
      <c r="D14" s="18">
        <v>0.47333333333333327</v>
      </c>
      <c r="E14" s="18">
        <v>0.3266666583333333</v>
      </c>
      <c r="F14" s="18">
        <v>0.32999999966666665</v>
      </c>
      <c r="G14" s="18">
        <v>-2.2857142857142854E-2</v>
      </c>
      <c r="H14" s="18">
        <v>-9.8333333666666661E-2</v>
      </c>
      <c r="I14" s="18">
        <v>0.5299999993333333</v>
      </c>
      <c r="J14" s="18">
        <v>0.24333333333333329</v>
      </c>
      <c r="K14" s="18">
        <v>3.0000002666666581E-2</v>
      </c>
      <c r="L14" s="18">
        <v>0.65999999133333331</v>
      </c>
      <c r="M14" s="166" t="s">
        <v>16</v>
      </c>
      <c r="N14" s="358">
        <v>18.5</v>
      </c>
      <c r="O14" s="358">
        <v>15</v>
      </c>
      <c r="P14" s="358">
        <v>11.5</v>
      </c>
      <c r="Q14" s="358">
        <v>19</v>
      </c>
      <c r="R14" s="358">
        <v>18.5</v>
      </c>
      <c r="S14" s="358">
        <v>20</v>
      </c>
      <c r="T14" s="68">
        <v>-0.63179310999999994</v>
      </c>
      <c r="U14" s="5">
        <v>-0.42971111299999998</v>
      </c>
      <c r="V14" s="5">
        <v>-0.14758301620000003</v>
      </c>
      <c r="W14" s="5">
        <v>-0.13820373500000005</v>
      </c>
      <c r="X14" s="5">
        <v>-0.67822281200000001</v>
      </c>
      <c r="Y14" s="5">
        <v>-0.67649976499999998</v>
      </c>
      <c r="Z14" s="5">
        <v>-1.5287844900000014E-2</v>
      </c>
      <c r="AA14" s="5">
        <v>-0.3628142472</v>
      </c>
      <c r="AB14" s="5">
        <v>0.109875634</v>
      </c>
      <c r="AC14" s="5">
        <v>-0.33740608799999983</v>
      </c>
      <c r="AD14" s="5">
        <v>-0.34223544400000017</v>
      </c>
      <c r="AE14" s="80">
        <v>-0.40575874399999989</v>
      </c>
      <c r="AF14" s="5">
        <f t="shared" si="3"/>
        <v>-0.33797002377500002</v>
      </c>
      <c r="AG14" s="68">
        <v>-10.193844570000001</v>
      </c>
      <c r="AH14" s="5">
        <v>-4.3723806850000013</v>
      </c>
      <c r="AI14" s="5">
        <v>-7.0783962150000015</v>
      </c>
      <c r="AJ14" s="5">
        <v>-2.6356903050000007</v>
      </c>
      <c r="AK14" s="5">
        <v>-5.760037135000001</v>
      </c>
      <c r="AL14" s="5">
        <v>-4.904522840000002</v>
      </c>
      <c r="AM14" s="5">
        <v>-5.0101035099999986</v>
      </c>
      <c r="AN14" s="5">
        <v>-4.6248601900000015</v>
      </c>
      <c r="AO14" s="5">
        <v>-2.7515163149999999</v>
      </c>
      <c r="AP14" s="5">
        <v>-4.4050866000000042</v>
      </c>
      <c r="AQ14" s="5">
        <v>-4.8241235899999992</v>
      </c>
      <c r="AR14" s="5">
        <v>-3.9335619849999972</v>
      </c>
      <c r="AS14" s="196">
        <v>-1.7851406599999997</v>
      </c>
      <c r="AT14" s="5">
        <f t="shared" si="4"/>
        <v>-5.0411769950000007</v>
      </c>
      <c r="AU14" s="68">
        <v>-2.7068470590000002</v>
      </c>
      <c r="AV14" s="3">
        <v>8.8212999999999937</v>
      </c>
      <c r="AW14" s="80">
        <v>1.9359505480000001</v>
      </c>
      <c r="AX14" s="458">
        <v>1.7640777889999999</v>
      </c>
      <c r="AY14" s="18">
        <v>0.45910000000000001</v>
      </c>
      <c r="AZ14" s="18">
        <v>0.53610000000000002</v>
      </c>
      <c r="BA14" s="18">
        <v>-0.78410000000000002</v>
      </c>
      <c r="BB14" s="18">
        <v>0.38169999999999998</v>
      </c>
      <c r="BC14" s="18">
        <v>0.18859999999999999</v>
      </c>
      <c r="BD14" s="18">
        <v>0.22689999999999999</v>
      </c>
      <c r="BE14" s="18">
        <v>0.72860000000000003</v>
      </c>
      <c r="BF14" s="18">
        <v>0.14530000000000001</v>
      </c>
      <c r="BG14" s="18">
        <v>2.7099999999999999E-2</v>
      </c>
      <c r="BH14" s="161">
        <f t="shared" si="5"/>
        <v>0.23527499999999998</v>
      </c>
      <c r="BI14" s="296" t="s">
        <v>535</v>
      </c>
      <c r="BJ14" s="24">
        <v>8.7965051612903314E-2</v>
      </c>
      <c r="BK14" s="24">
        <v>0.10428629036866371</v>
      </c>
      <c r="BL14" s="294">
        <v>7.0525043778802213E-2</v>
      </c>
      <c r="BM14" s="294">
        <f t="shared" si="6"/>
        <v>7.9245047695852763E-2</v>
      </c>
      <c r="BN14" s="18">
        <v>-0.53959999999999997</v>
      </c>
      <c r="BO14" s="18">
        <v>0.67159999999999997</v>
      </c>
      <c r="BP14" s="18">
        <v>0.23780000000000001</v>
      </c>
      <c r="BQ14" s="500" t="s">
        <v>535</v>
      </c>
      <c r="BR14" s="39"/>
      <c r="BS14" s="24"/>
      <c r="BU14" s="39"/>
      <c r="BV14" s="18"/>
      <c r="BX14" s="39"/>
      <c r="BY14" s="39"/>
      <c r="CA14" s="18"/>
      <c r="CB14" s="18"/>
      <c r="CC14" s="68">
        <v>-0.62849999999999995</v>
      </c>
      <c r="CD14" s="5">
        <v>-0.65529999999999999</v>
      </c>
      <c r="CE14" s="5">
        <v>-0.60580000000000001</v>
      </c>
      <c r="CF14" s="5">
        <v>-0.45240000000000002</v>
      </c>
      <c r="CG14" s="80">
        <f>AVERAGE(CC14:CF14)</f>
        <v>-0.58549999999999991</v>
      </c>
      <c r="CH14" s="505">
        <f t="shared" si="10"/>
        <v>3.2968000000000046</v>
      </c>
      <c r="CI14" s="502">
        <f t="shared" si="11"/>
        <v>16.986499999999992</v>
      </c>
      <c r="CJ14" s="161">
        <v>81.484800000000007</v>
      </c>
      <c r="CK14" s="5">
        <v>87.914000000000001</v>
      </c>
      <c r="CL14" s="154">
        <f t="shared" si="12"/>
        <v>-6.4291999999999945</v>
      </c>
      <c r="CM14" s="161">
        <v>92.499799999999993</v>
      </c>
      <c r="CN14" s="18">
        <v>81.942499999999995</v>
      </c>
      <c r="CO14" s="469">
        <f t="shared" si="13"/>
        <v>10.557299999999998</v>
      </c>
      <c r="CP14" s="470">
        <v>75.956999999999994</v>
      </c>
      <c r="CQ14" s="471">
        <v>85.846000000000004</v>
      </c>
      <c r="CR14" s="472">
        <f t="shared" si="14"/>
        <v>-9.88900000000001</v>
      </c>
      <c r="CS14" s="161">
        <v>80.4345</v>
      </c>
      <c r="CT14" s="5">
        <v>87.026700000000005</v>
      </c>
      <c r="CU14" s="154">
        <f t="shared" si="15"/>
        <v>-6.5922000000000054</v>
      </c>
      <c r="CV14" s="179">
        <v>-26.815200000000004</v>
      </c>
      <c r="CW14" s="154">
        <v>-8.2340000000000018</v>
      </c>
      <c r="CX14" s="185">
        <v>-6.8597000000000037</v>
      </c>
      <c r="CY14" s="432">
        <v>-0.28403142190000003</v>
      </c>
      <c r="CZ14" s="432">
        <v>3.3545755779999999</v>
      </c>
      <c r="DA14" s="509">
        <f t="shared" si="16"/>
        <v>-19.955500000000001</v>
      </c>
      <c r="DB14" s="509">
        <f t="shared" si="17"/>
        <v>-18.581200000000003</v>
      </c>
      <c r="DC14" s="3"/>
      <c r="DD14" s="3">
        <v>-3.718199999999996</v>
      </c>
      <c r="DE14" s="3">
        <v>-4.8789999999999907</v>
      </c>
      <c r="DF14" s="3">
        <v>-7.3906000000000063</v>
      </c>
      <c r="DG14" s="3">
        <v>-1.3810000000000002</v>
      </c>
      <c r="DH14" s="3">
        <v>-3.6840000000000046</v>
      </c>
      <c r="DI14" s="3">
        <v>1.2233000000000018</v>
      </c>
      <c r="DJ14" s="3">
        <v>-4.6535000000000011</v>
      </c>
      <c r="DK14" s="3">
        <v>-1.5131999999999977</v>
      </c>
      <c r="DL14" s="3">
        <v>-4.6313000000000102</v>
      </c>
      <c r="DM14" s="3">
        <v>-1.7323000000000022</v>
      </c>
      <c r="DN14" s="3">
        <v>-3.3338000000000036</v>
      </c>
      <c r="DO14" s="3">
        <v>-4.1075000000000088</v>
      </c>
      <c r="DP14" s="5">
        <f t="shared" si="18"/>
        <v>-3.3167583333333348</v>
      </c>
      <c r="DQ14" s="3" t="s">
        <v>16</v>
      </c>
      <c r="DR14" s="5">
        <v>4</v>
      </c>
      <c r="DS14" s="5">
        <v>0</v>
      </c>
      <c r="DT14" s="5">
        <v>-1</v>
      </c>
      <c r="DU14" s="5">
        <v>0</v>
      </c>
      <c r="DV14" s="5">
        <v>0</v>
      </c>
      <c r="DW14" s="5">
        <v>0</v>
      </c>
      <c r="DX14" s="3" t="s">
        <v>16</v>
      </c>
      <c r="DY14" s="144">
        <v>1</v>
      </c>
      <c r="DZ14" s="3" t="s">
        <v>16</v>
      </c>
      <c r="EA14" s="5">
        <v>1</v>
      </c>
      <c r="EB14" s="5">
        <v>1</v>
      </c>
      <c r="EC14" s="5">
        <v>27</v>
      </c>
      <c r="ED14" s="5">
        <v>89</v>
      </c>
      <c r="EE14" s="5">
        <v>48</v>
      </c>
      <c r="EF14" s="18">
        <v>31</v>
      </c>
      <c r="EG14" s="24">
        <v>86</v>
      </c>
      <c r="EH14" s="5">
        <v>19</v>
      </c>
      <c r="EI14" s="5">
        <v>120</v>
      </c>
      <c r="EJ14" s="5">
        <v>121</v>
      </c>
      <c r="EK14" s="5">
        <v>125</v>
      </c>
      <c r="EL14" s="5">
        <v>58</v>
      </c>
      <c r="EM14" s="5">
        <v>152</v>
      </c>
      <c r="EN14" s="5">
        <v>20</v>
      </c>
      <c r="EO14" s="5">
        <v>0</v>
      </c>
      <c r="EP14" s="5">
        <v>4</v>
      </c>
      <c r="EQ14" s="5">
        <v>0</v>
      </c>
      <c r="ER14" s="5">
        <v>5</v>
      </c>
      <c r="ES14" s="18">
        <v>8</v>
      </c>
      <c r="ET14" s="358">
        <v>20</v>
      </c>
      <c r="EU14" s="3" t="s">
        <v>16</v>
      </c>
      <c r="EV14" s="21">
        <v>0.50999998999999996</v>
      </c>
      <c r="EW14" s="5">
        <f t="shared" si="19"/>
        <v>0.75499999499999992</v>
      </c>
      <c r="EX14" s="161">
        <v>-4.5924070999999955E-2</v>
      </c>
      <c r="EY14" s="21">
        <v>0</v>
      </c>
      <c r="EZ14" s="144">
        <v>1</v>
      </c>
      <c r="FA14" s="161">
        <v>0.31423000000000001</v>
      </c>
      <c r="FB14" s="5">
        <v>0.39801999999999998</v>
      </c>
      <c r="FC14" s="154">
        <f t="shared" si="20"/>
        <v>-8.3789999999999976E-2</v>
      </c>
      <c r="FD14" s="3" t="s">
        <v>16</v>
      </c>
      <c r="FE14" s="519">
        <v>-8</v>
      </c>
    </row>
    <row r="15" spans="1:161" x14ac:dyDescent="0.2">
      <c r="A15" s="3" t="s">
        <v>17</v>
      </c>
      <c r="B15" s="18">
        <v>0.35599999840000002</v>
      </c>
      <c r="C15" s="18">
        <v>0.3066666726666667</v>
      </c>
      <c r="D15" s="18">
        <v>0.30666666766666667</v>
      </c>
      <c r="E15" s="18">
        <v>0.18333333366666668</v>
      </c>
      <c r="F15" s="18">
        <v>0.33000000666666662</v>
      </c>
      <c r="G15" s="18">
        <v>0.15857143057142856</v>
      </c>
      <c r="H15" s="18">
        <v>3.3333333333333331E-3</v>
      </c>
      <c r="I15" s="18">
        <v>0.176666667</v>
      </c>
      <c r="J15" s="18">
        <v>0.46333332566666663</v>
      </c>
      <c r="K15" s="18">
        <v>0.57999998333333336</v>
      </c>
      <c r="L15" s="18">
        <v>0.51000001033333331</v>
      </c>
      <c r="M15" s="166" t="s">
        <v>17</v>
      </c>
      <c r="N15" s="358">
        <v>14.5</v>
      </c>
      <c r="O15" s="358">
        <v>10</v>
      </c>
      <c r="P15" s="358">
        <v>3.5</v>
      </c>
      <c r="Q15" s="358">
        <v>14.5</v>
      </c>
      <c r="R15" s="358">
        <v>5</v>
      </c>
      <c r="S15" s="358">
        <v>10.5</v>
      </c>
      <c r="T15" s="68">
        <v>-0.3462359047000001</v>
      </c>
      <c r="U15" s="5">
        <v>-0.477704609</v>
      </c>
      <c r="V15" s="5">
        <v>-0.23876475189999996</v>
      </c>
      <c r="W15" s="5">
        <v>-0.12204784950000003</v>
      </c>
      <c r="X15" s="5">
        <v>-0.25477671340000008</v>
      </c>
      <c r="Y15" s="5">
        <v>-0.71777224540000006</v>
      </c>
      <c r="Z15" s="5">
        <v>-0.36314374739999999</v>
      </c>
      <c r="AA15" s="5">
        <v>-0.23659322510000003</v>
      </c>
      <c r="AB15" s="5">
        <v>-0.40986367040000016</v>
      </c>
      <c r="AC15" s="5">
        <v>-0.73698109069999995</v>
      </c>
      <c r="AD15" s="5">
        <v>-0.43654978840000003</v>
      </c>
      <c r="AE15" s="80">
        <v>-0.43428135949999991</v>
      </c>
      <c r="AF15" s="5">
        <f t="shared" si="3"/>
        <v>-0.39789291295000001</v>
      </c>
      <c r="AG15" s="68">
        <v>-6.2935592124999999</v>
      </c>
      <c r="AH15" s="5">
        <v>-4.2231564645000006</v>
      </c>
      <c r="AI15" s="5">
        <v>-3.5832618100000007</v>
      </c>
      <c r="AJ15" s="5">
        <v>-4.3809806639999991</v>
      </c>
      <c r="AK15" s="5">
        <v>-3.3000343609999998</v>
      </c>
      <c r="AL15" s="5">
        <v>-8.4947675269999987</v>
      </c>
      <c r="AM15" s="5">
        <v>-7.0564022799999995</v>
      </c>
      <c r="AN15" s="5">
        <v>-5.6355021129999994</v>
      </c>
      <c r="AO15" s="5">
        <v>-7.3060694109999984</v>
      </c>
      <c r="AP15" s="5">
        <v>-6.1749014414999994</v>
      </c>
      <c r="AQ15" s="5">
        <v>-7.6765741494999995</v>
      </c>
      <c r="AR15" s="5">
        <v>-6.9838126545000012</v>
      </c>
      <c r="AS15" s="196">
        <v>-6.7047504950000008</v>
      </c>
      <c r="AT15" s="5">
        <f t="shared" si="4"/>
        <v>-5.9257518407083332</v>
      </c>
      <c r="AU15" s="68">
        <v>-4.1567060470000001</v>
      </c>
      <c r="AV15" s="3">
        <v>13.823100000000004</v>
      </c>
      <c r="AW15" s="80">
        <v>1.8900219229999999</v>
      </c>
      <c r="AX15" s="458">
        <v>1.4126790739999999</v>
      </c>
      <c r="AY15" s="18">
        <v>0.35639999999999999</v>
      </c>
      <c r="AZ15" s="18">
        <v>0.1095</v>
      </c>
      <c r="BA15" s="18">
        <v>0.59460000000000002</v>
      </c>
      <c r="BB15" s="18">
        <v>0.35249999999999998</v>
      </c>
      <c r="BC15" s="18">
        <v>1.0500000000000001E-2</v>
      </c>
      <c r="BD15" s="18">
        <v>1.2200000000000001E-2</v>
      </c>
      <c r="BE15" s="18">
        <v>0.50849999999999995</v>
      </c>
      <c r="BF15" s="18">
        <v>0.21029999999999999</v>
      </c>
      <c r="BG15" s="18">
        <v>-0.37409999999999999</v>
      </c>
      <c r="BH15" s="161">
        <f t="shared" si="5"/>
        <v>0.26931250000000001</v>
      </c>
      <c r="BI15" s="285" t="s">
        <v>536</v>
      </c>
      <c r="BJ15" s="24">
        <v>7.4963686175115618E-2</v>
      </c>
      <c r="BK15" s="24">
        <v>1.8722541474653798E-2</v>
      </c>
      <c r="BL15" s="294">
        <v>7.3541661474654504E-2</v>
      </c>
      <c r="BM15" s="294">
        <f t="shared" si="6"/>
        <v>7.4252673824885068E-2</v>
      </c>
      <c r="BN15" s="18">
        <v>-0.13250000000000001</v>
      </c>
      <c r="BO15" s="18">
        <v>0.2843</v>
      </c>
      <c r="BP15" s="18">
        <v>-0.30220000000000002</v>
      </c>
      <c r="BQ15" s="336" t="s">
        <v>604</v>
      </c>
      <c r="BR15" s="18">
        <v>0.30878736467243101</v>
      </c>
      <c r="BS15" s="5">
        <f>1-BR15</f>
        <v>0.69121263532756894</v>
      </c>
      <c r="BT15" s="5">
        <f t="shared" si="7"/>
        <v>-0.51034047894935131</v>
      </c>
      <c r="BU15" s="39">
        <v>0.79413752294812201</v>
      </c>
      <c r="BV15" s="18">
        <f>1-BU15</f>
        <v>0.20586247705187799</v>
      </c>
      <c r="BW15" s="5">
        <f t="shared" si="8"/>
        <v>-0.10010428310716545</v>
      </c>
      <c r="BX15" s="336" t="s">
        <v>604</v>
      </c>
      <c r="BY15" s="18">
        <v>0.63102400439150796</v>
      </c>
      <c r="BZ15" s="5">
        <f t="shared" si="9"/>
        <v>-0.19995411971547605</v>
      </c>
      <c r="CA15" s="18">
        <v>-1.3097000000000001</v>
      </c>
      <c r="CB15" s="18">
        <v>-0.87260000000000004</v>
      </c>
      <c r="CC15" s="68">
        <v>-1.1879999999999999</v>
      </c>
      <c r="CD15" s="5">
        <v>-1.3648</v>
      </c>
      <c r="CE15" s="5">
        <v>-0.72850000000000004</v>
      </c>
      <c r="CF15" s="5">
        <v>-0.34889999999999999</v>
      </c>
      <c r="CG15" s="80">
        <f>AVERAGE(CC15:CF15)</f>
        <v>-0.90754999999999997</v>
      </c>
      <c r="CH15" s="505">
        <f t="shared" si="10"/>
        <v>-5.8231999999999928</v>
      </c>
      <c r="CI15" s="502">
        <f t="shared" si="11"/>
        <v>-9.1132999999999953</v>
      </c>
      <c r="CJ15" s="161">
        <v>70.105800000000002</v>
      </c>
      <c r="CK15" s="5">
        <v>64.863500000000002</v>
      </c>
      <c r="CL15" s="154">
        <f t="shared" si="12"/>
        <v>5.2423000000000002</v>
      </c>
      <c r="CM15" s="161">
        <v>95.014499999999998</v>
      </c>
      <c r="CN15" s="18">
        <v>98.885499999999993</v>
      </c>
      <c r="CO15" s="469">
        <f t="shared" si="13"/>
        <v>-3.8709999999999951</v>
      </c>
      <c r="CP15" s="470">
        <v>75.056299999999993</v>
      </c>
      <c r="CQ15" s="471">
        <v>63.459699999999998</v>
      </c>
      <c r="CR15" s="472">
        <f t="shared" si="14"/>
        <v>11.596599999999995</v>
      </c>
      <c r="CS15" s="161">
        <v>57.6492</v>
      </c>
      <c r="CT15" s="5">
        <v>51.875799999999998</v>
      </c>
      <c r="CU15" s="154">
        <f t="shared" si="15"/>
        <v>5.7734000000000023</v>
      </c>
      <c r="CV15" s="179">
        <v>-9.9556999999999931</v>
      </c>
      <c r="CW15" s="154">
        <v>6.0655000000000001</v>
      </c>
      <c r="CX15" s="185">
        <v>7.9070000000000036</v>
      </c>
      <c r="CY15" s="432">
        <v>-7.1444880209999999</v>
      </c>
      <c r="CZ15" s="432">
        <v>1.211425822</v>
      </c>
      <c r="DA15" s="509">
        <f t="shared" si="16"/>
        <v>-17.862699999999997</v>
      </c>
      <c r="DB15" s="509">
        <f t="shared" si="17"/>
        <v>-16.021199999999993</v>
      </c>
      <c r="DC15" s="3">
        <v>13.823100000000004</v>
      </c>
      <c r="DD15" s="3">
        <v>2.8888000000000034</v>
      </c>
      <c r="DE15" s="3">
        <v>2.007799999999996</v>
      </c>
      <c r="DF15" s="3">
        <v>1.6500000000000625E-2</v>
      </c>
      <c r="DG15" s="3">
        <v>3.5119000000000042</v>
      </c>
      <c r="DH15" s="3">
        <v>0.69079999999999586</v>
      </c>
      <c r="DI15" s="3">
        <v>-2.296999999999997</v>
      </c>
      <c r="DJ15" s="3">
        <v>0.24259999999999593</v>
      </c>
      <c r="DK15" s="3">
        <v>-6.3603999999999985</v>
      </c>
      <c r="DL15" s="3">
        <v>-2.8999999999996362E-2</v>
      </c>
      <c r="DM15" s="3">
        <v>3.7424999999999997</v>
      </c>
      <c r="DN15" s="3">
        <v>5.0929000000000002</v>
      </c>
      <c r="DO15" s="3">
        <v>7.4476999999999975</v>
      </c>
      <c r="DP15" s="5">
        <f t="shared" si="18"/>
        <v>1.4129250000000002</v>
      </c>
      <c r="DQ15" s="3" t="s">
        <v>17</v>
      </c>
      <c r="DR15" s="5">
        <v>7</v>
      </c>
      <c r="DS15" s="5">
        <v>10</v>
      </c>
      <c r="DT15" s="5">
        <v>-1</v>
      </c>
      <c r="DU15" s="5">
        <v>-9</v>
      </c>
      <c r="DV15" s="5">
        <v>-19</v>
      </c>
      <c r="DW15" s="5">
        <v>1</v>
      </c>
      <c r="DX15" s="3" t="s">
        <v>17</v>
      </c>
      <c r="DY15" s="144">
        <v>0.83999997377400004</v>
      </c>
      <c r="DZ15" s="3" t="s">
        <v>17</v>
      </c>
      <c r="EA15" s="5">
        <v>2</v>
      </c>
      <c r="EB15" s="5">
        <v>8</v>
      </c>
      <c r="EC15" s="5">
        <v>33</v>
      </c>
      <c r="ED15" s="5">
        <v>76</v>
      </c>
      <c r="EE15" s="5">
        <v>43</v>
      </c>
      <c r="EF15" s="18">
        <v>43</v>
      </c>
      <c r="EG15" s="24">
        <v>107</v>
      </c>
      <c r="EH15" s="5">
        <v>15</v>
      </c>
      <c r="EI15" s="5">
        <v>113</v>
      </c>
      <c r="EJ15" s="5">
        <v>106</v>
      </c>
      <c r="EK15" s="5">
        <v>122</v>
      </c>
      <c r="EL15" s="5">
        <v>86</v>
      </c>
      <c r="EM15" s="5">
        <v>128</v>
      </c>
      <c r="EN15" s="5">
        <v>6</v>
      </c>
      <c r="EO15" s="5">
        <v>-1</v>
      </c>
      <c r="EP15" s="5">
        <v>7</v>
      </c>
      <c r="EQ15" s="5">
        <v>-10</v>
      </c>
      <c r="ER15" s="5">
        <v>13</v>
      </c>
      <c r="ES15" s="18">
        <v>11</v>
      </c>
      <c r="ET15" s="358">
        <v>10.5</v>
      </c>
      <c r="EU15" s="3" t="s">
        <v>17</v>
      </c>
      <c r="EV15" s="21">
        <v>0</v>
      </c>
      <c r="EW15" s="5">
        <f t="shared" si="19"/>
        <v>0.41999998688700002</v>
      </c>
      <c r="EX15" s="161">
        <v>-0.28727576049999992</v>
      </c>
      <c r="EY15" s="21">
        <v>-0.17</v>
      </c>
      <c r="EZ15" s="144">
        <v>0.83999997377400004</v>
      </c>
      <c r="FA15" s="161">
        <v>0.35587999999999997</v>
      </c>
      <c r="FB15" s="5">
        <v>0.42874000000000001</v>
      </c>
      <c r="FC15" s="154">
        <f t="shared" si="20"/>
        <v>-7.2860000000000036E-2</v>
      </c>
      <c r="FD15" s="3" t="s">
        <v>17</v>
      </c>
      <c r="FE15" s="519">
        <v>11</v>
      </c>
    </row>
    <row r="16" spans="1:161" x14ac:dyDescent="0.2">
      <c r="A16" s="3" t="s">
        <v>18</v>
      </c>
      <c r="B16" s="18">
        <v>0.37200000000000005</v>
      </c>
      <c r="C16" s="18">
        <v>0.25666666666666665</v>
      </c>
      <c r="D16" s="18">
        <v>0.31333333353200005</v>
      </c>
      <c r="E16" s="18">
        <v>0.30333333333333329</v>
      </c>
      <c r="F16" s="18">
        <v>0.46666666666666662</v>
      </c>
      <c r="G16" s="18">
        <v>0.48999999999999994</v>
      </c>
      <c r="H16" s="18">
        <v>0.22166666666666668</v>
      </c>
      <c r="I16" s="18">
        <v>0.96333333333333337</v>
      </c>
      <c r="J16" s="18">
        <v>1</v>
      </c>
      <c r="K16" s="18">
        <v>1</v>
      </c>
      <c r="L16" s="18">
        <v>0.92666666666666664</v>
      </c>
      <c r="M16" s="166" t="s">
        <v>18</v>
      </c>
      <c r="N16" s="358">
        <v>18.5</v>
      </c>
      <c r="O16" s="358">
        <v>18.5</v>
      </c>
      <c r="P16" s="358">
        <v>18.5</v>
      </c>
      <c r="Q16" s="358">
        <v>17.5</v>
      </c>
      <c r="R16" s="358">
        <v>16.5</v>
      </c>
      <c r="S16" s="358">
        <v>16.5</v>
      </c>
      <c r="T16" s="68">
        <v>-0.82528387930000013</v>
      </c>
      <c r="U16" s="5">
        <v>-0.22518808709999993</v>
      </c>
      <c r="V16" s="5">
        <v>-0.11126162940000001</v>
      </c>
      <c r="W16" s="5">
        <v>-0.22810852740000009</v>
      </c>
      <c r="X16" s="5">
        <v>-0.54346753840000006</v>
      </c>
      <c r="Y16" s="5">
        <v>-0.39722959629999999</v>
      </c>
      <c r="Z16" s="5">
        <v>-0.29031800009999997</v>
      </c>
      <c r="AA16" s="5">
        <v>-0.19014469700000003</v>
      </c>
      <c r="AB16" s="5">
        <v>-7.9132990599999897E-2</v>
      </c>
      <c r="AC16" s="5">
        <v>-0.3739594101</v>
      </c>
      <c r="AD16" s="5">
        <v>-0.25623491669999998</v>
      </c>
      <c r="AE16" s="80">
        <v>-0.1084007843</v>
      </c>
      <c r="AF16" s="5">
        <f t="shared" si="3"/>
        <v>-0.30239417139166663</v>
      </c>
      <c r="AG16" s="68">
        <v>-7.5329198444999994</v>
      </c>
      <c r="AH16" s="5">
        <v>-1.7943622185000017</v>
      </c>
      <c r="AI16" s="5">
        <v>-1.6338595575000001</v>
      </c>
      <c r="AJ16" s="5">
        <v>-1.5332489840000001</v>
      </c>
      <c r="AK16" s="5">
        <v>-2.0087903770000004</v>
      </c>
      <c r="AL16" s="5">
        <v>-4.6338437209999999</v>
      </c>
      <c r="AM16" s="5">
        <v>-4.0116145830000001</v>
      </c>
      <c r="AN16" s="5">
        <v>-1.4928522814999994</v>
      </c>
      <c r="AO16" s="5">
        <v>-0.84736807550000037</v>
      </c>
      <c r="AP16" s="5">
        <v>-1.6219624809999997</v>
      </c>
      <c r="AQ16" s="5">
        <v>-1.6564773725000013</v>
      </c>
      <c r="AR16" s="5">
        <v>-0.85692990349999931</v>
      </c>
      <c r="AS16" s="196">
        <v>-1.7910141050000021</v>
      </c>
      <c r="AT16" s="5">
        <f t="shared" si="4"/>
        <v>-2.4686857832916664</v>
      </c>
      <c r="AU16" s="68">
        <v>-4.8432809280000004</v>
      </c>
      <c r="AV16" s="3">
        <v>43.975999999999999</v>
      </c>
      <c r="AW16" s="80">
        <v>2.4828542040000001</v>
      </c>
      <c r="AX16" s="458">
        <v>2.9102322150000002</v>
      </c>
      <c r="AY16" s="18">
        <v>0.1103</v>
      </c>
      <c r="AZ16" s="18">
        <v>0.13339999999999999</v>
      </c>
      <c r="BA16" s="18">
        <v>0.85529999999999995</v>
      </c>
      <c r="BB16" s="18">
        <v>0.34889999999999999</v>
      </c>
      <c r="BC16" s="18">
        <v>0.37180000000000002</v>
      </c>
      <c r="BD16" s="18">
        <v>1.5699999999999999E-2</v>
      </c>
      <c r="BE16" s="18">
        <v>0.43509999999999999</v>
      </c>
      <c r="BF16" s="18">
        <v>0.34639999999999999</v>
      </c>
      <c r="BG16" s="18">
        <v>-0.69750000000000001</v>
      </c>
      <c r="BH16" s="161">
        <f t="shared" si="5"/>
        <v>0.32711250000000003</v>
      </c>
      <c r="BI16" s="296" t="s">
        <v>537</v>
      </c>
      <c r="BJ16" s="24">
        <v>4.3884224884792697E-2</v>
      </c>
      <c r="BK16" s="24">
        <v>3.2171213824885095E-2</v>
      </c>
      <c r="BL16" s="294">
        <v>5.8278475299539001E-2</v>
      </c>
      <c r="BM16" s="294">
        <f t="shared" si="6"/>
        <v>5.1081350092165849E-2</v>
      </c>
      <c r="BN16" s="18">
        <v>0.78969999999999996</v>
      </c>
      <c r="BO16" s="18">
        <v>0.32769999999999999</v>
      </c>
      <c r="BP16" s="18">
        <v>8.8300000000000003E-2</v>
      </c>
      <c r="BQ16" s="336" t="s">
        <v>605</v>
      </c>
      <c r="BR16" s="18">
        <v>0.43533691058215102</v>
      </c>
      <c r="BS16" s="5">
        <f>1-BR16</f>
        <v>0.56466308941784904</v>
      </c>
      <c r="BT16" s="5">
        <f t="shared" si="7"/>
        <v>-0.36117450908296828</v>
      </c>
      <c r="BU16" s="18">
        <v>0.176825948678836</v>
      </c>
      <c r="BV16" s="18">
        <f>1-BU16</f>
        <v>0.82317405132116406</v>
      </c>
      <c r="BW16" s="5">
        <f t="shared" si="8"/>
        <v>-0.75245400323065115</v>
      </c>
      <c r="BX16" s="336" t="s">
        <v>605</v>
      </c>
      <c r="BY16" s="18">
        <v>0.199369558979761</v>
      </c>
      <c r="BZ16" s="5">
        <f t="shared" si="9"/>
        <v>-0.70034115182349588</v>
      </c>
      <c r="CA16" s="18">
        <v>-0.98670000000000002</v>
      </c>
      <c r="CB16" s="18">
        <v>-1.3324</v>
      </c>
      <c r="CC16" s="68">
        <v>-0.92889999999999995</v>
      </c>
      <c r="CD16" s="5">
        <v>-1.0238</v>
      </c>
      <c r="CE16" s="5">
        <v>-1.1760999999999999</v>
      </c>
      <c r="CF16" s="5">
        <v>-0.66790000000000005</v>
      </c>
      <c r="CG16" s="80">
        <f>AVERAGE(CC16:CF16)</f>
        <v>-0.94917499999999999</v>
      </c>
      <c r="CH16" s="505">
        <f t="shared" si="10"/>
        <v>8.3988000000000014</v>
      </c>
      <c r="CI16" s="502">
        <f t="shared" si="11"/>
        <v>-55.337199999999982</v>
      </c>
      <c r="CJ16" s="161">
        <v>105.11199999999999</v>
      </c>
      <c r="CK16" s="5">
        <v>78.531800000000004</v>
      </c>
      <c r="CL16" s="154">
        <f t="shared" si="12"/>
        <v>26.580199999999991</v>
      </c>
      <c r="CM16" s="161">
        <v>67.186300000000003</v>
      </c>
      <c r="CN16" s="18">
        <v>95.943299999999994</v>
      </c>
      <c r="CO16" s="469">
        <f t="shared" si="13"/>
        <v>-28.756999999999991</v>
      </c>
      <c r="CP16" s="470">
        <v>82.331000000000003</v>
      </c>
      <c r="CQ16" s="471">
        <v>59.439799999999998</v>
      </c>
      <c r="CR16" s="472">
        <f t="shared" si="14"/>
        <v>22.891200000000005</v>
      </c>
      <c r="CS16" s="161">
        <v>110.39400000000001</v>
      </c>
      <c r="CT16" s="5">
        <v>79.103999999999999</v>
      </c>
      <c r="CU16" s="154">
        <f t="shared" si="15"/>
        <v>31.290000000000006</v>
      </c>
      <c r="CV16" s="179">
        <v>15.659600000000005</v>
      </c>
      <c r="CW16" s="154">
        <v>12.405799999999999</v>
      </c>
      <c r="CX16" s="185">
        <v>25.199999999999989</v>
      </c>
      <c r="CY16" s="432">
        <v>-1.5982152970000001</v>
      </c>
      <c r="CZ16" s="432">
        <v>1.3049201159999999</v>
      </c>
      <c r="DA16" s="509">
        <f t="shared" si="16"/>
        <v>-9.540399999999984</v>
      </c>
      <c r="DB16" s="509">
        <f t="shared" si="17"/>
        <v>3.2538000000000054</v>
      </c>
      <c r="DC16" s="3">
        <v>43.975999999999999</v>
      </c>
      <c r="DD16" s="3">
        <v>18.032700000000006</v>
      </c>
      <c r="DE16" s="3">
        <v>-1.1313000000000102</v>
      </c>
      <c r="DF16" s="3">
        <v>-0.47060000000000457</v>
      </c>
      <c r="DG16" s="3">
        <v>5.7929999999999993</v>
      </c>
      <c r="DH16" s="3">
        <v>9.1715000000000018</v>
      </c>
      <c r="DI16" s="3">
        <v>4.8633000000000024</v>
      </c>
      <c r="DJ16" s="3">
        <v>2.3868999999999971</v>
      </c>
      <c r="DK16" s="3">
        <v>-4.2190999999999974</v>
      </c>
      <c r="DL16" s="3">
        <v>25.391999999999996</v>
      </c>
      <c r="DM16" s="3">
        <v>-5.5109999999999957</v>
      </c>
      <c r="DN16" s="3">
        <v>11.263599999999997</v>
      </c>
      <c r="DO16" s="3">
        <v>13.202400000000004</v>
      </c>
      <c r="DP16" s="5">
        <f t="shared" si="18"/>
        <v>6.5644500000000008</v>
      </c>
      <c r="DQ16" s="3" t="s">
        <v>18</v>
      </c>
      <c r="DR16" s="5">
        <v>3</v>
      </c>
      <c r="DS16" s="5">
        <v>12</v>
      </c>
      <c r="DT16" s="5">
        <v>10</v>
      </c>
      <c r="DU16" s="5">
        <v>5</v>
      </c>
      <c r="DV16" s="5">
        <v>-7</v>
      </c>
      <c r="DW16" s="5">
        <v>8</v>
      </c>
      <c r="DX16" s="3" t="s">
        <v>18</v>
      </c>
      <c r="DY16" s="144">
        <v>0.94</v>
      </c>
      <c r="DZ16" s="3" t="s">
        <v>18</v>
      </c>
      <c r="EA16" s="5">
        <v>0</v>
      </c>
      <c r="EB16" s="5">
        <v>8</v>
      </c>
      <c r="EC16" s="5">
        <v>27</v>
      </c>
      <c r="ED16" s="5">
        <v>18</v>
      </c>
      <c r="EE16" s="5">
        <v>41</v>
      </c>
      <c r="EF16" s="18">
        <v>33</v>
      </c>
      <c r="EG16" s="24">
        <v>88</v>
      </c>
      <c r="EH16" s="5">
        <v>15</v>
      </c>
      <c r="EI16" s="5">
        <v>104</v>
      </c>
      <c r="EJ16" s="5">
        <v>127</v>
      </c>
      <c r="EK16" s="5">
        <v>106</v>
      </c>
      <c r="EL16" s="5">
        <v>58</v>
      </c>
      <c r="EM16" s="5">
        <v>89</v>
      </c>
      <c r="EN16" s="5">
        <v>13</v>
      </c>
      <c r="EO16" s="5">
        <v>-8</v>
      </c>
      <c r="EP16" s="5">
        <v>3</v>
      </c>
      <c r="EQ16" s="5">
        <v>-12</v>
      </c>
      <c r="ER16" s="5">
        <v>9</v>
      </c>
      <c r="ES16" s="18">
        <v>4</v>
      </c>
      <c r="ET16" s="358">
        <v>16.5</v>
      </c>
      <c r="EU16" s="3" t="s">
        <v>18</v>
      </c>
      <c r="EV16" s="21">
        <v>0.48</v>
      </c>
      <c r="EW16" s="5">
        <f t="shared" si="19"/>
        <v>0.71</v>
      </c>
      <c r="EX16" s="161">
        <v>-0.43593042500000001</v>
      </c>
      <c r="EY16" s="21">
        <v>0</v>
      </c>
      <c r="EZ16" s="144">
        <v>0.94</v>
      </c>
      <c r="FA16" s="161">
        <v>0.32757999999999998</v>
      </c>
      <c r="FB16" s="5">
        <v>0.42584</v>
      </c>
      <c r="FC16" s="154">
        <f t="shared" si="20"/>
        <v>-9.8260000000000014E-2</v>
      </c>
      <c r="FD16" s="3" t="s">
        <v>18</v>
      </c>
      <c r="FE16" s="519">
        <v>5</v>
      </c>
    </row>
    <row r="17" spans="1:161" ht="16" thickBot="1" x14ac:dyDescent="0.25">
      <c r="A17" s="3" t="s">
        <v>19</v>
      </c>
      <c r="B17" s="18">
        <v>0.47800000119199998</v>
      </c>
      <c r="C17" s="18">
        <v>0.4833333361149999</v>
      </c>
      <c r="D17" s="18">
        <v>0.5733333273086666</v>
      </c>
      <c r="E17" s="18">
        <v>0.53333333883266665</v>
      </c>
      <c r="F17" s="18">
        <v>0.34666666515433336</v>
      </c>
      <c r="G17" s="18">
        <v>0.37285714198892572</v>
      </c>
      <c r="H17" s="18">
        <v>9.8333332066699988E-2</v>
      </c>
      <c r="I17" s="18">
        <v>0.51000000112833332</v>
      </c>
      <c r="J17" s="18">
        <v>0.37666666487866662</v>
      </c>
      <c r="K17" s="18">
        <v>0.91666668653466665</v>
      </c>
      <c r="L17" s="18">
        <v>0.66333334081933326</v>
      </c>
      <c r="M17" s="166" t="s">
        <v>19</v>
      </c>
      <c r="N17" s="358">
        <v>15</v>
      </c>
      <c r="O17" s="358">
        <v>5</v>
      </c>
      <c r="P17" s="358">
        <v>5.5</v>
      </c>
      <c r="Q17" s="358">
        <v>13.5</v>
      </c>
      <c r="R17" s="358">
        <v>7.5</v>
      </c>
      <c r="S17" s="358">
        <v>11</v>
      </c>
      <c r="T17" s="68">
        <v>-4.1918429900000054E-2</v>
      </c>
      <c r="U17" s="5">
        <v>-0.13935687500000005</v>
      </c>
      <c r="V17" s="5">
        <v>-7.0307902999999949E-2</v>
      </c>
      <c r="W17" s="5">
        <v>-0.16677156900000001</v>
      </c>
      <c r="X17" s="5">
        <v>1.096258080000001E-2</v>
      </c>
      <c r="Y17" s="5">
        <v>-0.38145985199999988</v>
      </c>
      <c r="Z17" s="5">
        <v>3.9731009999999234E-4</v>
      </c>
      <c r="AA17" s="5">
        <v>-0.11067940789999997</v>
      </c>
      <c r="AB17" s="5">
        <v>0.15537189600000012</v>
      </c>
      <c r="AC17" s="5">
        <v>-0.34901071700000008</v>
      </c>
      <c r="AD17" s="5">
        <v>4.3821064999999937E-2</v>
      </c>
      <c r="AE17" s="80">
        <v>5.7125458000000018E-2</v>
      </c>
      <c r="AF17" s="5">
        <f t="shared" si="3"/>
        <v>-8.2652203658333312E-2</v>
      </c>
      <c r="AG17" s="68">
        <v>-0.66936097399999994</v>
      </c>
      <c r="AH17" s="5">
        <v>-0.61467753949999882</v>
      </c>
      <c r="AI17" s="5">
        <v>0.54212550100000012</v>
      </c>
      <c r="AJ17" s="5">
        <v>-4.2846554700000006</v>
      </c>
      <c r="AK17" s="5">
        <v>-0.94080995549999979</v>
      </c>
      <c r="AL17" s="5">
        <v>-3.2580100799999983</v>
      </c>
      <c r="AM17" s="5">
        <v>-3.2957198999999999</v>
      </c>
      <c r="AN17" s="5">
        <v>-1.9415579919999999</v>
      </c>
      <c r="AO17" s="5">
        <v>-1.9373981699999998</v>
      </c>
      <c r="AP17" s="5">
        <v>-3.768604814999998</v>
      </c>
      <c r="AQ17" s="5">
        <v>-3.2219841699999989</v>
      </c>
      <c r="AR17" s="5">
        <v>-3.2717581899999963</v>
      </c>
      <c r="AS17" s="196">
        <v>-4.3491606599999972</v>
      </c>
      <c r="AT17" s="5">
        <f t="shared" si="4"/>
        <v>-2.2218676462499993</v>
      </c>
      <c r="AU17" s="68">
        <v>-3.2443840150000001</v>
      </c>
      <c r="AV17" s="3">
        <v>15.853999999999999</v>
      </c>
      <c r="AW17" s="80">
        <v>0.89118661769999996</v>
      </c>
      <c r="AX17" s="458">
        <v>1.2659854429999999</v>
      </c>
      <c r="AY17" s="379">
        <v>-3.6799999999999999E-2</v>
      </c>
      <c r="AZ17" s="379">
        <v>9.9099999999999994E-2</v>
      </c>
      <c r="BA17" s="379">
        <v>0.46600000000000003</v>
      </c>
      <c r="BB17" s="379">
        <v>-1.95E-2</v>
      </c>
      <c r="BC17" s="379">
        <v>4.4900000000000002E-2</v>
      </c>
      <c r="BD17" s="379">
        <v>0.15029999999999999</v>
      </c>
      <c r="BE17" s="379">
        <v>-7.8399999999999997E-2</v>
      </c>
      <c r="BF17" s="379">
        <v>-0.15859999999999999</v>
      </c>
      <c r="BG17" s="379">
        <v>-1.4E-3</v>
      </c>
      <c r="BH17" s="161">
        <f t="shared" si="5"/>
        <v>5.837500000000001E-2</v>
      </c>
      <c r="BI17" s="302" t="s">
        <v>538</v>
      </c>
      <c r="BJ17" s="24">
        <v>3.4304710599078407E-2</v>
      </c>
      <c r="BK17" s="24">
        <v>1.7184351612903201E-2</v>
      </c>
      <c r="BL17" s="294">
        <v>2.3087765898617607E-2</v>
      </c>
      <c r="BM17" s="294">
        <f t="shared" si="6"/>
        <v>2.8696238248848007E-2</v>
      </c>
      <c r="BN17" s="5">
        <v>9.5000000000000001E-2</v>
      </c>
      <c r="BO17" s="5">
        <v>-8.0699999999999994E-2</v>
      </c>
      <c r="BP17" s="5">
        <v>0.28760000000000002</v>
      </c>
      <c r="BQ17" s="336" t="s">
        <v>606</v>
      </c>
      <c r="BR17" s="18">
        <v>0.58051872461172005</v>
      </c>
      <c r="BS17" s="5">
        <f>1-BR17</f>
        <v>0.41948127538827995</v>
      </c>
      <c r="BT17" s="5">
        <f t="shared" si="7"/>
        <v>-0.23618376754574194</v>
      </c>
      <c r="BU17" s="18">
        <v>0.63935512278022</v>
      </c>
      <c r="BV17" s="18">
        <f>1-BU17</f>
        <v>0.36064487721978</v>
      </c>
      <c r="BW17" s="5">
        <f t="shared" si="8"/>
        <v>-0.19425785072449683</v>
      </c>
      <c r="BX17" s="336" t="s">
        <v>606</v>
      </c>
      <c r="BY17" s="18">
        <v>0.80894441432143305</v>
      </c>
      <c r="BZ17" s="5">
        <f t="shared" si="9"/>
        <v>-9.2081319404848302E-2</v>
      </c>
      <c r="CA17" s="18">
        <v>-0.61350000000000005</v>
      </c>
      <c r="CB17" s="18">
        <v>-0.38379999999999997</v>
      </c>
      <c r="CC17" s="68">
        <v>-0.60129999999999995</v>
      </c>
      <c r="CD17" s="5">
        <v>-0.63239999999999996</v>
      </c>
      <c r="CE17" s="5">
        <v>-0.161</v>
      </c>
      <c r="CF17" s="5">
        <v>-0.28849999999999998</v>
      </c>
      <c r="CG17" s="80">
        <f>AVERAGE(CC17:CF17)</f>
        <v>-0.42079999999999995</v>
      </c>
      <c r="CH17" s="505">
        <f t="shared" si="10"/>
        <v>0.47170000000001266</v>
      </c>
      <c r="CI17" s="502">
        <f t="shared" si="11"/>
        <v>-11.927199999999999</v>
      </c>
      <c r="CJ17" s="161">
        <v>89.183199999999999</v>
      </c>
      <c r="CK17" s="5">
        <v>81.250200000000007</v>
      </c>
      <c r="CL17" s="154">
        <f t="shared" si="12"/>
        <v>7.9329999999999927</v>
      </c>
      <c r="CM17" s="161">
        <v>84.9358</v>
      </c>
      <c r="CN17" s="5">
        <v>88.93</v>
      </c>
      <c r="CO17" s="469">
        <f t="shared" si="13"/>
        <v>-3.9942000000000064</v>
      </c>
      <c r="CP17" s="473">
        <v>77.825999999999993</v>
      </c>
      <c r="CQ17" s="471">
        <v>71.259699999999995</v>
      </c>
      <c r="CR17" s="472">
        <f t="shared" si="14"/>
        <v>6.5662999999999982</v>
      </c>
      <c r="CS17" s="161">
        <v>94.609800000000007</v>
      </c>
      <c r="CT17" s="5">
        <v>87.571799999999996</v>
      </c>
      <c r="CU17" s="154">
        <f t="shared" si="15"/>
        <v>7.0380000000000109</v>
      </c>
      <c r="CV17" s="180">
        <v>-20.567699999999995</v>
      </c>
      <c r="CW17" s="162">
        <v>-1.6822000000000017</v>
      </c>
      <c r="CX17" s="186">
        <v>7.0028000000000006</v>
      </c>
      <c r="CY17" s="432">
        <v>0.9573498668</v>
      </c>
      <c r="CZ17" s="432">
        <v>2.3432480600000001</v>
      </c>
      <c r="DA17" s="509">
        <f t="shared" si="16"/>
        <v>-27.570499999999996</v>
      </c>
      <c r="DB17" s="509">
        <f t="shared" si="17"/>
        <v>-18.885499999999993</v>
      </c>
      <c r="DC17" s="3">
        <v>15.853999999999999</v>
      </c>
      <c r="DD17" s="3">
        <v>3.4556999999999931</v>
      </c>
      <c r="DE17" s="3">
        <v>1.6000000000000085</v>
      </c>
      <c r="DF17" s="3">
        <v>4.8419999999999987</v>
      </c>
      <c r="DG17" s="3">
        <v>2.0123000000000033</v>
      </c>
      <c r="DH17" s="3">
        <v>-0.66680000000000206</v>
      </c>
      <c r="DI17" s="3">
        <v>-3.7591999999999999</v>
      </c>
      <c r="DJ17" s="3">
        <v>-2.6308000000000007</v>
      </c>
      <c r="DK17" s="3">
        <v>-6.0885999999999996</v>
      </c>
      <c r="DL17" s="3">
        <v>-1.4977000000000089</v>
      </c>
      <c r="DM17" s="3">
        <v>-2.6359999999999957</v>
      </c>
      <c r="DN17" s="3">
        <v>2.2301999999999964</v>
      </c>
      <c r="DO17" s="3">
        <v>7.0570000000000022</v>
      </c>
      <c r="DP17" s="5">
        <f t="shared" si="18"/>
        <v>0.32650833333333296</v>
      </c>
      <c r="DQ17" s="3" t="s">
        <v>19</v>
      </c>
      <c r="DR17" s="5">
        <v>3</v>
      </c>
      <c r="DS17" s="5">
        <v>14</v>
      </c>
      <c r="DT17" s="5">
        <v>-18</v>
      </c>
      <c r="DU17" s="5">
        <v>-13</v>
      </c>
      <c r="DV17" s="5">
        <v>11</v>
      </c>
      <c r="DW17" s="5">
        <v>5</v>
      </c>
      <c r="DX17" s="3" t="s">
        <v>19</v>
      </c>
      <c r="DY17" s="144">
        <v>0.58999997377400004</v>
      </c>
      <c r="DZ17" s="3" t="s">
        <v>19</v>
      </c>
      <c r="EA17" s="5">
        <v>1</v>
      </c>
      <c r="EB17" s="5">
        <v>5</v>
      </c>
      <c r="EC17" s="5">
        <v>29</v>
      </c>
      <c r="ED17" s="5">
        <v>65</v>
      </c>
      <c r="EE17" s="5">
        <v>39</v>
      </c>
      <c r="EF17" s="18">
        <v>41</v>
      </c>
      <c r="EG17" s="24">
        <v>120</v>
      </c>
      <c r="EH17" s="5">
        <v>17</v>
      </c>
      <c r="EI17" s="5">
        <v>115</v>
      </c>
      <c r="EJ17" s="5">
        <v>148</v>
      </c>
      <c r="EK17" s="5">
        <v>126</v>
      </c>
      <c r="EL17" s="5">
        <v>53</v>
      </c>
      <c r="EM17" s="5">
        <v>132</v>
      </c>
      <c r="EN17" s="5">
        <v>3.5</v>
      </c>
      <c r="EO17" s="5">
        <v>-5</v>
      </c>
      <c r="EP17" s="5">
        <v>3</v>
      </c>
      <c r="EQ17" s="5">
        <v>-14</v>
      </c>
      <c r="ER17" s="5">
        <v>13</v>
      </c>
      <c r="ES17" s="5">
        <v>8</v>
      </c>
      <c r="ET17" s="358">
        <v>11</v>
      </c>
      <c r="EU17" s="3" t="s">
        <v>19</v>
      </c>
      <c r="EV17" s="21">
        <v>0.28999999165500001</v>
      </c>
      <c r="EW17" s="5">
        <f t="shared" si="19"/>
        <v>0.43999998271450003</v>
      </c>
      <c r="EX17" s="161">
        <v>-0.20431877910000007</v>
      </c>
      <c r="EY17" s="21">
        <v>0</v>
      </c>
      <c r="EZ17" s="144">
        <v>0.58999997377400004</v>
      </c>
      <c r="FA17" s="161">
        <v>0.42342000000000002</v>
      </c>
      <c r="FB17" s="5">
        <v>0.40710000000000002</v>
      </c>
      <c r="FC17" s="154">
        <f t="shared" si="20"/>
        <v>1.6320000000000001E-2</v>
      </c>
      <c r="FD17" s="3" t="s">
        <v>19</v>
      </c>
      <c r="FE17" s="519">
        <v>-2</v>
      </c>
    </row>
    <row r="18" spans="1:161" s="6" customFormat="1" ht="16" thickBot="1" x14ac:dyDescent="0.25">
      <c r="A18" s="312" t="s">
        <v>238</v>
      </c>
      <c r="B18" s="237">
        <f>AVERAGE(B3:B17)</f>
        <v>0.28373333359626263</v>
      </c>
      <c r="C18" s="237">
        <f t="shared" ref="C18:AW18" si="21">AVERAGE(C3:C17)</f>
        <v>0.20577777831477867</v>
      </c>
      <c r="D18" s="237">
        <f t="shared" si="21"/>
        <v>0.28977777679805194</v>
      </c>
      <c r="E18" s="237">
        <f t="shared" si="21"/>
        <v>0.27711110934412353</v>
      </c>
      <c r="F18" s="237">
        <f t="shared" si="21"/>
        <v>0.32444444486316798</v>
      </c>
      <c r="G18" s="237">
        <f t="shared" si="21"/>
        <v>0.2241904766608914</v>
      </c>
      <c r="H18" s="237">
        <f t="shared" si="21"/>
        <v>9.8777777111675569E-2</v>
      </c>
      <c r="I18" s="237">
        <f t="shared" si="21"/>
        <v>0.4213333346884342</v>
      </c>
      <c r="J18" s="237">
        <f t="shared" si="21"/>
        <v>0.65288888975726744</v>
      </c>
      <c r="K18" s="237">
        <f t="shared" si="21"/>
        <v>0.50755555438922972</v>
      </c>
      <c r="L18" s="237">
        <f t="shared" si="21"/>
        <v>0.33444444466004625</v>
      </c>
      <c r="M18" s="237" t="s">
        <v>217</v>
      </c>
      <c r="N18" s="237">
        <f t="shared" si="21"/>
        <v>12.166666666666666</v>
      </c>
      <c r="O18" s="237">
        <f t="shared" si="21"/>
        <v>9.7333333333333325</v>
      </c>
      <c r="P18" s="237">
        <f t="shared" si="21"/>
        <v>7.3666666666666663</v>
      </c>
      <c r="Q18" s="237">
        <f t="shared" si="21"/>
        <v>10.4</v>
      </c>
      <c r="R18" s="237">
        <f t="shared" si="21"/>
        <v>6.7</v>
      </c>
      <c r="S18" s="237">
        <f t="shared" si="21"/>
        <v>5.7333333333333334</v>
      </c>
      <c r="T18" s="237">
        <f t="shared" si="21"/>
        <v>-0.4310436288466668</v>
      </c>
      <c r="U18" s="237">
        <f t="shared" si="21"/>
        <v>-0.30209760827333337</v>
      </c>
      <c r="V18" s="237">
        <f t="shared" si="21"/>
        <v>-0.16283138669333327</v>
      </c>
      <c r="W18" s="237">
        <f t="shared" si="21"/>
        <v>-0.10726679822666668</v>
      </c>
      <c r="X18" s="237">
        <f t="shared" si="21"/>
        <v>-0.42615136114666663</v>
      </c>
      <c r="Y18" s="237">
        <f t="shared" si="21"/>
        <v>-0.37686010087333333</v>
      </c>
      <c r="Z18" s="237">
        <f t="shared" si="21"/>
        <v>-0.24818905046666664</v>
      </c>
      <c r="AA18" s="237">
        <f t="shared" si="21"/>
        <v>-0.28155138299333338</v>
      </c>
      <c r="AB18" s="237">
        <f t="shared" si="21"/>
        <v>-0.12966095330000002</v>
      </c>
      <c r="AC18" s="237">
        <f t="shared" si="21"/>
        <v>-0.27650326446000001</v>
      </c>
      <c r="AD18" s="237">
        <f t="shared" si="21"/>
        <v>-0.2651409983866666</v>
      </c>
      <c r="AE18" s="237">
        <f t="shared" si="21"/>
        <v>-0.17112701642666661</v>
      </c>
      <c r="AF18" s="237">
        <f t="shared" ref="AF18" si="22">AVERAGE(AF3:AF17)</f>
        <v>-0.26486862917444443</v>
      </c>
      <c r="AG18" s="237">
        <f t="shared" si="21"/>
        <v>-5.2810092143333334</v>
      </c>
      <c r="AH18" s="237">
        <f t="shared" si="21"/>
        <v>-2.6876950717666674</v>
      </c>
      <c r="AI18" s="237">
        <f t="shared" si="21"/>
        <v>-3.1132705759666668</v>
      </c>
      <c r="AJ18" s="237">
        <f t="shared" si="21"/>
        <v>-1.1643189857333336</v>
      </c>
      <c r="AK18" s="237">
        <f t="shared" si="21"/>
        <v>-3.4057604258333338</v>
      </c>
      <c r="AL18" s="237">
        <f t="shared" si="21"/>
        <v>-3.9647597660333336</v>
      </c>
      <c r="AM18" s="237">
        <f t="shared" si="21"/>
        <v>-4.3283561698999993</v>
      </c>
      <c r="AN18" s="237">
        <f t="shared" si="21"/>
        <v>-3.9781609913333336</v>
      </c>
      <c r="AO18" s="237">
        <f t="shared" si="21"/>
        <v>-2.9567579502999997</v>
      </c>
      <c r="AP18" s="237">
        <f t="shared" si="21"/>
        <v>-2.921116669199999</v>
      </c>
      <c r="AQ18" s="237">
        <f t="shared" si="21"/>
        <v>-3.8983085607333328</v>
      </c>
      <c r="AR18" s="237">
        <f t="shared" si="21"/>
        <v>-2.5698385123999996</v>
      </c>
      <c r="AS18" s="147">
        <f t="shared" si="21"/>
        <v>-2.6046576989666668</v>
      </c>
      <c r="AT18" s="237">
        <f t="shared" ref="AT18" si="23">AVERAGE(AT3:AT17)</f>
        <v>-3.3557794077944445</v>
      </c>
      <c r="AU18" s="237">
        <f t="shared" si="21"/>
        <v>-2.4042056269000001</v>
      </c>
      <c r="AV18" s="237">
        <f t="shared" si="21"/>
        <v>20.208199999999998</v>
      </c>
      <c r="AW18" s="237">
        <f t="shared" si="21"/>
        <v>1.4639803461400001</v>
      </c>
      <c r="AX18" s="237">
        <f t="shared" ref="AX18" si="24">AVERAGE(AX3:AX17)</f>
        <v>1.7870950478666667</v>
      </c>
      <c r="AY18" s="380">
        <f>AVERAGE(AY3:AY17)</f>
        <v>0.22670666666666667</v>
      </c>
      <c r="AZ18" s="418">
        <f t="shared" ref="AZ18:BG18" si="25">AVERAGE(AZ3:AZ17)</f>
        <v>0.19150666666666666</v>
      </c>
      <c r="BA18" s="418">
        <f t="shared" si="25"/>
        <v>0.4209</v>
      </c>
      <c r="BB18" s="418">
        <f t="shared" si="25"/>
        <v>0.15845999999999999</v>
      </c>
      <c r="BC18" s="418">
        <f t="shared" si="25"/>
        <v>0.15636000000000003</v>
      </c>
      <c r="BD18" s="418">
        <f t="shared" si="25"/>
        <v>0.18526666666666669</v>
      </c>
      <c r="BE18" s="418">
        <f t="shared" si="25"/>
        <v>0.21702666666666665</v>
      </c>
      <c r="BF18" s="418">
        <f t="shared" si="25"/>
        <v>0.14904000000000001</v>
      </c>
      <c r="BG18" s="139">
        <f t="shared" si="25"/>
        <v>-0.31859333333333334</v>
      </c>
      <c r="BH18" s="65">
        <f t="shared" ref="BH18" si="26">AVERAGE(BH3:BH17)</f>
        <v>0.21315833333333334</v>
      </c>
      <c r="BI18" s="498" t="s">
        <v>238</v>
      </c>
      <c r="BJ18" s="499">
        <f t="shared" ref="BJ18:BM18" si="27">AVERAGE(BJ3:BJ17)</f>
        <v>5.0324708110599033E-2</v>
      </c>
      <c r="BK18" s="499">
        <f t="shared" si="27"/>
        <v>3.9726779729646715E-2</v>
      </c>
      <c r="BL18" s="499">
        <f t="shared" si="27"/>
        <v>4.8817765139784974E-2</v>
      </c>
      <c r="BM18" s="499">
        <f t="shared" si="27"/>
        <v>4.9571236625192007E-2</v>
      </c>
      <c r="BN18" s="499">
        <f t="shared" ref="BN18:CG18" si="28">AVERAGE(BN3:BN17)</f>
        <v>0.16626666666666665</v>
      </c>
      <c r="BO18" s="499">
        <f t="shared" si="28"/>
        <v>0.13725333333333331</v>
      </c>
      <c r="BP18" s="499">
        <f t="shared" si="28"/>
        <v>2.1533333333333257E-3</v>
      </c>
      <c r="BQ18" s="495" t="s">
        <v>52</v>
      </c>
      <c r="BR18" s="6">
        <f t="shared" si="28"/>
        <v>0.54280187024422666</v>
      </c>
      <c r="BS18" s="6">
        <f t="shared" si="28"/>
        <v>0.45719812975577329</v>
      </c>
      <c r="BT18" s="6">
        <f t="shared" si="28"/>
        <v>-0.29597686154575686</v>
      </c>
      <c r="BU18" s="6">
        <f t="shared" si="28"/>
        <v>0.42138479049666111</v>
      </c>
      <c r="BV18" s="6">
        <f t="shared" si="28"/>
        <v>0.578615209503339</v>
      </c>
      <c r="BW18" s="6">
        <f t="shared" si="28"/>
        <v>-0.4321419890822496</v>
      </c>
      <c r="BX18" s="6" t="s">
        <v>52</v>
      </c>
      <c r="BY18" s="6">
        <f t="shared" si="28"/>
        <v>0.47315702556335365</v>
      </c>
      <c r="BZ18" s="6">
        <f t="shared" si="28"/>
        <v>-0.3707502300066709</v>
      </c>
      <c r="CA18" s="6">
        <f t="shared" si="28"/>
        <v>-0.72679090909090915</v>
      </c>
      <c r="CB18" s="6">
        <f t="shared" si="28"/>
        <v>-0.84575454545454565</v>
      </c>
      <c r="CC18" s="67">
        <f t="shared" si="28"/>
        <v>-0.7235166666666667</v>
      </c>
      <c r="CD18" s="6">
        <f t="shared" si="28"/>
        <v>-0.92494166666666677</v>
      </c>
      <c r="CE18" s="6">
        <f t="shared" si="28"/>
        <v>-0.69450833333333339</v>
      </c>
      <c r="CF18" s="6">
        <f>AVERAGE(CF3:CF17)</f>
        <v>-0.52339166666666659</v>
      </c>
      <c r="CG18" s="7">
        <f t="shared" si="28"/>
        <v>-0.71658958333333322</v>
      </c>
      <c r="CH18" s="6">
        <f>AVERAGE(CH3:CH17)</f>
        <v>10.610566666666667</v>
      </c>
      <c r="CI18" s="6">
        <f>AVERAGE(CI3:CI17)</f>
        <v>-7.5482066666666698</v>
      </c>
      <c r="CJ18" s="6">
        <f>AVERAGE(CJ3:CJ17)</f>
        <v>82.792086666666677</v>
      </c>
      <c r="CK18" s="6">
        <f t="shared" ref="CK18:CR18" si="29">AVERAGE(CK3:CK17)</f>
        <v>76.15361333333334</v>
      </c>
      <c r="CL18" s="6">
        <f t="shared" si="29"/>
        <v>6.6384733333333346</v>
      </c>
      <c r="CM18" s="6">
        <f t="shared" si="29"/>
        <v>89.466066666666663</v>
      </c>
      <c r="CN18" s="6">
        <f t="shared" si="29"/>
        <v>90.375799999999998</v>
      </c>
      <c r="CO18" s="6">
        <f t="shared" si="29"/>
        <v>-0.90973333333333428</v>
      </c>
      <c r="CP18" s="6">
        <f t="shared" si="29"/>
        <v>72.108293333333322</v>
      </c>
      <c r="CQ18" s="6">
        <f t="shared" si="29"/>
        <v>69.491019999999992</v>
      </c>
      <c r="CR18" s="6">
        <f t="shared" si="29"/>
        <v>2.6172733333333342</v>
      </c>
      <c r="CS18" s="6">
        <f t="shared" ref="CS18" si="30">AVERAGE(CS3:CS17)</f>
        <v>86.45162666666667</v>
      </c>
      <c r="CT18" s="6">
        <f t="shared" ref="CT18" si="31">AVERAGE(CT3:CT17)</f>
        <v>73.223786666666669</v>
      </c>
      <c r="CU18" s="6">
        <f t="shared" ref="CU18:CX18" si="32">AVERAGE(CU3:CU17)</f>
        <v>13.227840000000004</v>
      </c>
      <c r="CV18" s="6">
        <f t="shared" si="32"/>
        <v>-5.9385199999999996</v>
      </c>
      <c r="CW18" s="6">
        <f t="shared" si="32"/>
        <v>0.98697333333333337</v>
      </c>
      <c r="CX18" s="6">
        <f t="shared" si="32"/>
        <v>5.2105733333333335</v>
      </c>
      <c r="CY18" s="498">
        <f t="shared" ref="CY18:CZ18" si="33">AVERAGE(CY3:CY17)</f>
        <v>-1.1490220064533332</v>
      </c>
      <c r="CZ18" s="498">
        <f t="shared" si="33"/>
        <v>1.9669566443400002</v>
      </c>
      <c r="DA18" s="498">
        <f t="shared" ref="DA18:DB18" si="34">AVERAGE(DA3:DA17)</f>
        <v>-11.14909333333333</v>
      </c>
      <c r="DB18" s="498">
        <f t="shared" si="34"/>
        <v>-6.9254933333333319</v>
      </c>
      <c r="DD18" s="6">
        <f t="shared" ref="DD18:DW18" si="35">AVERAGE(DD3:DD17)</f>
        <v>7.6019533333333333</v>
      </c>
      <c r="DE18" s="6">
        <f t="shared" si="35"/>
        <v>3.973426666666668</v>
      </c>
      <c r="DF18" s="6">
        <f t="shared" si="35"/>
        <v>6.6676399999999978</v>
      </c>
      <c r="DG18" s="6">
        <f t="shared" si="35"/>
        <v>2.6359400000000006</v>
      </c>
      <c r="DH18" s="6">
        <f t="shared" si="35"/>
        <v>0.54823333333333246</v>
      </c>
      <c r="DI18" s="6">
        <f t="shared" si="35"/>
        <v>0.20598000000000002</v>
      </c>
      <c r="DJ18" s="6">
        <f t="shared" si="35"/>
        <v>-1.0592133333333347</v>
      </c>
      <c r="DK18" s="6">
        <f t="shared" si="35"/>
        <v>-1.0722533333333326</v>
      </c>
      <c r="DL18" s="6">
        <f t="shared" si="35"/>
        <v>2.0184733333333318</v>
      </c>
      <c r="DM18" s="6">
        <f t="shared" si="35"/>
        <v>0.6660333333333327</v>
      </c>
      <c r="DN18" s="6">
        <f t="shared" si="35"/>
        <v>0.84526666666666683</v>
      </c>
      <c r="DO18" s="6">
        <f t="shared" si="35"/>
        <v>1.7334399999999988</v>
      </c>
      <c r="DP18" s="6">
        <f t="shared" si="35"/>
        <v>2.063743333333333</v>
      </c>
      <c r="DQ18" s="6" t="s">
        <v>238</v>
      </c>
      <c r="DR18" s="6">
        <f t="shared" si="35"/>
        <v>1.9333333333333333</v>
      </c>
      <c r="DS18" s="6">
        <f t="shared" si="35"/>
        <v>3.9333333333333331</v>
      </c>
      <c r="DT18" s="6">
        <f t="shared" si="35"/>
        <v>0.26666666666666666</v>
      </c>
      <c r="DU18" s="6">
        <f t="shared" si="35"/>
        <v>6.6666666666666666E-2</v>
      </c>
      <c r="DV18" s="6">
        <f t="shared" si="35"/>
        <v>-2.7333333333333334</v>
      </c>
      <c r="DW18" s="6">
        <f t="shared" si="35"/>
        <v>4.2</v>
      </c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6" t="s">
        <v>238</v>
      </c>
      <c r="ES18" s="5"/>
      <c r="EU18" s="5"/>
      <c r="EV18" s="5"/>
      <c r="FA18" s="6">
        <f>AVERAGE(FA3:FA17)</f>
        <v>0.36807600000000007</v>
      </c>
      <c r="FB18" s="6">
        <f>AVERAGE(FB3:FB17)</f>
        <v>0.39372333333333326</v>
      </c>
      <c r="FC18" s="6">
        <f>AVERAGE(FC3:FC17)</f>
        <v>-2.5647333333333331E-2</v>
      </c>
      <c r="FD18" s="5"/>
      <c r="FE18" s="5"/>
    </row>
    <row r="19" spans="1:161" x14ac:dyDescent="0.2">
      <c r="A19" s="188" t="s">
        <v>53</v>
      </c>
      <c r="B19" s="24">
        <f>STDEV(B3:B17)</f>
        <v>0.24335731240483838</v>
      </c>
      <c r="C19" s="24">
        <f t="shared" ref="C19:AW19" si="36">STDEV(C3:C17)</f>
        <v>0.17489891325513388</v>
      </c>
      <c r="D19" s="24">
        <f t="shared" si="36"/>
        <v>0.25740606716230657</v>
      </c>
      <c r="E19" s="24">
        <f t="shared" si="36"/>
        <v>0.22631578580440093</v>
      </c>
      <c r="F19" s="24">
        <f t="shared" si="36"/>
        <v>0.31089646883815192</v>
      </c>
      <c r="G19" s="24">
        <f t="shared" si="36"/>
        <v>0.21198318479594286</v>
      </c>
      <c r="H19" s="24">
        <f t="shared" si="36"/>
        <v>0.14882271536050856</v>
      </c>
      <c r="I19" s="24">
        <f t="shared" si="36"/>
        <v>0.27563721257610224</v>
      </c>
      <c r="J19" s="24">
        <f t="shared" si="36"/>
        <v>0.34019104600866013</v>
      </c>
      <c r="K19" s="24">
        <f t="shared" si="36"/>
        <v>0.38504270282933362</v>
      </c>
      <c r="L19" s="24">
        <f t="shared" si="36"/>
        <v>0.29072068815276525</v>
      </c>
      <c r="M19" s="24" t="s">
        <v>217</v>
      </c>
      <c r="N19" s="24">
        <f t="shared" si="36"/>
        <v>3.8063230601323439</v>
      </c>
      <c r="O19" s="24">
        <f t="shared" si="36"/>
        <v>6.4361331188695541</v>
      </c>
      <c r="P19" s="24">
        <f t="shared" si="36"/>
        <v>6.872477892358213</v>
      </c>
      <c r="Q19" s="24">
        <f t="shared" si="36"/>
        <v>4.7928518203078809</v>
      </c>
      <c r="R19" s="24">
        <f t="shared" si="36"/>
        <v>6.0586419977700325</v>
      </c>
      <c r="S19" s="24">
        <f t="shared" si="36"/>
        <v>7.1535871787383378</v>
      </c>
      <c r="T19" s="24">
        <f t="shared" si="36"/>
        <v>0.30099148671342385</v>
      </c>
      <c r="U19" s="24">
        <f t="shared" si="36"/>
        <v>0.15781774353554015</v>
      </c>
      <c r="V19" s="24">
        <f t="shared" si="36"/>
        <v>0.160009244996241</v>
      </c>
      <c r="W19" s="24">
        <f t="shared" si="36"/>
        <v>0.20301355956049047</v>
      </c>
      <c r="X19" s="24">
        <f t="shared" si="36"/>
        <v>0.27150695163930932</v>
      </c>
      <c r="Y19" s="24">
        <f t="shared" si="36"/>
        <v>0.2176303761887102</v>
      </c>
      <c r="Z19" s="24">
        <f t="shared" si="36"/>
        <v>0.19461980165157086</v>
      </c>
      <c r="AA19" s="24">
        <f t="shared" si="36"/>
        <v>0.19605130141396976</v>
      </c>
      <c r="AB19" s="24">
        <f t="shared" si="36"/>
        <v>0.17710659999338815</v>
      </c>
      <c r="AC19" s="24">
        <f t="shared" si="36"/>
        <v>0.30446287408934858</v>
      </c>
      <c r="AD19" s="24">
        <f t="shared" si="36"/>
        <v>0.21811634602107779</v>
      </c>
      <c r="AE19" s="24">
        <f t="shared" si="36"/>
        <v>0.1551929129843429</v>
      </c>
      <c r="AF19" s="24">
        <f t="shared" ref="AF19" si="37">STDEV(AF3:AF17)</f>
        <v>0.13828531560871479</v>
      </c>
      <c r="AG19" s="24">
        <f t="shared" si="36"/>
        <v>4.8756105647023853</v>
      </c>
      <c r="AH19" s="24">
        <f t="shared" si="36"/>
        <v>2.3873158257511107</v>
      </c>
      <c r="AI19" s="24">
        <f t="shared" si="36"/>
        <v>4.2352285105887111</v>
      </c>
      <c r="AJ19" s="24">
        <f t="shared" si="36"/>
        <v>4.3570405430039045</v>
      </c>
      <c r="AK19" s="24">
        <f t="shared" si="36"/>
        <v>2.8973405838946089</v>
      </c>
      <c r="AL19" s="24">
        <f t="shared" si="36"/>
        <v>3.7162720301688608</v>
      </c>
      <c r="AM19" s="24">
        <f t="shared" si="36"/>
        <v>2.7183221071001893</v>
      </c>
      <c r="AN19" s="24">
        <f t="shared" si="36"/>
        <v>2.7612044311644208</v>
      </c>
      <c r="AO19" s="24">
        <f t="shared" si="36"/>
        <v>2.8614151358330937</v>
      </c>
      <c r="AP19" s="24">
        <f t="shared" si="36"/>
        <v>3.0196963515590745</v>
      </c>
      <c r="AQ19" s="24">
        <f t="shared" si="36"/>
        <v>2.9805786571794912</v>
      </c>
      <c r="AR19" s="24">
        <f t="shared" si="36"/>
        <v>2.9088426320042622</v>
      </c>
      <c r="AS19" s="261">
        <f t="shared" si="36"/>
        <v>2.856430829368898</v>
      </c>
      <c r="AT19" s="24">
        <f t="shared" ref="AT19" si="38">STDEV(AT3:AT17)</f>
        <v>2.9989119036975409</v>
      </c>
      <c r="AU19" s="24">
        <f t="shared" si="36"/>
        <v>1.1973660383988749</v>
      </c>
      <c r="AV19" s="24">
        <f t="shared" si="36"/>
        <v>12.314821757018771</v>
      </c>
      <c r="AW19" s="24">
        <f t="shared" si="36"/>
        <v>0.89233026380329517</v>
      </c>
      <c r="AX19" s="24">
        <f t="shared" ref="AX19" si="39">STDEV(AX3:AX17)</f>
        <v>0.95495488037993392</v>
      </c>
      <c r="AY19" s="380">
        <f>STDEV(AY3:AY17)</f>
        <v>0.18464124855152672</v>
      </c>
      <c r="AZ19" s="380">
        <f t="shared" ref="AZ19:BG19" si="40">STDEV(AZ3:AZ17)</f>
        <v>0.1359109081434634</v>
      </c>
      <c r="BA19" s="380">
        <f t="shared" si="40"/>
        <v>0.4806021817916114</v>
      </c>
      <c r="BB19" s="380">
        <f t="shared" si="40"/>
        <v>0.21192292332018131</v>
      </c>
      <c r="BC19" s="380">
        <f t="shared" si="40"/>
        <v>0.17359250642154539</v>
      </c>
      <c r="BD19" s="380">
        <f t="shared" si="40"/>
        <v>0.14053262288606905</v>
      </c>
      <c r="BE19" s="380">
        <f t="shared" si="40"/>
        <v>0.32419931141785224</v>
      </c>
      <c r="BF19" s="380">
        <f t="shared" si="40"/>
        <v>0.17174349977302114</v>
      </c>
      <c r="BG19" s="380">
        <f t="shared" si="40"/>
        <v>0.41215222130155937</v>
      </c>
      <c r="BH19" s="161">
        <f t="shared" ref="BH19" si="41">STDEV(BH3:BH17)</f>
        <v>8.2052344283274084E-2</v>
      </c>
      <c r="BI19" s="432" t="s">
        <v>53</v>
      </c>
      <c r="BJ19" s="380">
        <f t="shared" ref="BJ19:BM19" si="42">STDEV(BJ3:BJ17)</f>
        <v>3.4058776592914695E-2</v>
      </c>
      <c r="BK19" s="380">
        <f t="shared" si="42"/>
        <v>3.2547663180456959E-2</v>
      </c>
      <c r="BL19" s="380">
        <f t="shared" si="42"/>
        <v>3.2379858736108422E-2</v>
      </c>
      <c r="BM19" s="380">
        <f t="shared" si="42"/>
        <v>3.0278147906326856E-2</v>
      </c>
      <c r="BN19" s="380">
        <f t="shared" ref="BN19:BP19" si="43">STDEV(BN3:BN17)</f>
        <v>0.29581768677603409</v>
      </c>
      <c r="BO19" s="380">
        <f t="shared" si="43"/>
        <v>0.28240278192343504</v>
      </c>
      <c r="BP19" s="380">
        <f t="shared" si="43"/>
        <v>0.21538869802776384</v>
      </c>
      <c r="BQ19" s="506"/>
      <c r="BR19" s="506">
        <f>STDEV(BR3:BR17)</f>
        <v>0.24570384877431956</v>
      </c>
      <c r="BS19" s="506">
        <f t="shared" ref="BS19:CG19" si="44">STDEV(BS3:BS17)</f>
        <v>0.24570384877431928</v>
      </c>
      <c r="BT19" s="506">
        <f t="shared" si="44"/>
        <v>0.16172466330368429</v>
      </c>
      <c r="BU19" s="506">
        <f t="shared" si="44"/>
        <v>0.21429255091843827</v>
      </c>
      <c r="BV19" s="506">
        <f t="shared" si="44"/>
        <v>0.21429255091843827</v>
      </c>
      <c r="BW19" s="506">
        <f t="shared" si="44"/>
        <v>0.23945529480953823</v>
      </c>
      <c r="BX19" s="506"/>
      <c r="BY19" s="506">
        <f t="shared" si="44"/>
        <v>0.22297547229954964</v>
      </c>
      <c r="BZ19" s="506">
        <f t="shared" si="44"/>
        <v>0.21168846801428912</v>
      </c>
      <c r="CA19" s="506">
        <f t="shared" si="44"/>
        <v>0.54029707653206027</v>
      </c>
      <c r="CB19" s="506">
        <f t="shared" si="44"/>
        <v>0.39625298324084879</v>
      </c>
      <c r="CC19" s="506">
        <f t="shared" si="44"/>
        <v>0.39459045473718313</v>
      </c>
      <c r="CD19" s="506">
        <f t="shared" si="44"/>
        <v>0.47155732411260692</v>
      </c>
      <c r="CE19" s="506">
        <f t="shared" si="44"/>
        <v>0.37081822907612216</v>
      </c>
      <c r="CF19" s="506">
        <f t="shared" si="44"/>
        <v>0.32114940861149865</v>
      </c>
      <c r="CG19" s="506">
        <f t="shared" si="44"/>
        <v>0.36234881635128091</v>
      </c>
      <c r="CH19" s="5">
        <f>STDEV(CH3:CH17)</f>
        <v>8.5626241030978534</v>
      </c>
      <c r="CI19" s="5">
        <f>STDEV(CI3:CI17)</f>
        <v>17.004509285122264</v>
      </c>
      <c r="CJ19" s="5">
        <f>STDEV(CJ3:CJ17)</f>
        <v>11.139700204728818</v>
      </c>
      <c r="CK19" s="5">
        <f t="shared" ref="CK19:CU19" si="45">STDEV(CK3:CK17)</f>
        <v>11.675931992342612</v>
      </c>
      <c r="CL19" s="5">
        <f t="shared" si="45"/>
        <v>9.3067559655389687</v>
      </c>
      <c r="CM19" s="5">
        <f t="shared" si="45"/>
        <v>7.3569928838065985</v>
      </c>
      <c r="CN19" s="5">
        <f t="shared" si="45"/>
        <v>6.6109646644257376</v>
      </c>
      <c r="CO19" s="5">
        <f t="shared" si="45"/>
        <v>9.2738139351514643</v>
      </c>
      <c r="CP19" s="5">
        <f t="shared" si="45"/>
        <v>9.3753121658860525</v>
      </c>
      <c r="CQ19" s="5">
        <f t="shared" si="45"/>
        <v>9.4706177731218659</v>
      </c>
      <c r="CR19" s="5">
        <f t="shared" si="45"/>
        <v>9.6920846018407278</v>
      </c>
      <c r="CS19" s="5">
        <f t="shared" si="45"/>
        <v>16.169069673938189</v>
      </c>
      <c r="CT19" s="5">
        <f t="shared" si="45"/>
        <v>16.040725898112601</v>
      </c>
      <c r="CU19" s="5">
        <f t="shared" si="45"/>
        <v>11.040548926298909</v>
      </c>
      <c r="CV19" s="5">
        <f t="shared" ref="CV19:CX19" si="46">STDEV(CV3:CV17)</f>
        <v>15.855246212000075</v>
      </c>
      <c r="CW19" s="5">
        <f t="shared" si="46"/>
        <v>6.0341660155752939</v>
      </c>
      <c r="CX19" s="5">
        <f t="shared" si="46"/>
        <v>15.909372838158134</v>
      </c>
      <c r="CY19" s="432">
        <f t="shared" ref="CY19:CZ19" si="47">STDEV(CY3:CY17)</f>
        <v>2.1986589899203093</v>
      </c>
      <c r="CZ19" s="432">
        <f t="shared" si="47"/>
        <v>0.7431806917060737</v>
      </c>
      <c r="DA19" s="432">
        <f t="shared" ref="DA19:DB19" si="48">STDEV(DA3:DA17)</f>
        <v>11.529964382640236</v>
      </c>
      <c r="DB19" s="432">
        <f t="shared" si="48"/>
        <v>11.64872540369403</v>
      </c>
      <c r="ER19" s="5" t="s">
        <v>239</v>
      </c>
      <c r="FA19" s="5">
        <f>STDEV(FA3:FA17)</f>
        <v>4.6236848446727832E-2</v>
      </c>
      <c r="FB19" s="5">
        <f>STDEV(FB3:FB17)</f>
        <v>2.7177909271703597E-2</v>
      </c>
      <c r="FC19" s="5">
        <f>STDEV(FC3:FC17)</f>
        <v>4.7764747530649292E-2</v>
      </c>
    </row>
    <row r="20" spans="1:161" x14ac:dyDescent="0.2">
      <c r="A20" s="188" t="s">
        <v>54</v>
      </c>
      <c r="BA20" s="24"/>
      <c r="CI20" s="5" t="s">
        <v>217</v>
      </c>
      <c r="CV20" s="24"/>
      <c r="CW20" s="24" t="s">
        <v>217</v>
      </c>
      <c r="CX20" s="24"/>
      <c r="CY20" s="24"/>
      <c r="CZ20" s="24"/>
      <c r="DA20" s="24"/>
      <c r="DB20" s="24"/>
      <c r="DK20" s="5" t="s">
        <v>661</v>
      </c>
      <c r="DM20" s="5" t="s">
        <v>665</v>
      </c>
      <c r="ER20" s="5" t="s">
        <v>54</v>
      </c>
      <c r="FA20" s="5">
        <f>FA19/SQRT(15)</f>
        <v>1.1938302934352878E-2</v>
      </c>
      <c r="FB20" s="5">
        <f t="shared" ref="FB20:FC20" si="49">FB19/SQRT(15)</f>
        <v>7.0173059996029453E-3</v>
      </c>
      <c r="FC20" s="5">
        <f t="shared" si="49"/>
        <v>1.2332804781467102E-2</v>
      </c>
    </row>
    <row r="21" spans="1:161" x14ac:dyDescent="0.2">
      <c r="A21" s="453" t="s">
        <v>703</v>
      </c>
      <c r="C21" s="452">
        <f>0.05/11</f>
        <v>4.5454545454545461E-3</v>
      </c>
      <c r="AE21" s="5" t="s">
        <v>238</v>
      </c>
      <c r="AF21" s="5">
        <v>-23</v>
      </c>
      <c r="AS21" s="5" t="s">
        <v>238</v>
      </c>
      <c r="BA21" s="452" t="s">
        <v>748</v>
      </c>
      <c r="BG21" s="5" t="s">
        <v>217</v>
      </c>
      <c r="BS21" s="5" t="s">
        <v>518</v>
      </c>
      <c r="CD21" s="5" t="s">
        <v>747</v>
      </c>
      <c r="CE21" s="5" t="s">
        <v>749</v>
      </c>
      <c r="CI21" s="5" t="s">
        <v>217</v>
      </c>
      <c r="CM21" s="5">
        <v>3.4664999999999964</v>
      </c>
      <c r="CN21" s="5">
        <v>9.3446999999999889</v>
      </c>
      <c r="CT21" s="5" t="s">
        <v>217</v>
      </c>
      <c r="CV21" s="24"/>
      <c r="CW21" s="24" t="s">
        <v>217</v>
      </c>
      <c r="CX21" s="24"/>
      <c r="CY21" s="24"/>
      <c r="CZ21" s="24"/>
      <c r="DA21" s="24"/>
      <c r="DB21" s="24"/>
      <c r="DK21" s="5" t="s">
        <v>735</v>
      </c>
      <c r="DL21" s="5" t="s">
        <v>736</v>
      </c>
      <c r="DM21" s="5" t="s">
        <v>737</v>
      </c>
      <c r="DN21" s="5" t="s">
        <v>738</v>
      </c>
      <c r="DO21" s="5" t="s">
        <v>739</v>
      </c>
      <c r="ER21" s="24" t="s">
        <v>441</v>
      </c>
    </row>
    <row r="22" spans="1:161" x14ac:dyDescent="0.2">
      <c r="AE22" s="5" t="s">
        <v>54</v>
      </c>
      <c r="AF22" s="5">
        <v>2.2999999999999998</v>
      </c>
      <c r="AS22" s="5" t="s">
        <v>54</v>
      </c>
      <c r="AX22" s="5" t="s">
        <v>217</v>
      </c>
      <c r="BN22" s="5" t="s">
        <v>217</v>
      </c>
      <c r="BS22" s="5">
        <v>-0.18724261410000009</v>
      </c>
      <c r="BT22" s="5">
        <v>0.34285053935009902</v>
      </c>
      <c r="CD22" s="5">
        <v>0.27103749999999999</v>
      </c>
      <c r="CE22" s="80">
        <v>-0.49</v>
      </c>
      <c r="CM22" s="5">
        <v>15.733200000000004</v>
      </c>
      <c r="CN22" s="5">
        <v>-2.0568999999999988</v>
      </c>
      <c r="DK22" s="5">
        <v>-1.0039172329999999</v>
      </c>
      <c r="DL22" s="5">
        <v>2.4116468750000002</v>
      </c>
      <c r="DM22" s="5">
        <v>-5.5169999999999959</v>
      </c>
      <c r="DN22" s="5">
        <v>3.9198000000000022</v>
      </c>
      <c r="DO22" s="5">
        <v>4.4132000000000033</v>
      </c>
    </row>
    <row r="23" spans="1:161" x14ac:dyDescent="0.2">
      <c r="BN23" s="5" t="s">
        <v>217</v>
      </c>
      <c r="BS23" s="5">
        <v>-0.5019366932999999</v>
      </c>
      <c r="BT23" s="5">
        <v>0.68008520557512098</v>
      </c>
      <c r="CD23" s="5">
        <v>0.25087499999999996</v>
      </c>
      <c r="CE23" s="80">
        <v>-1.2481</v>
      </c>
      <c r="CM23" s="5">
        <v>-3.3194999999999908</v>
      </c>
      <c r="CN23" s="5">
        <v>2.8743000000000052</v>
      </c>
      <c r="DA23" s="5" t="s">
        <v>217</v>
      </c>
      <c r="DK23" s="5">
        <v>-0.81876754659999995</v>
      </c>
      <c r="DL23" s="5">
        <v>2.2282943770000001</v>
      </c>
      <c r="DM23" s="5">
        <v>21.125599999999999</v>
      </c>
      <c r="DN23" s="5">
        <v>21.488700000000001</v>
      </c>
      <c r="DO23" s="5">
        <v>4.7978000000000023</v>
      </c>
    </row>
    <row r="24" spans="1:161" x14ac:dyDescent="0.2">
      <c r="BC24" s="5" t="s">
        <v>217</v>
      </c>
      <c r="BS24" s="5">
        <v>-4.5924070999999955E-2</v>
      </c>
      <c r="BT24" s="5">
        <v>0.58496524932779703</v>
      </c>
      <c r="CD24" s="5">
        <v>0.21802500000000002</v>
      </c>
      <c r="CE24" s="80">
        <v>-0.94927499999999998</v>
      </c>
      <c r="CM24" s="5">
        <v>4.3915000000000077</v>
      </c>
      <c r="CN24" s="5">
        <v>0.92159999999999798</v>
      </c>
      <c r="DK24" s="5">
        <v>1.1231995029999999</v>
      </c>
      <c r="DL24" s="5">
        <v>0.82678924620000005</v>
      </c>
      <c r="DM24" s="5">
        <v>-21.813099999999991</v>
      </c>
      <c r="DN24" s="5">
        <v>-21.1755</v>
      </c>
      <c r="DO24" s="5">
        <v>-8.2383000000000024</v>
      </c>
      <c r="EM24" s="5" t="s">
        <v>217</v>
      </c>
    </row>
    <row r="25" spans="1:161" x14ac:dyDescent="0.2">
      <c r="BS25" s="5">
        <v>-0.28727576049999992</v>
      </c>
      <c r="BT25" s="5">
        <v>0.52075766998189499</v>
      </c>
      <c r="CD25" s="5">
        <v>0.1004625</v>
      </c>
      <c r="CE25" s="80">
        <v>-0.78632499999999994</v>
      </c>
      <c r="CM25" s="5">
        <v>6.8774999999999977</v>
      </c>
      <c r="CN25" s="5">
        <v>-0.79300000000000637</v>
      </c>
      <c r="DK25" s="5">
        <v>1.09176501</v>
      </c>
      <c r="DL25" s="5">
        <v>1.533247435</v>
      </c>
      <c r="DM25" s="5">
        <v>13.501999999999995</v>
      </c>
      <c r="DN25" s="5">
        <v>5.597699999999989</v>
      </c>
      <c r="DO25" s="5">
        <v>2.4493000000000009</v>
      </c>
    </row>
    <row r="26" spans="1:161" x14ac:dyDescent="0.2">
      <c r="AS26" s="5" t="s">
        <v>217</v>
      </c>
      <c r="BS26" s="5">
        <v>-0.43593042500000001</v>
      </c>
      <c r="BT26" s="5">
        <v>0.49595434450718601</v>
      </c>
      <c r="CD26" s="5">
        <v>0.19821249999999996</v>
      </c>
      <c r="CE26" s="80">
        <v>-0.514625</v>
      </c>
      <c r="CM26" s="5">
        <v>16.6434</v>
      </c>
      <c r="CN26" s="5">
        <v>-7.3823000000000008</v>
      </c>
      <c r="DK26" s="5">
        <v>-2.3798406550000002</v>
      </c>
      <c r="DL26" s="5">
        <v>1.6664677139999999</v>
      </c>
      <c r="DM26" s="5">
        <v>3.2862999999999971</v>
      </c>
      <c r="DN26" s="5">
        <v>9.0587000000000018</v>
      </c>
      <c r="DO26" s="5">
        <v>3.9055000000000035</v>
      </c>
    </row>
    <row r="27" spans="1:161" x14ac:dyDescent="0.2">
      <c r="BS27" s="5">
        <v>-0.20431877910000007</v>
      </c>
      <c r="BT27" s="5">
        <v>0.42431398824031497</v>
      </c>
      <c r="CD27" s="5">
        <v>0.12253749999999999</v>
      </c>
      <c r="CE27" s="80">
        <v>-0.32519999999999999</v>
      </c>
      <c r="CM27" s="5">
        <v>14.950200000000009</v>
      </c>
      <c r="CN27" s="5">
        <v>4.3025000000000091</v>
      </c>
      <c r="DK27" s="5">
        <v>-1.717963288</v>
      </c>
      <c r="DL27" s="5">
        <v>2.5532704329999998</v>
      </c>
      <c r="DM27" s="5">
        <v>4.6443000000000012</v>
      </c>
      <c r="DN27" s="5">
        <v>27.499099999999999</v>
      </c>
      <c r="DO27" s="5">
        <v>8.697499999999998</v>
      </c>
    </row>
    <row r="28" spans="1:161" x14ac:dyDescent="0.2">
      <c r="BS28" s="5">
        <v>-0.50966878699999985</v>
      </c>
      <c r="BT28" s="5">
        <v>0.51612506670298508</v>
      </c>
      <c r="CD28" s="5">
        <v>0.34141250000000001</v>
      </c>
      <c r="CE28" s="80">
        <v>-1.2866499999999998</v>
      </c>
      <c r="CM28" s="5">
        <v>-7.586199999999991</v>
      </c>
      <c r="CN28" s="5">
        <v>1.9649999999999892</v>
      </c>
      <c r="DK28" s="5">
        <v>-4.2447475609999996</v>
      </c>
      <c r="DL28" s="5">
        <v>2.0675218860000002</v>
      </c>
      <c r="DM28" s="5">
        <v>-4.1840000000000046</v>
      </c>
      <c r="DN28" s="5">
        <v>21.012999999999998</v>
      </c>
      <c r="DO28" s="5">
        <v>-0.11580000000000013</v>
      </c>
    </row>
    <row r="29" spans="1:161" x14ac:dyDescent="0.2">
      <c r="BS29" s="5">
        <v>-0.16142878100000013</v>
      </c>
      <c r="BT29" s="5">
        <v>-0.2112296365055899</v>
      </c>
      <c r="CD29" s="5">
        <v>0.12515000000000001</v>
      </c>
      <c r="CE29" s="80">
        <v>-0.135875</v>
      </c>
      <c r="CM29" s="5">
        <v>0.22599999999999909</v>
      </c>
      <c r="CN29" s="5">
        <v>0.80799999999999272</v>
      </c>
      <c r="DK29" s="5">
        <v>0.35526945980000002</v>
      </c>
      <c r="DL29" s="5">
        <v>2.0979807309999998</v>
      </c>
      <c r="DM29" s="5">
        <v>-30.012</v>
      </c>
      <c r="DN29" s="5">
        <v>-25.071700000000007</v>
      </c>
      <c r="DO29" s="5">
        <v>-6.9913000000000025</v>
      </c>
    </row>
    <row r="30" spans="1:161" x14ac:dyDescent="0.2">
      <c r="BS30" s="5">
        <v>-0.71777224540000006</v>
      </c>
      <c r="BT30" s="5">
        <v>0.69121263532756894</v>
      </c>
      <c r="CD30" s="5">
        <v>0.23527499999999998</v>
      </c>
      <c r="CE30" s="80">
        <v>-0.58549999999999991</v>
      </c>
      <c r="CM30" s="5">
        <v>11.281499999999994</v>
      </c>
      <c r="CN30" s="5">
        <v>6.9325000000000045</v>
      </c>
      <c r="DK30" s="5">
        <v>0.29598647630000002</v>
      </c>
      <c r="DL30" s="5">
        <v>2.7994683899999999</v>
      </c>
      <c r="DM30" s="5">
        <v>-7.927199999999992</v>
      </c>
      <c r="DN30" s="5">
        <v>-12.792299999999997</v>
      </c>
      <c r="DO30" s="5">
        <v>-2.4674000000000049</v>
      </c>
    </row>
    <row r="31" spans="1:161" x14ac:dyDescent="0.2">
      <c r="BS31" s="5">
        <v>-0.39722959629999999</v>
      </c>
      <c r="BT31" s="5">
        <v>0.56466308941784904</v>
      </c>
      <c r="CD31" s="5">
        <v>0.26931250000000001</v>
      </c>
      <c r="CE31" s="80">
        <v>-0.90754999999999997</v>
      </c>
      <c r="CM31" s="5">
        <v>3.5867000000000075</v>
      </c>
      <c r="CN31" s="5">
        <v>-4.4975000000000023</v>
      </c>
      <c r="DK31" s="5">
        <v>-1.2205032899999999</v>
      </c>
      <c r="DL31" s="5">
        <v>0.71472542989999999</v>
      </c>
      <c r="DM31" s="5">
        <v>-20.339700000000001</v>
      </c>
      <c r="DN31" s="5">
        <v>5.4415000000000049</v>
      </c>
      <c r="DO31" s="5">
        <v>-0.72579999999999956</v>
      </c>
    </row>
    <row r="32" spans="1:161" ht="16" thickBot="1" x14ac:dyDescent="0.25">
      <c r="BS32" s="83">
        <v>-0.38145985199999988</v>
      </c>
      <c r="BT32" s="5">
        <v>0.41948127538827995</v>
      </c>
      <c r="CD32" s="5">
        <v>0.32711250000000003</v>
      </c>
      <c r="CE32" s="80">
        <v>-0.94917499999999999</v>
      </c>
      <c r="CM32" s="5">
        <v>-6.4291999999999945</v>
      </c>
      <c r="CN32" s="5">
        <v>10.557299999999998</v>
      </c>
      <c r="DK32" s="5">
        <v>-0.64642609920000005</v>
      </c>
      <c r="DL32" s="5">
        <v>2.3907675720000001</v>
      </c>
      <c r="DM32" s="5">
        <v>-0.16400000000000148</v>
      </c>
      <c r="DN32" s="5">
        <v>9.9295000000000044</v>
      </c>
      <c r="DO32" s="5">
        <v>0.52480000000000615</v>
      </c>
    </row>
    <row r="33" spans="25:119" x14ac:dyDescent="0.2">
      <c r="CD33" s="5">
        <v>5.837500000000001E-2</v>
      </c>
      <c r="CE33" s="80">
        <v>-0.42079999999999995</v>
      </c>
      <c r="CM33" s="5">
        <v>5.2423000000000002</v>
      </c>
      <c r="CN33" s="5">
        <v>-3.8709999999999951</v>
      </c>
      <c r="DK33" s="5">
        <v>-0.28403142190000003</v>
      </c>
      <c r="DL33" s="5">
        <v>3.3545755779999999</v>
      </c>
      <c r="DM33" s="5">
        <v>-26.815200000000004</v>
      </c>
      <c r="DN33" s="5">
        <v>-6.8597000000000037</v>
      </c>
      <c r="DO33" s="5">
        <v>-8.2340000000000018</v>
      </c>
    </row>
    <row r="34" spans="25:119" x14ac:dyDescent="0.2">
      <c r="CM34" s="5">
        <v>7.9329999999999927</v>
      </c>
      <c r="CN34" s="5">
        <v>-3.9942000000000064</v>
      </c>
      <c r="DK34" s="5">
        <v>-7.1444880209999999</v>
      </c>
      <c r="DL34" s="5">
        <v>1.211425822</v>
      </c>
      <c r="DM34" s="5">
        <v>-9.9556999999999931</v>
      </c>
      <c r="DN34" s="5">
        <v>7.9070000000000036</v>
      </c>
      <c r="DO34" s="5">
        <v>6.0655000000000001</v>
      </c>
    </row>
    <row r="35" spans="25:119" x14ac:dyDescent="0.2">
      <c r="DK35" s="5">
        <v>-1.5982152970000001</v>
      </c>
      <c r="DL35" s="5">
        <v>1.3049201159999999</v>
      </c>
      <c r="DM35" s="5">
        <v>15.659600000000005</v>
      </c>
      <c r="DN35" s="5">
        <v>25.199999999999989</v>
      </c>
      <c r="DO35" s="5">
        <v>12.405799999999999</v>
      </c>
    </row>
    <row r="36" spans="25:119" x14ac:dyDescent="0.2">
      <c r="DK36" s="5">
        <v>0.9573498668</v>
      </c>
      <c r="DL36" s="5">
        <v>2.3432480600000001</v>
      </c>
      <c r="DM36" s="5">
        <v>-20.567699999999995</v>
      </c>
      <c r="DN36" s="5">
        <v>7.0028000000000006</v>
      </c>
      <c r="DO36" s="5">
        <v>-1.6822000000000017</v>
      </c>
    </row>
    <row r="37" spans="25:119" x14ac:dyDescent="0.2">
      <c r="BS37" s="5">
        <v>-0.61093427789612165</v>
      </c>
      <c r="BT37" s="5">
        <v>18.338000000000008</v>
      </c>
    </row>
    <row r="38" spans="25:119" ht="16" thickBot="1" x14ac:dyDescent="0.25">
      <c r="BS38" s="5">
        <v>-0.55745757931526829</v>
      </c>
      <c r="BT38" s="5">
        <v>40.101999999999997</v>
      </c>
      <c r="CH38" s="5">
        <v>-0.49</v>
      </c>
      <c r="CI38" s="5">
        <v>0.27198749999999999</v>
      </c>
    </row>
    <row r="39" spans="25:119" ht="16" thickBot="1" x14ac:dyDescent="0.25">
      <c r="AG39" s="5">
        <v>-0.49</v>
      </c>
      <c r="AH39" s="5">
        <v>0.26898219195833323</v>
      </c>
      <c r="AJ39" s="5">
        <v>-9.9254243641666698E-2</v>
      </c>
      <c r="AK39" s="5">
        <v>-0.49</v>
      </c>
      <c r="AM39" s="5">
        <v>-9.9254243641666698E-2</v>
      </c>
      <c r="AN39" s="80">
        <v>-0.49</v>
      </c>
      <c r="BH39" s="68">
        <v>-1.6873948219999999</v>
      </c>
      <c r="BM39" s="488" t="s">
        <v>707</v>
      </c>
      <c r="BN39" s="6" t="s">
        <v>616</v>
      </c>
      <c r="BS39" s="5">
        <v>-0.2736654055569962</v>
      </c>
      <c r="BT39" s="5">
        <v>2.5339999999999918</v>
      </c>
      <c r="CH39" s="5">
        <v>-1.2481</v>
      </c>
      <c r="CI39" s="5">
        <v>0.22441249999999999</v>
      </c>
    </row>
    <row r="40" spans="25:119" x14ac:dyDescent="0.2">
      <c r="Y40" s="5">
        <v>-0.18724261410000009</v>
      </c>
      <c r="Z40" s="5">
        <v>-0.44040000000000001</v>
      </c>
      <c r="AG40" s="5">
        <v>-1.2481</v>
      </c>
      <c r="AH40" s="5">
        <v>-6.9021049320833328</v>
      </c>
      <c r="AJ40" s="5">
        <v>-0.41111492529166666</v>
      </c>
      <c r="AK40" s="5">
        <v>-1.2481</v>
      </c>
      <c r="AM40" s="5">
        <v>-0.41111492529166666</v>
      </c>
      <c r="AN40" s="80">
        <v>-1.2481</v>
      </c>
      <c r="BH40" s="68">
        <v>-3.3545457519999999</v>
      </c>
      <c r="BM40" s="458">
        <v>2.1629603340000001</v>
      </c>
      <c r="BN40" s="5">
        <v>-0.61093427789612165</v>
      </c>
      <c r="BS40" s="5">
        <v>-0.75487324111787524</v>
      </c>
      <c r="BT40" s="5">
        <v>16.746000000000009</v>
      </c>
      <c r="CH40" s="5">
        <v>-0.94927499999999998</v>
      </c>
      <c r="CI40" s="5">
        <v>0.3112375</v>
      </c>
    </row>
    <row r="41" spans="25:119" x14ac:dyDescent="0.2">
      <c r="Y41" s="5">
        <v>-0.5019366932999999</v>
      </c>
      <c r="Z41" s="5">
        <v>-1.3006</v>
      </c>
      <c r="AG41" s="5">
        <v>-0.94927499999999998</v>
      </c>
      <c r="AH41" s="5">
        <v>-3.1196968114166652</v>
      </c>
      <c r="AJ41" s="5">
        <v>-0.23242651520000002</v>
      </c>
      <c r="AK41" s="5">
        <v>-0.94927499999999998</v>
      </c>
      <c r="AM41" s="5">
        <v>-0.23242651520000002</v>
      </c>
      <c r="AN41" s="80">
        <v>-0.94927499999999998</v>
      </c>
      <c r="BH41" s="68">
        <v>-1.120985176</v>
      </c>
      <c r="BM41" s="458">
        <v>2.9967363599999999</v>
      </c>
      <c r="BN41" s="5">
        <v>-0.55745757931526829</v>
      </c>
      <c r="BS41" s="5">
        <v>-0.23465583167349263</v>
      </c>
      <c r="BT41" s="5">
        <v>20.270499999999998</v>
      </c>
      <c r="CH41" s="5">
        <v>-0.78632499999999994</v>
      </c>
      <c r="CI41" s="5">
        <v>6.9212499999999996E-2</v>
      </c>
    </row>
    <row r="42" spans="25:119" x14ac:dyDescent="0.2">
      <c r="Y42" s="5">
        <v>-4.5924070999999955E-2</v>
      </c>
      <c r="Z42" s="5">
        <v>-0.93149999999999999</v>
      </c>
      <c r="AG42" s="5">
        <v>-0.78632499999999994</v>
      </c>
      <c r="AH42" s="5">
        <v>-5.6751154514583328</v>
      </c>
      <c r="AJ42" s="5">
        <v>-0.3836251586583333</v>
      </c>
      <c r="AK42" s="5">
        <v>-0.78632499999999994</v>
      </c>
      <c r="AM42" s="5">
        <v>-0.3836251586583333</v>
      </c>
      <c r="AN42" s="80">
        <v>-0.78632499999999994</v>
      </c>
      <c r="BH42" s="68">
        <v>-2.6255046279999998</v>
      </c>
      <c r="BM42" s="458">
        <v>0.90737317200000001</v>
      </c>
      <c r="BN42" s="5">
        <v>-0.2736654055569962</v>
      </c>
      <c r="BS42" s="5">
        <v>-0.24312047979872353</v>
      </c>
      <c r="BT42" s="5">
        <v>20.569500000000005</v>
      </c>
      <c r="CH42" s="5">
        <v>-0.514625</v>
      </c>
      <c r="CI42" s="5">
        <v>0.27373749999999997</v>
      </c>
    </row>
    <row r="43" spans="25:119" x14ac:dyDescent="0.2">
      <c r="Y43" s="5">
        <v>-0.28727576049999992</v>
      </c>
      <c r="Z43" s="5">
        <v>-0.72189999999999999</v>
      </c>
      <c r="AG43" s="5">
        <v>-0.514625</v>
      </c>
      <c r="AH43" s="5">
        <v>-4.6097009150833337</v>
      </c>
      <c r="AJ43" s="5">
        <v>-0.32904762548333327</v>
      </c>
      <c r="AK43" s="5">
        <v>-0.514625</v>
      </c>
      <c r="AM43" s="5">
        <v>-0.32904762548333327</v>
      </c>
      <c r="AN43" s="80">
        <v>-0.514625</v>
      </c>
      <c r="BH43" s="68">
        <v>-2.3296673989999999</v>
      </c>
      <c r="BM43" s="458">
        <v>2.8503821199999999</v>
      </c>
      <c r="BN43" s="5">
        <v>-0.75487324111787524</v>
      </c>
      <c r="BS43" s="5">
        <v>-0.37780052304921397</v>
      </c>
      <c r="BT43" s="5">
        <v>16.989199999999997</v>
      </c>
      <c r="CH43" s="5">
        <v>-0.32519999999999999</v>
      </c>
      <c r="CI43" s="5">
        <v>0.16270000000000001</v>
      </c>
    </row>
    <row r="44" spans="25:119" x14ac:dyDescent="0.2">
      <c r="Y44" s="5">
        <v>-0.43593042500000001</v>
      </c>
      <c r="Z44" s="5">
        <v>-0.51639999999999997</v>
      </c>
      <c r="AG44" s="5">
        <v>-0.32519999999999999</v>
      </c>
      <c r="AH44" s="5">
        <v>-1.3627328109999997</v>
      </c>
      <c r="AJ44" s="5">
        <v>-0.11692514228333335</v>
      </c>
      <c r="AK44" s="5">
        <v>-0.32519999999999999</v>
      </c>
      <c r="AM44" s="5">
        <v>-0.11692514228333335</v>
      </c>
      <c r="AN44" s="80">
        <v>-0.32519999999999999</v>
      </c>
      <c r="BH44" s="68">
        <v>-3.0254243939999999</v>
      </c>
      <c r="BM44" s="458">
        <v>9.2598797999999996E-2</v>
      </c>
      <c r="BN44" s="5">
        <v>-0.23465583167349263</v>
      </c>
      <c r="BS44" s="5">
        <v>-0.65423840443474057</v>
      </c>
      <c r="BT44" s="5">
        <v>29.088499999999996</v>
      </c>
      <c r="CH44" s="5">
        <v>-1.2866499999999998</v>
      </c>
      <c r="CI44" s="5">
        <v>0.41080000000000005</v>
      </c>
    </row>
    <row r="45" spans="25:119" x14ac:dyDescent="0.2">
      <c r="Y45" s="5">
        <v>-0.20431877910000007</v>
      </c>
      <c r="Z45" s="5">
        <v>-0.45240000000000002</v>
      </c>
      <c r="AG45" s="5">
        <v>-1.2866499999999998</v>
      </c>
      <c r="AH45" s="5">
        <v>-5.9727024262916677</v>
      </c>
      <c r="AJ45" s="5">
        <v>-0.41991169410000007</v>
      </c>
      <c r="AK45" s="5">
        <v>-1.2866499999999998</v>
      </c>
      <c r="AM45" s="5">
        <v>-0.41991169410000007</v>
      </c>
      <c r="AN45" s="80">
        <v>-1.2866499999999998</v>
      </c>
      <c r="BH45" s="68">
        <v>-1.202560635</v>
      </c>
      <c r="BM45" s="458">
        <v>1.876124694</v>
      </c>
      <c r="BN45" s="5">
        <v>-0.24312047979872353</v>
      </c>
      <c r="BS45" s="5">
        <v>-0.10010428310716545</v>
      </c>
      <c r="BT45" s="5">
        <v>13.823100000000004</v>
      </c>
      <c r="CH45" s="5">
        <v>-0.135875</v>
      </c>
      <c r="CI45" s="5">
        <v>0.10862499999999997</v>
      </c>
    </row>
    <row r="46" spans="25:119" x14ac:dyDescent="0.2">
      <c r="Y46" s="5">
        <v>-0.50966878699999985</v>
      </c>
      <c r="Z46" s="5">
        <v>-1.0966</v>
      </c>
      <c r="AG46" s="5">
        <v>-0.135875</v>
      </c>
      <c r="AH46" s="5">
        <v>2.602587130916667</v>
      </c>
      <c r="AJ46" s="5">
        <v>-9.4174817141666686E-2</v>
      </c>
      <c r="AK46" s="5">
        <v>-0.135875</v>
      </c>
      <c r="AM46" s="5">
        <v>-9.4174817141666686E-2</v>
      </c>
      <c r="AN46" s="80">
        <v>-0.135875</v>
      </c>
      <c r="BH46" s="68">
        <v>-0.80597653049999995</v>
      </c>
      <c r="BM46" s="458">
        <v>2.014571385</v>
      </c>
      <c r="BN46" s="5">
        <v>-0.37780052304921397</v>
      </c>
      <c r="BS46" s="5">
        <v>-0.75245400323065115</v>
      </c>
      <c r="BT46" s="5">
        <v>43.975999999999999</v>
      </c>
      <c r="CH46" s="5">
        <v>-0.58549999999999991</v>
      </c>
      <c r="CI46" s="5">
        <v>0.23316250000000002</v>
      </c>
    </row>
    <row r="47" spans="25:119" x14ac:dyDescent="0.2">
      <c r="Y47" s="5">
        <v>-0.16142878100000013</v>
      </c>
      <c r="Z47" s="5">
        <v>0.12429999999999999</v>
      </c>
      <c r="AG47" s="5">
        <v>-0.58549999999999991</v>
      </c>
      <c r="AH47" s="5">
        <v>-5.0411769950000007</v>
      </c>
      <c r="AJ47" s="5">
        <v>-0.33797002377500002</v>
      </c>
      <c r="AK47" s="5">
        <v>-0.58549999999999991</v>
      </c>
      <c r="AM47" s="5">
        <v>-0.33797002377500002</v>
      </c>
      <c r="AN47" s="80">
        <v>-0.58549999999999991</v>
      </c>
      <c r="BH47" s="68">
        <v>-1.464961551</v>
      </c>
      <c r="BM47" s="458">
        <v>3.3767176779999999</v>
      </c>
      <c r="BN47" s="5">
        <v>-0.65423840443474057</v>
      </c>
      <c r="BS47" s="5">
        <v>-0.19425785072449683</v>
      </c>
      <c r="BT47" s="5">
        <v>15.853999999999999</v>
      </c>
      <c r="CH47" s="5">
        <v>-0.90754999999999997</v>
      </c>
      <c r="CI47" s="5">
        <v>0.32216250000000002</v>
      </c>
    </row>
    <row r="48" spans="25:119" x14ac:dyDescent="0.2">
      <c r="Y48" s="5">
        <v>-0.67649976499999998</v>
      </c>
      <c r="Z48" s="5">
        <v>-0.62849999999999995</v>
      </c>
      <c r="AG48" s="5">
        <v>-0.90754999999999997</v>
      </c>
      <c r="AH48" s="5">
        <v>-5.9257518407083332</v>
      </c>
      <c r="AJ48" s="5">
        <v>-0.39789291295000001</v>
      </c>
      <c r="AK48" s="5">
        <v>-0.90754999999999997</v>
      </c>
      <c r="AM48" s="5">
        <v>-0.39789291295000001</v>
      </c>
      <c r="AN48" s="80">
        <v>-0.90754999999999997</v>
      </c>
      <c r="BH48" s="68">
        <v>-2.4568252099999999</v>
      </c>
      <c r="BM48" s="458">
        <v>1.4126790739999999</v>
      </c>
      <c r="BN48" s="5">
        <v>-0.10010428310716545</v>
      </c>
      <c r="CH48" s="5">
        <v>-0.94917499999999999</v>
      </c>
      <c r="CI48" s="5">
        <v>0.24712500000000001</v>
      </c>
    </row>
    <row r="49" spans="25:87" x14ac:dyDescent="0.2">
      <c r="Y49" s="5">
        <v>-0.71777224540000006</v>
      </c>
      <c r="Z49" s="5">
        <v>-1.1879999999999999</v>
      </c>
      <c r="AG49" s="5">
        <v>-0.94917499999999999</v>
      </c>
      <c r="AH49" s="5">
        <v>-2.4686857832916664</v>
      </c>
      <c r="AJ49" s="5">
        <v>-0.30239417139166663</v>
      </c>
      <c r="AK49" s="5">
        <v>-0.94917499999999999</v>
      </c>
      <c r="AM49" s="5">
        <v>-0.30239417139166663</v>
      </c>
      <c r="AN49" s="80">
        <v>-0.94917499999999999</v>
      </c>
      <c r="BH49" s="68">
        <v>-1.0380202569999999</v>
      </c>
      <c r="BM49" s="458">
        <v>2.9102322150000002</v>
      </c>
      <c r="BN49" s="5">
        <v>-0.75245400323065115</v>
      </c>
      <c r="CH49" s="5">
        <v>-0.42079999999999995</v>
      </c>
      <c r="CI49" s="5">
        <v>0.12858749999999999</v>
      </c>
    </row>
    <row r="50" spans="25:87" x14ac:dyDescent="0.2">
      <c r="Y50" s="5">
        <v>-0.39722959629999999</v>
      </c>
      <c r="Z50" s="5">
        <v>-0.92889999999999995</v>
      </c>
      <c r="AG50" s="5">
        <v>-0.42079999999999995</v>
      </c>
      <c r="AH50" s="5">
        <v>-2.2218676462499993</v>
      </c>
      <c r="AJ50" s="5">
        <v>-8.2652203658333312E-2</v>
      </c>
      <c r="AK50" s="5">
        <v>-0.42079999999999995</v>
      </c>
      <c r="AM50" s="5">
        <v>-8.2652203658333312E-2</v>
      </c>
      <c r="AN50" s="80">
        <v>-0.42079999999999995</v>
      </c>
      <c r="BH50" s="68">
        <v>-2.7068470590000002</v>
      </c>
      <c r="BM50" s="458">
        <v>1.2659854429999999</v>
      </c>
      <c r="BN50" s="5">
        <v>-0.19425785072449683</v>
      </c>
    </row>
    <row r="51" spans="25:87" x14ac:dyDescent="0.2">
      <c r="Y51" s="5">
        <v>-0.38145985199999988</v>
      </c>
      <c r="Z51" s="5">
        <v>-0.60129999999999995</v>
      </c>
      <c r="BH51" s="68">
        <v>-4.1567060470000001</v>
      </c>
    </row>
    <row r="52" spans="25:87" x14ac:dyDescent="0.2">
      <c r="BH52" s="68">
        <v>-4.8432809280000004</v>
      </c>
    </row>
    <row r="53" spans="25:87" x14ac:dyDescent="0.2">
      <c r="BH53" s="68">
        <v>-3.2443840150000001</v>
      </c>
    </row>
  </sheetData>
  <mergeCells count="2">
    <mergeCell ref="AY1:BG1"/>
    <mergeCell ref="BJ1:BM1"/>
  </mergeCells>
  <pageMargins left="0.7" right="0.7" top="0.75" bottom="0.75" header="0.3" footer="0.3"/>
  <ignoredErrors>
    <ignoredError sqref="BH3:BH17 CC18:CF18 AF4:AF17 AT4:AT7 AT8:AT17 CG3:CG8 CG11:CG12 CG14:CG17 DP3:DP17" formulaRange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="80" zoomScaleNormal="80" zoomScalePageLayoutView="80" workbookViewId="0">
      <pane xSplit="1" topLeftCell="E1" activePane="topRight" state="frozen"/>
      <selection pane="topRight" activeCell="F28" sqref="F28"/>
    </sheetView>
  </sheetViews>
  <sheetFormatPr baseColWidth="10" defaultColWidth="8.83203125" defaultRowHeight="15" x14ac:dyDescent="0.2"/>
  <sheetData>
    <row r="1" spans="1:15" ht="16" thickBot="1" x14ac:dyDescent="0.25">
      <c r="A1" s="330"/>
      <c r="B1" t="s">
        <v>753</v>
      </c>
      <c r="D1" t="s">
        <v>753</v>
      </c>
      <c r="E1" t="s">
        <v>584</v>
      </c>
      <c r="F1" t="s">
        <v>754</v>
      </c>
      <c r="G1" t="s">
        <v>794</v>
      </c>
      <c r="I1" t="s">
        <v>779</v>
      </c>
      <c r="L1" t="s">
        <v>780</v>
      </c>
      <c r="M1" s="77" t="s">
        <v>351</v>
      </c>
      <c r="N1" s="77" t="s">
        <v>802</v>
      </c>
      <c r="O1" s="77"/>
    </row>
    <row r="2" spans="1:15" ht="16" thickBot="1" x14ac:dyDescent="0.25">
      <c r="A2" s="94" t="s">
        <v>276</v>
      </c>
      <c r="B2" s="357" t="s">
        <v>334</v>
      </c>
      <c r="C2" s="95" t="s">
        <v>265</v>
      </c>
      <c r="D2" s="150" t="s">
        <v>29</v>
      </c>
      <c r="E2" s="6" t="s">
        <v>29</v>
      </c>
      <c r="F2" s="6" t="s">
        <v>29</v>
      </c>
      <c r="G2" s="527" t="s">
        <v>786</v>
      </c>
      <c r="H2" t="s">
        <v>350</v>
      </c>
      <c r="I2" s="77" t="s">
        <v>786</v>
      </c>
      <c r="J2" t="s">
        <v>798</v>
      </c>
      <c r="K2" t="s">
        <v>799</v>
      </c>
      <c r="L2" s="77" t="s">
        <v>786</v>
      </c>
      <c r="M2" s="77" t="s">
        <v>339</v>
      </c>
      <c r="N2" s="77" t="s">
        <v>444</v>
      </c>
      <c r="O2" s="77" t="s">
        <v>443</v>
      </c>
    </row>
    <row r="3" spans="1:15" x14ac:dyDescent="0.2">
      <c r="A3" s="3" t="s">
        <v>0</v>
      </c>
      <c r="B3" s="358">
        <v>0</v>
      </c>
      <c r="C3" s="154">
        <v>0</v>
      </c>
      <c r="D3" s="144">
        <v>0</v>
      </c>
      <c r="E3" s="21">
        <v>0</v>
      </c>
      <c r="F3">
        <f>AVERAGE(D3:E3)</f>
        <v>0</v>
      </c>
      <c r="G3" s="538">
        <v>7</v>
      </c>
      <c r="H3">
        <v>6</v>
      </c>
      <c r="I3" s="77">
        <v>-8.5</v>
      </c>
      <c r="L3" s="77">
        <v>-9</v>
      </c>
      <c r="M3" s="77">
        <v>-7</v>
      </c>
      <c r="N3" s="77">
        <v>-1</v>
      </c>
      <c r="O3" s="77">
        <v>-2</v>
      </c>
    </row>
    <row r="4" spans="1:15" x14ac:dyDescent="0.2">
      <c r="A4" s="3" t="s">
        <v>1</v>
      </c>
      <c r="B4" s="358">
        <v>16</v>
      </c>
      <c r="C4" s="154">
        <v>2</v>
      </c>
      <c r="D4" s="144">
        <v>0.93</v>
      </c>
      <c r="E4" s="21">
        <v>0.49</v>
      </c>
      <c r="F4">
        <f t="shared" ref="F4:F21" si="0">AVERAGE(D4:E4)</f>
        <v>0.71</v>
      </c>
      <c r="G4" s="538">
        <v>2</v>
      </c>
      <c r="H4">
        <v>8</v>
      </c>
      <c r="I4" s="77">
        <v>-15.5</v>
      </c>
      <c r="J4">
        <v>4</v>
      </c>
      <c r="K4">
        <v>5</v>
      </c>
      <c r="L4" s="77">
        <v>-16.5</v>
      </c>
      <c r="M4" s="77">
        <v>-16</v>
      </c>
      <c r="N4" s="77">
        <v>1</v>
      </c>
      <c r="O4" s="77">
        <v>1</v>
      </c>
    </row>
    <row r="5" spans="1:15" x14ac:dyDescent="0.2">
      <c r="A5" s="3" t="s">
        <v>2</v>
      </c>
      <c r="B5" s="358">
        <v>0</v>
      </c>
      <c r="C5" s="154">
        <v>5</v>
      </c>
      <c r="D5" s="144">
        <v>0.05</v>
      </c>
      <c r="E5" s="21">
        <v>0</v>
      </c>
      <c r="F5">
        <f t="shared" si="0"/>
        <v>2.5000000000000001E-2</v>
      </c>
      <c r="G5" s="538">
        <v>6</v>
      </c>
      <c r="H5">
        <v>7</v>
      </c>
      <c r="I5" s="77">
        <v>-13</v>
      </c>
      <c r="J5">
        <v>1</v>
      </c>
      <c r="K5">
        <v>2</v>
      </c>
      <c r="L5" s="77">
        <v>-12.5</v>
      </c>
      <c r="M5" s="77">
        <v>-13</v>
      </c>
      <c r="N5" s="77">
        <v>-1</v>
      </c>
      <c r="O5" s="77">
        <v>1</v>
      </c>
    </row>
    <row r="6" spans="1:15" x14ac:dyDescent="0.2">
      <c r="A6" s="3" t="s">
        <v>3</v>
      </c>
      <c r="B6" s="358">
        <v>2</v>
      </c>
      <c r="C6" s="154">
        <v>-4</v>
      </c>
      <c r="D6" s="144">
        <v>7.0000000298000006E-2</v>
      </c>
      <c r="E6" s="21">
        <v>0</v>
      </c>
      <c r="F6">
        <f t="shared" si="0"/>
        <v>3.5000000149000003E-2</v>
      </c>
      <c r="G6" s="538">
        <v>1</v>
      </c>
      <c r="H6">
        <v>7</v>
      </c>
      <c r="I6" s="77">
        <v>-18</v>
      </c>
      <c r="J6">
        <v>2</v>
      </c>
      <c r="K6">
        <v>2.5</v>
      </c>
      <c r="L6" s="77">
        <v>-16</v>
      </c>
      <c r="M6" s="77">
        <v>-20</v>
      </c>
      <c r="N6" s="77">
        <v>-1</v>
      </c>
      <c r="O6" s="77">
        <v>0</v>
      </c>
    </row>
    <row r="7" spans="1:15" x14ac:dyDescent="0.2">
      <c r="A7" s="3" t="s">
        <v>4</v>
      </c>
      <c r="B7" s="358">
        <v>1.5</v>
      </c>
      <c r="C7" s="154">
        <v>-1</v>
      </c>
      <c r="D7" s="144">
        <v>0.23000000417200001</v>
      </c>
      <c r="E7" s="21">
        <v>0.15000000599999999</v>
      </c>
      <c r="F7">
        <f t="shared" si="0"/>
        <v>0.19000000508600001</v>
      </c>
      <c r="G7" s="538">
        <v>1</v>
      </c>
      <c r="H7">
        <v>11</v>
      </c>
      <c r="I7" s="77">
        <v>-5</v>
      </c>
      <c r="J7">
        <v>0</v>
      </c>
      <c r="K7">
        <v>1.5</v>
      </c>
      <c r="L7" s="77">
        <v>-7.5</v>
      </c>
      <c r="M7" s="77">
        <v>5</v>
      </c>
      <c r="N7" s="77">
        <v>-1</v>
      </c>
      <c r="O7" s="77">
        <v>-1</v>
      </c>
    </row>
    <row r="8" spans="1:15" x14ac:dyDescent="0.2">
      <c r="A8" s="3" t="s">
        <v>5</v>
      </c>
      <c r="B8" s="358">
        <v>0</v>
      </c>
      <c r="C8" s="154">
        <v>-1</v>
      </c>
      <c r="D8" s="144">
        <v>0.08</v>
      </c>
      <c r="E8" s="21">
        <v>0.12</v>
      </c>
      <c r="F8">
        <f t="shared" si="0"/>
        <v>0.1</v>
      </c>
      <c r="G8" s="538">
        <v>-6</v>
      </c>
      <c r="H8">
        <v>6</v>
      </c>
      <c r="I8" s="77">
        <v>9</v>
      </c>
      <c r="J8">
        <v>1.5</v>
      </c>
      <c r="K8">
        <v>2</v>
      </c>
      <c r="L8" s="77">
        <v>-0.5</v>
      </c>
      <c r="M8" s="77">
        <v>16</v>
      </c>
      <c r="N8" s="77">
        <v>1</v>
      </c>
      <c r="O8" s="77">
        <v>0</v>
      </c>
    </row>
    <row r="9" spans="1:15" x14ac:dyDescent="0.2">
      <c r="A9" s="3" t="s">
        <v>6</v>
      </c>
      <c r="B9" s="358">
        <v>10</v>
      </c>
      <c r="C9" s="154">
        <v>3</v>
      </c>
      <c r="D9" s="144">
        <v>0.8</v>
      </c>
      <c r="E9" s="21">
        <v>0.03</v>
      </c>
      <c r="F9">
        <f t="shared" si="0"/>
        <v>0.41500000000000004</v>
      </c>
      <c r="G9" s="538"/>
      <c r="H9">
        <v>7</v>
      </c>
      <c r="I9" s="77">
        <v>-13.5</v>
      </c>
      <c r="J9">
        <v>1</v>
      </c>
      <c r="K9">
        <v>2</v>
      </c>
      <c r="L9" s="77">
        <v>-14.5</v>
      </c>
      <c r="M9" s="77">
        <v>2</v>
      </c>
      <c r="N9" s="77">
        <v>0</v>
      </c>
      <c r="O9" s="77">
        <v>-1</v>
      </c>
    </row>
    <row r="10" spans="1:15" x14ac:dyDescent="0.2">
      <c r="A10" s="3" t="s">
        <v>8</v>
      </c>
      <c r="B10" s="358">
        <v>6</v>
      </c>
      <c r="C10" s="154">
        <v>0</v>
      </c>
      <c r="D10" s="144">
        <v>0.25</v>
      </c>
      <c r="E10" s="21">
        <v>0.790000021</v>
      </c>
      <c r="F10">
        <f t="shared" si="0"/>
        <v>0.5200000105</v>
      </c>
      <c r="G10" s="538">
        <v>1</v>
      </c>
      <c r="H10">
        <v>7</v>
      </c>
      <c r="I10" s="77">
        <v>-10.5</v>
      </c>
      <c r="J10">
        <v>0.5</v>
      </c>
      <c r="K10">
        <v>3</v>
      </c>
      <c r="L10" s="77">
        <v>-5</v>
      </c>
      <c r="M10" s="77">
        <v>8</v>
      </c>
      <c r="N10" s="77">
        <v>3</v>
      </c>
      <c r="O10" s="77">
        <v>-1</v>
      </c>
    </row>
    <row r="11" spans="1:15" x14ac:dyDescent="0.2">
      <c r="A11" s="3" t="s">
        <v>9</v>
      </c>
      <c r="B11" s="358">
        <v>1</v>
      </c>
      <c r="C11" s="154">
        <v>2</v>
      </c>
      <c r="D11" s="144">
        <v>0</v>
      </c>
      <c r="E11" s="21">
        <v>0</v>
      </c>
      <c r="F11">
        <f t="shared" si="0"/>
        <v>0</v>
      </c>
      <c r="G11" s="538">
        <v>1</v>
      </c>
      <c r="H11">
        <v>2</v>
      </c>
      <c r="I11" s="77">
        <v>-9.5</v>
      </c>
      <c r="J11">
        <v>2</v>
      </c>
      <c r="K11">
        <v>2.5</v>
      </c>
      <c r="L11" s="77">
        <v>-8</v>
      </c>
      <c r="M11" s="77">
        <v>-9</v>
      </c>
      <c r="N11" s="77">
        <v>2</v>
      </c>
      <c r="O11" s="77">
        <v>1</v>
      </c>
    </row>
    <row r="12" spans="1:15" x14ac:dyDescent="0.2">
      <c r="A12" s="3" t="s">
        <v>10</v>
      </c>
      <c r="B12" s="358">
        <v>0</v>
      </c>
      <c r="C12" s="154">
        <v>2</v>
      </c>
      <c r="D12" s="144">
        <v>0.10000000149</v>
      </c>
      <c r="E12" s="21">
        <v>0.119999997</v>
      </c>
      <c r="F12">
        <f t="shared" si="0"/>
        <v>0.10999999924500001</v>
      </c>
      <c r="G12" s="538">
        <v>7</v>
      </c>
      <c r="H12">
        <v>9</v>
      </c>
      <c r="I12" s="77">
        <v>-21</v>
      </c>
      <c r="J12">
        <v>3</v>
      </c>
      <c r="K12">
        <v>5</v>
      </c>
      <c r="L12" s="77">
        <v>-18.5</v>
      </c>
      <c r="M12" s="77">
        <v>-11</v>
      </c>
      <c r="N12" s="77">
        <v>-3</v>
      </c>
      <c r="O12" s="77">
        <v>-2</v>
      </c>
    </row>
    <row r="13" spans="1:15" x14ac:dyDescent="0.2">
      <c r="A13" s="3" t="s">
        <v>11</v>
      </c>
      <c r="B13" s="358">
        <v>0</v>
      </c>
      <c r="C13" s="154">
        <v>0</v>
      </c>
      <c r="D13" s="144">
        <v>0.11</v>
      </c>
      <c r="E13" s="21">
        <v>0</v>
      </c>
      <c r="F13">
        <f t="shared" si="0"/>
        <v>5.5E-2</v>
      </c>
      <c r="G13" s="538">
        <v>2</v>
      </c>
      <c r="H13">
        <v>10</v>
      </c>
      <c r="I13" s="77">
        <v>1</v>
      </c>
      <c r="J13">
        <v>1</v>
      </c>
      <c r="K13">
        <v>2</v>
      </c>
      <c r="L13" s="77">
        <v>-2.5</v>
      </c>
      <c r="M13" s="77">
        <v>-7</v>
      </c>
      <c r="N13" s="77">
        <v>0</v>
      </c>
      <c r="O13" s="77">
        <v>0</v>
      </c>
    </row>
    <row r="14" spans="1:15" x14ac:dyDescent="0.2">
      <c r="A14" s="3" t="s">
        <v>12</v>
      </c>
      <c r="B14" s="358">
        <v>0</v>
      </c>
      <c r="C14" s="154">
        <v>2</v>
      </c>
      <c r="D14" s="144">
        <v>0</v>
      </c>
      <c r="E14" s="21">
        <v>0</v>
      </c>
      <c r="F14">
        <f t="shared" si="0"/>
        <v>0</v>
      </c>
      <c r="G14" s="77"/>
      <c r="H14">
        <v>5</v>
      </c>
      <c r="I14" s="77"/>
      <c r="L14" s="77"/>
      <c r="M14" s="77">
        <v>-9</v>
      </c>
      <c r="N14" s="77"/>
      <c r="O14" s="77"/>
    </row>
    <row r="15" spans="1:15" x14ac:dyDescent="0.2">
      <c r="A15" s="3" t="s">
        <v>13</v>
      </c>
      <c r="B15" s="358">
        <v>16.5</v>
      </c>
      <c r="C15" s="154">
        <v>1</v>
      </c>
      <c r="D15" s="144">
        <v>1</v>
      </c>
      <c r="E15" s="21">
        <v>0</v>
      </c>
      <c r="F15">
        <f t="shared" si="0"/>
        <v>0.5</v>
      </c>
      <c r="G15" s="77">
        <v>4</v>
      </c>
      <c r="H15">
        <v>6</v>
      </c>
      <c r="I15" s="77">
        <v>-9</v>
      </c>
      <c r="J15">
        <v>2</v>
      </c>
      <c r="K15">
        <v>3</v>
      </c>
      <c r="L15" s="77">
        <v>-8</v>
      </c>
      <c r="M15" s="77">
        <v>-7</v>
      </c>
      <c r="N15" s="77">
        <v>1</v>
      </c>
      <c r="O15" s="77">
        <v>4</v>
      </c>
    </row>
    <row r="16" spans="1:15" x14ac:dyDescent="0.2">
      <c r="A16" s="3" t="s">
        <v>14</v>
      </c>
      <c r="B16" s="358">
        <v>3</v>
      </c>
      <c r="C16" s="154">
        <v>4</v>
      </c>
      <c r="D16" s="144">
        <v>0.119999997318</v>
      </c>
      <c r="E16" s="21">
        <v>3.9999999000000001E-2</v>
      </c>
      <c r="F16">
        <f t="shared" si="0"/>
        <v>7.9999998158999996E-2</v>
      </c>
      <c r="G16" s="538">
        <v>7</v>
      </c>
      <c r="H16">
        <v>8</v>
      </c>
      <c r="I16" s="77">
        <v>-11.5</v>
      </c>
      <c r="J16">
        <v>2</v>
      </c>
      <c r="K16">
        <v>2.5</v>
      </c>
      <c r="L16" s="77">
        <v>-9</v>
      </c>
      <c r="M16" s="77">
        <v>-9</v>
      </c>
      <c r="N16" s="77">
        <v>-4</v>
      </c>
      <c r="O16" s="77">
        <v>-2</v>
      </c>
    </row>
    <row r="17" spans="1:15" x14ac:dyDescent="0.2">
      <c r="A17" s="3" t="s">
        <v>15</v>
      </c>
      <c r="B17" s="358">
        <v>10</v>
      </c>
      <c r="C17" s="154">
        <v>0</v>
      </c>
      <c r="D17" s="144">
        <v>0.83999997377400004</v>
      </c>
      <c r="E17" s="21">
        <v>0.560000002</v>
      </c>
      <c r="F17">
        <f t="shared" si="0"/>
        <v>0.69999998788700002</v>
      </c>
      <c r="G17" s="538">
        <v>-9</v>
      </c>
      <c r="H17">
        <v>10</v>
      </c>
      <c r="I17" s="77">
        <v>5</v>
      </c>
      <c r="J17">
        <v>2</v>
      </c>
      <c r="K17">
        <v>3</v>
      </c>
      <c r="L17" s="77">
        <v>3.5</v>
      </c>
      <c r="M17" s="77">
        <v>0</v>
      </c>
      <c r="N17" s="77">
        <v>4</v>
      </c>
      <c r="O17" s="77">
        <v>2</v>
      </c>
    </row>
    <row r="18" spans="1:15" x14ac:dyDescent="0.2">
      <c r="A18" s="3" t="s">
        <v>16</v>
      </c>
      <c r="B18" s="358">
        <v>20</v>
      </c>
      <c r="C18" s="154">
        <v>4</v>
      </c>
      <c r="D18" s="144">
        <v>1</v>
      </c>
      <c r="E18" s="21">
        <v>0.50999998999999996</v>
      </c>
      <c r="F18">
        <f t="shared" si="0"/>
        <v>0.75499999499999992</v>
      </c>
      <c r="G18" s="538">
        <v>-8</v>
      </c>
      <c r="H18">
        <v>8</v>
      </c>
      <c r="I18" s="77">
        <v>-13</v>
      </c>
      <c r="J18">
        <v>4</v>
      </c>
      <c r="K18">
        <v>6</v>
      </c>
      <c r="L18" s="77">
        <v>-9.5</v>
      </c>
      <c r="M18" s="77">
        <v>-3</v>
      </c>
      <c r="N18" s="77">
        <v>0</v>
      </c>
      <c r="O18" s="77">
        <v>0</v>
      </c>
    </row>
    <row r="19" spans="1:15" x14ac:dyDescent="0.2">
      <c r="A19" s="3" t="s">
        <v>17</v>
      </c>
      <c r="B19" s="358">
        <v>10.5</v>
      </c>
      <c r="C19" s="154">
        <v>7</v>
      </c>
      <c r="D19" s="144">
        <v>0.83999997377400004</v>
      </c>
      <c r="E19" s="21">
        <v>0</v>
      </c>
      <c r="F19">
        <f t="shared" si="0"/>
        <v>0.41999998688700002</v>
      </c>
      <c r="G19" s="538">
        <v>11</v>
      </c>
      <c r="H19">
        <v>11</v>
      </c>
      <c r="I19" s="77">
        <v>-9</v>
      </c>
      <c r="J19">
        <v>1</v>
      </c>
      <c r="K19">
        <v>2</v>
      </c>
      <c r="L19" s="77">
        <v>-6</v>
      </c>
      <c r="M19" s="77">
        <v>-7</v>
      </c>
      <c r="N19" s="77">
        <v>1</v>
      </c>
      <c r="O19" s="77">
        <v>5</v>
      </c>
    </row>
    <row r="20" spans="1:15" x14ac:dyDescent="0.2">
      <c r="A20" s="3" t="s">
        <v>18</v>
      </c>
      <c r="B20" s="358">
        <v>16.5</v>
      </c>
      <c r="C20" s="154">
        <v>3</v>
      </c>
      <c r="D20" s="144">
        <v>0.94</v>
      </c>
      <c r="E20" s="21">
        <v>0.48</v>
      </c>
      <c r="F20">
        <f t="shared" si="0"/>
        <v>0.71</v>
      </c>
      <c r="G20" s="538">
        <v>5</v>
      </c>
      <c r="H20">
        <v>4</v>
      </c>
      <c r="I20" s="77">
        <v>-6</v>
      </c>
      <c r="J20">
        <v>3</v>
      </c>
      <c r="K20">
        <v>4</v>
      </c>
      <c r="L20" s="77">
        <v>-4.5</v>
      </c>
      <c r="M20" s="77">
        <v>4</v>
      </c>
      <c r="N20" s="77">
        <v>-2</v>
      </c>
      <c r="O20" s="77">
        <v>1</v>
      </c>
    </row>
    <row r="21" spans="1:15" x14ac:dyDescent="0.2">
      <c r="A21" s="3" t="s">
        <v>19</v>
      </c>
      <c r="B21" s="358">
        <v>11</v>
      </c>
      <c r="C21" s="154">
        <v>3</v>
      </c>
      <c r="D21" s="144">
        <v>0.58999997377400004</v>
      </c>
      <c r="E21" s="21">
        <v>0.28999999165500001</v>
      </c>
      <c r="F21">
        <f t="shared" si="0"/>
        <v>0.43999998271450003</v>
      </c>
      <c r="G21" s="538">
        <v>-2</v>
      </c>
      <c r="H21">
        <v>8</v>
      </c>
      <c r="I21" s="77">
        <v>-4</v>
      </c>
      <c r="J21">
        <v>0.5</v>
      </c>
      <c r="K21">
        <v>1</v>
      </c>
      <c r="L21" s="77">
        <v>0</v>
      </c>
      <c r="M21" s="537">
        <v>4</v>
      </c>
      <c r="N21" s="537">
        <v>8</v>
      </c>
      <c r="O21" s="537">
        <v>0</v>
      </c>
    </row>
    <row r="22" spans="1:15" s="513" customFormat="1" x14ac:dyDescent="0.2">
      <c r="A22" s="536" t="s">
        <v>238</v>
      </c>
      <c r="B22" s="513">
        <f>AVERAGE(B3:B21)</f>
        <v>6.5263157894736841</v>
      </c>
      <c r="C22" s="513">
        <f t="shared" ref="C22:F22" si="1">AVERAGE(C3:C21)</f>
        <v>1.6842105263157894</v>
      </c>
      <c r="D22" s="513">
        <f t="shared" si="1"/>
        <v>0.41842104866315794</v>
      </c>
      <c r="E22" s="513">
        <f t="shared" si="1"/>
        <v>0.18842105298184211</v>
      </c>
      <c r="F22" s="513">
        <f t="shared" si="1"/>
        <v>0.30342105082250004</v>
      </c>
      <c r="G22" s="513">
        <f>AVERAGE(G3:G21)</f>
        <v>1.7647058823529411</v>
      </c>
      <c r="H22" s="513">
        <f t="shared" ref="H22" si="2">AVERAGE(H3:H21)</f>
        <v>7.3684210526315788</v>
      </c>
      <c r="I22" s="513">
        <f t="shared" ref="I22" si="3">AVERAGE(I3:I21)</f>
        <v>-8.4444444444444446</v>
      </c>
      <c r="J22" s="513">
        <f t="shared" ref="J22" si="4">AVERAGE(J3:J21)</f>
        <v>1.7941176470588236</v>
      </c>
      <c r="K22" s="513">
        <f>AVERAGE(K3:K21)</f>
        <v>2.8823529411764706</v>
      </c>
      <c r="L22" s="513">
        <f>AVERAGE(L3:L21)</f>
        <v>-8</v>
      </c>
      <c r="M22" s="513">
        <f>AVERAGE(M3:M21)</f>
        <v>-4.1578947368421053</v>
      </c>
      <c r="N22" s="513">
        <f>AVERAGE(N3:N21)</f>
        <v>0.44444444444444442</v>
      </c>
      <c r="O22" s="513">
        <f>AVERAGE(O3:O21)</f>
        <v>0.33333333333333331</v>
      </c>
    </row>
    <row r="23" spans="1:15" x14ac:dyDescent="0.2">
      <c r="L23" t="s">
        <v>217</v>
      </c>
    </row>
    <row r="24" spans="1:15" x14ac:dyDescent="0.2">
      <c r="E24" t="s">
        <v>217</v>
      </c>
    </row>
  </sheetData>
  <pageMargins left="0.7" right="0.7" top="0.75" bottom="0.75" header="0.3" footer="0.3"/>
  <ignoredErrors>
    <ignoredError sqref="F3:F21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G27"/>
  <sheetViews>
    <sheetView tabSelected="1" zoomScale="80" zoomScaleNormal="80" zoomScalePageLayoutView="80" workbookViewId="0">
      <pane xSplit="1" topLeftCell="BK1" activePane="topRight" state="frozen"/>
      <selection pane="topRight" activeCell="CA27" sqref="CA27"/>
    </sheetView>
  </sheetViews>
  <sheetFormatPr baseColWidth="10" defaultColWidth="8.83203125" defaultRowHeight="15" x14ac:dyDescent="0.2"/>
  <cols>
    <col min="2" max="3" width="8.83203125" style="18"/>
    <col min="4" max="9" width="8.83203125" style="292"/>
    <col min="10" max="10" width="8.83203125" style="520"/>
    <col min="13" max="15" width="8.83203125" style="18"/>
    <col min="16" max="16" width="8.83203125" style="292"/>
    <col min="19" max="21" width="8.83203125" style="18"/>
    <col min="22" max="22" width="8.83203125" style="292"/>
    <col min="25" max="27" width="8.83203125" style="18"/>
    <col min="28" max="28" width="8.83203125" style="292"/>
    <col min="31" max="33" width="8.83203125" style="18"/>
    <col min="34" max="34" width="8.83203125" style="292"/>
    <col min="37" max="38" width="8.83203125" style="18"/>
    <col min="39" max="39" width="12.33203125" style="18" bestFit="1" customWidth="1"/>
    <col min="43" max="45" width="8.83203125" style="18"/>
    <col min="49" max="51" width="8.83203125" style="18"/>
    <col min="55" max="57" width="8.83203125" style="18"/>
    <col min="61" max="63" width="8.83203125" style="18"/>
    <col min="67" max="69" width="8.83203125" style="18"/>
    <col min="73" max="75" width="8.83203125" style="18"/>
    <col min="79" max="80" width="8.83203125" style="18"/>
    <col min="81" max="81" width="8.83203125" style="87"/>
  </cols>
  <sheetData>
    <row r="2" spans="1:85" x14ac:dyDescent="0.2">
      <c r="B2" s="18" t="s">
        <v>217</v>
      </c>
      <c r="F2" s="292" t="s">
        <v>801</v>
      </c>
      <c r="K2" s="563" t="s">
        <v>779</v>
      </c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Z2" s="564"/>
      <c r="AA2" s="564"/>
      <c r="AB2" s="564"/>
      <c r="AC2" s="564"/>
      <c r="AD2" s="564"/>
      <c r="AE2" s="564"/>
      <c r="AF2" s="564"/>
      <c r="AG2" s="564"/>
      <c r="AH2" s="565"/>
      <c r="AI2" s="566" t="s">
        <v>780</v>
      </c>
      <c r="AJ2" s="567"/>
      <c r="AK2" s="567"/>
      <c r="AL2" s="567"/>
      <c r="AM2" s="567"/>
      <c r="AN2" s="567"/>
      <c r="AO2" s="567"/>
      <c r="AP2" s="567"/>
      <c r="AQ2" s="567"/>
      <c r="AR2" s="567"/>
      <c r="AS2" s="567"/>
      <c r="AT2" s="567"/>
      <c r="AU2" s="567"/>
      <c r="AV2" s="567"/>
      <c r="AW2" s="567"/>
      <c r="AX2" s="567"/>
      <c r="AY2" s="567"/>
      <c r="AZ2" s="567"/>
      <c r="BA2" s="567"/>
      <c r="BB2" s="567"/>
      <c r="BC2" s="567"/>
      <c r="BD2" s="567"/>
      <c r="BE2" s="567"/>
      <c r="BF2" s="568"/>
      <c r="BG2" s="569" t="s">
        <v>781</v>
      </c>
      <c r="BH2" s="570"/>
      <c r="BI2" s="570"/>
      <c r="BJ2" s="570"/>
      <c r="BK2" s="570"/>
      <c r="BL2" s="570"/>
      <c r="BM2" s="570"/>
      <c r="BN2" s="570"/>
      <c r="BO2" s="570"/>
      <c r="BP2" s="570"/>
      <c r="BQ2" s="570"/>
      <c r="BR2" s="570"/>
      <c r="BS2" s="570"/>
      <c r="BT2" s="570"/>
      <c r="BU2" s="570"/>
      <c r="BV2" s="570"/>
      <c r="BW2" s="570"/>
      <c r="BX2" s="570"/>
      <c r="BY2" s="570"/>
      <c r="BZ2" s="570"/>
      <c r="CA2" s="570"/>
      <c r="CB2" s="570"/>
      <c r="CC2" s="570"/>
      <c r="CD2" s="571"/>
    </row>
    <row r="3" spans="1:85" s="513" customFormat="1" x14ac:dyDescent="0.2">
      <c r="D3" s="514"/>
      <c r="E3" s="514"/>
      <c r="F3" s="514"/>
      <c r="G3" s="514"/>
      <c r="H3" s="514"/>
      <c r="I3" s="514"/>
      <c r="J3" s="521"/>
      <c r="K3" s="513" t="s">
        <v>775</v>
      </c>
      <c r="P3" s="514"/>
      <c r="Q3" s="513" t="s">
        <v>776</v>
      </c>
      <c r="V3" s="514"/>
      <c r="W3" s="513" t="s">
        <v>777</v>
      </c>
      <c r="AB3" s="514"/>
      <c r="AC3" s="513" t="s">
        <v>778</v>
      </c>
      <c r="AH3" s="514"/>
      <c r="AI3" s="513" t="s">
        <v>775</v>
      </c>
      <c r="AN3" s="514"/>
      <c r="AO3" s="513" t="s">
        <v>776</v>
      </c>
      <c r="AT3" s="514"/>
      <c r="AU3" s="513" t="s">
        <v>777</v>
      </c>
      <c r="AZ3" s="514"/>
      <c r="BA3" s="513" t="s">
        <v>778</v>
      </c>
      <c r="BF3" s="514"/>
      <c r="BG3" s="513" t="s">
        <v>782</v>
      </c>
      <c r="BL3" s="514"/>
      <c r="BM3" s="513" t="s">
        <v>783</v>
      </c>
      <c r="BR3" s="514"/>
      <c r="BS3" s="513" t="s">
        <v>784</v>
      </c>
      <c r="BX3" s="514"/>
      <c r="BY3" s="513" t="s">
        <v>785</v>
      </c>
      <c r="CC3" s="518"/>
      <c r="CD3" s="514"/>
    </row>
    <row r="4" spans="1:85" s="513" customFormat="1" x14ac:dyDescent="0.2">
      <c r="A4" s="512" t="s">
        <v>276</v>
      </c>
      <c r="B4" s="513" t="s">
        <v>686</v>
      </c>
      <c r="C4" s="515" t="s">
        <v>442</v>
      </c>
      <c r="D4" s="514" t="s">
        <v>772</v>
      </c>
      <c r="E4" s="514" t="s">
        <v>799</v>
      </c>
      <c r="F4" s="514" t="s">
        <v>800</v>
      </c>
      <c r="G4" s="514" t="s">
        <v>798</v>
      </c>
      <c r="H4" s="514" t="s">
        <v>800</v>
      </c>
      <c r="I4" s="514" t="s">
        <v>795</v>
      </c>
      <c r="J4" s="526" t="s">
        <v>788</v>
      </c>
      <c r="K4" s="513" t="s">
        <v>773</v>
      </c>
      <c r="L4" s="513" t="s">
        <v>774</v>
      </c>
      <c r="M4" s="513" t="s">
        <v>55</v>
      </c>
      <c r="N4" s="513" t="s">
        <v>651</v>
      </c>
      <c r="O4" s="513" t="s">
        <v>786</v>
      </c>
      <c r="P4" s="514" t="s">
        <v>787</v>
      </c>
      <c r="Q4" s="513" t="s">
        <v>773</v>
      </c>
      <c r="R4" s="513" t="s">
        <v>774</v>
      </c>
      <c r="S4" s="513" t="s">
        <v>55</v>
      </c>
      <c r="T4" s="513" t="s">
        <v>651</v>
      </c>
      <c r="U4" s="513" t="s">
        <v>786</v>
      </c>
      <c r="V4" s="514" t="s">
        <v>787</v>
      </c>
      <c r="W4" s="513" t="s">
        <v>773</v>
      </c>
      <c r="X4" s="513" t="s">
        <v>774</v>
      </c>
      <c r="Y4" s="513" t="s">
        <v>55</v>
      </c>
      <c r="Z4" s="513" t="s">
        <v>651</v>
      </c>
      <c r="AA4" s="513" t="s">
        <v>786</v>
      </c>
      <c r="AB4" s="514" t="s">
        <v>787</v>
      </c>
      <c r="AC4" s="513" t="s">
        <v>773</v>
      </c>
      <c r="AD4" s="513" t="s">
        <v>774</v>
      </c>
      <c r="AE4" s="513" t="s">
        <v>55</v>
      </c>
      <c r="AF4" s="513" t="s">
        <v>651</v>
      </c>
      <c r="AG4" s="513" t="s">
        <v>786</v>
      </c>
      <c r="AH4" s="514" t="s">
        <v>787</v>
      </c>
      <c r="AI4" s="513" t="s">
        <v>773</v>
      </c>
      <c r="AJ4" s="513" t="s">
        <v>774</v>
      </c>
      <c r="AK4" s="513" t="s">
        <v>55</v>
      </c>
      <c r="AL4" s="513" t="s">
        <v>651</v>
      </c>
      <c r="AM4" s="513" t="s">
        <v>786</v>
      </c>
      <c r="AN4" s="514" t="s">
        <v>787</v>
      </c>
      <c r="AO4" s="513" t="s">
        <v>773</v>
      </c>
      <c r="AP4" s="513" t="s">
        <v>774</v>
      </c>
      <c r="AQ4" s="513" t="s">
        <v>55</v>
      </c>
      <c r="AR4" s="513" t="s">
        <v>651</v>
      </c>
      <c r="AS4" s="513" t="s">
        <v>786</v>
      </c>
      <c r="AT4" s="514" t="s">
        <v>787</v>
      </c>
      <c r="AU4" s="513" t="s">
        <v>773</v>
      </c>
      <c r="AV4" s="513" t="s">
        <v>774</v>
      </c>
      <c r="AW4" s="513" t="s">
        <v>55</v>
      </c>
      <c r="AX4" s="513" t="s">
        <v>651</v>
      </c>
      <c r="AY4" s="513" t="s">
        <v>786</v>
      </c>
      <c r="AZ4" s="514" t="s">
        <v>787</v>
      </c>
      <c r="BA4" s="513" t="s">
        <v>773</v>
      </c>
      <c r="BB4" s="513" t="s">
        <v>774</v>
      </c>
      <c r="BC4" s="513" t="s">
        <v>55</v>
      </c>
      <c r="BD4" s="513" t="s">
        <v>651</v>
      </c>
      <c r="BE4" s="513" t="s">
        <v>786</v>
      </c>
      <c r="BF4" s="514" t="s">
        <v>787</v>
      </c>
      <c r="BG4" s="513" t="s">
        <v>773</v>
      </c>
      <c r="BH4" s="513" t="s">
        <v>774</v>
      </c>
      <c r="BI4" s="513" t="s">
        <v>55</v>
      </c>
      <c r="BJ4" s="513" t="s">
        <v>651</v>
      </c>
      <c r="BK4" s="513" t="s">
        <v>786</v>
      </c>
      <c r="BL4" s="514" t="s">
        <v>787</v>
      </c>
      <c r="BM4" s="513" t="s">
        <v>773</v>
      </c>
      <c r="BN4" s="513" t="s">
        <v>774</v>
      </c>
      <c r="BO4" s="513" t="s">
        <v>55</v>
      </c>
      <c r="BP4" s="513" t="s">
        <v>651</v>
      </c>
      <c r="BQ4" s="513" t="s">
        <v>786</v>
      </c>
      <c r="BR4" s="514" t="s">
        <v>787</v>
      </c>
      <c r="BS4" s="513" t="s">
        <v>773</v>
      </c>
      <c r="BT4" s="513" t="s">
        <v>774</v>
      </c>
      <c r="BU4" s="513" t="s">
        <v>55</v>
      </c>
      <c r="BV4" s="513" t="s">
        <v>651</v>
      </c>
      <c r="BW4" s="513" t="s">
        <v>786</v>
      </c>
      <c r="BX4" s="514" t="s">
        <v>787</v>
      </c>
      <c r="BY4" s="513" t="s">
        <v>773</v>
      </c>
      <c r="BZ4" s="513" t="s">
        <v>774</v>
      </c>
      <c r="CA4" s="513" t="s">
        <v>55</v>
      </c>
      <c r="CB4" s="513" t="s">
        <v>651</v>
      </c>
      <c r="CC4" s="527" t="s">
        <v>786</v>
      </c>
      <c r="CD4" s="514" t="s">
        <v>787</v>
      </c>
      <c r="CF4" s="513" t="s">
        <v>55</v>
      </c>
      <c r="CG4" s="513" t="s">
        <v>651</v>
      </c>
    </row>
    <row r="5" spans="1:85" x14ac:dyDescent="0.2">
      <c r="A5" s="170" t="s">
        <v>0</v>
      </c>
      <c r="B5" s="18">
        <v>1</v>
      </c>
      <c r="C5" s="24">
        <v>1</v>
      </c>
      <c r="D5" s="294">
        <v>1</v>
      </c>
      <c r="E5" s="294"/>
      <c r="F5" s="294">
        <v>5.5</v>
      </c>
      <c r="G5" s="294"/>
      <c r="H5" s="294">
        <v>6.52</v>
      </c>
      <c r="I5" s="294" t="s">
        <v>797</v>
      </c>
      <c r="J5" s="522" t="s">
        <v>789</v>
      </c>
      <c r="K5">
        <v>12</v>
      </c>
      <c r="L5">
        <v>20.5</v>
      </c>
      <c r="M5" s="18">
        <v>12</v>
      </c>
      <c r="N5" s="24">
        <v>20.5</v>
      </c>
      <c r="O5" s="18">
        <f>K5-L5</f>
        <v>-8.5</v>
      </c>
      <c r="P5" s="292">
        <f t="shared" ref="P5:P22" si="0">K5-L5</f>
        <v>-8.5</v>
      </c>
      <c r="Q5" s="24">
        <v>6</v>
      </c>
      <c r="R5" s="24">
        <v>3</v>
      </c>
      <c r="S5" s="24"/>
      <c r="T5" s="24"/>
      <c r="U5" s="24">
        <f>Q5-R5</f>
        <v>3</v>
      </c>
      <c r="V5" s="292">
        <f t="shared" ref="V5:V22" si="1">Q5-R5</f>
        <v>3</v>
      </c>
      <c r="W5">
        <v>2</v>
      </c>
      <c r="X5">
        <v>3</v>
      </c>
      <c r="AA5" s="18">
        <f>W5-X5</f>
        <v>-1</v>
      </c>
      <c r="AB5" s="292">
        <f t="shared" ref="AB5:AB22" si="2">W5-X5</f>
        <v>-1</v>
      </c>
      <c r="AC5">
        <v>8</v>
      </c>
      <c r="AD5">
        <v>6</v>
      </c>
      <c r="AG5" s="18">
        <f>AC5-AD5</f>
        <v>2</v>
      </c>
      <c r="AH5" s="292">
        <f t="shared" ref="AH5:AH22" si="3">AC5-AD5</f>
        <v>2</v>
      </c>
      <c r="AI5" s="18">
        <v>12.5</v>
      </c>
      <c r="AJ5" s="24">
        <v>21.5</v>
      </c>
      <c r="AK5" s="24">
        <v>12.5</v>
      </c>
      <c r="AL5" s="24">
        <v>21.5</v>
      </c>
      <c r="AM5" s="24">
        <f>AK5-AL5</f>
        <v>-9</v>
      </c>
      <c r="AN5" s="292">
        <f t="shared" ref="AN5:AN22" si="4">AI5-AJ5</f>
        <v>-9</v>
      </c>
      <c r="AO5" s="18">
        <v>3</v>
      </c>
      <c r="AP5" s="24">
        <v>1</v>
      </c>
      <c r="AQ5" s="24"/>
      <c r="AR5" s="24"/>
      <c r="AS5" s="24">
        <f>AO5-AP5</f>
        <v>2</v>
      </c>
      <c r="AT5" s="292">
        <f t="shared" ref="AT5:AT22" si="5">AO5-AP5</f>
        <v>2</v>
      </c>
      <c r="AU5" s="18">
        <v>3</v>
      </c>
      <c r="AV5" s="24">
        <v>3</v>
      </c>
      <c r="AW5" s="24"/>
      <c r="AX5" s="24"/>
      <c r="AY5" s="24">
        <f>AU5-AV5</f>
        <v>0</v>
      </c>
      <c r="AZ5" s="292">
        <f t="shared" ref="AZ5:AZ22" si="6">AU5-AV5</f>
        <v>0</v>
      </c>
      <c r="BA5" s="18">
        <v>6</v>
      </c>
      <c r="BB5" s="24">
        <v>4</v>
      </c>
      <c r="BC5" s="24"/>
      <c r="BD5" s="24"/>
      <c r="BE5" s="24">
        <f>BA5-BB5</f>
        <v>2</v>
      </c>
      <c r="BF5" s="292">
        <f t="shared" ref="BF5:BF22" si="7">BA5-BB5</f>
        <v>2</v>
      </c>
      <c r="BG5" s="18">
        <v>5</v>
      </c>
      <c r="BH5" s="24">
        <v>0</v>
      </c>
      <c r="BI5" s="24"/>
      <c r="BJ5" s="24"/>
      <c r="BK5" s="24">
        <f>BG5-BH5</f>
        <v>5</v>
      </c>
      <c r="BL5" s="292">
        <f t="shared" ref="BL5:BL10" si="8">BG5-BH5</f>
        <v>5</v>
      </c>
      <c r="BM5" s="18">
        <v>6</v>
      </c>
      <c r="BN5" s="24">
        <v>0</v>
      </c>
      <c r="BO5" s="24"/>
      <c r="BP5" s="24"/>
      <c r="BQ5" s="24">
        <f>BM5-BN5</f>
        <v>6</v>
      </c>
      <c r="BR5" s="292">
        <f t="shared" ref="BR5:BR10" si="9">BM5-BN5</f>
        <v>6</v>
      </c>
      <c r="BS5" s="18">
        <v>2</v>
      </c>
      <c r="BT5" s="24">
        <v>0</v>
      </c>
      <c r="BU5" s="24"/>
      <c r="BV5" s="24"/>
      <c r="BW5" s="24">
        <f>BS5-BT5</f>
        <v>2</v>
      </c>
      <c r="BX5" s="292">
        <f t="shared" ref="BX5:BX10" si="10">BS5-BT5</f>
        <v>2</v>
      </c>
      <c r="BY5" s="18">
        <v>7</v>
      </c>
      <c r="BZ5" s="24">
        <v>0</v>
      </c>
      <c r="CA5" s="24">
        <v>7</v>
      </c>
      <c r="CB5" s="24">
        <v>0</v>
      </c>
      <c r="CC5" s="519">
        <f>CA5-CB5</f>
        <v>7</v>
      </c>
      <c r="CD5" s="292">
        <f t="shared" ref="CD5:CD10" si="11">BY5-BZ5</f>
        <v>7</v>
      </c>
      <c r="CF5" s="24">
        <v>7</v>
      </c>
      <c r="CG5" s="24">
        <v>0</v>
      </c>
    </row>
    <row r="6" spans="1:85" x14ac:dyDescent="0.2">
      <c r="A6" s="3" t="s">
        <v>1</v>
      </c>
      <c r="B6" s="18">
        <v>2</v>
      </c>
      <c r="C6" s="5">
        <v>2</v>
      </c>
      <c r="D6" s="5">
        <v>1</v>
      </c>
      <c r="E6" s="24">
        <v>5</v>
      </c>
      <c r="F6" s="24">
        <v>6</v>
      </c>
      <c r="G6" s="24">
        <v>4</v>
      </c>
      <c r="H6" s="24">
        <v>6.46</v>
      </c>
      <c r="I6" s="5"/>
      <c r="J6" s="523" t="s">
        <v>790</v>
      </c>
      <c r="K6">
        <v>22.5</v>
      </c>
      <c r="L6">
        <v>7</v>
      </c>
      <c r="M6" s="18">
        <v>7</v>
      </c>
      <c r="N6" s="24">
        <v>22.5</v>
      </c>
      <c r="O6" s="18">
        <f>L6-K6</f>
        <v>-15.5</v>
      </c>
      <c r="P6" s="292">
        <f t="shared" si="0"/>
        <v>15.5</v>
      </c>
      <c r="Q6">
        <v>3</v>
      </c>
      <c r="R6">
        <v>0</v>
      </c>
      <c r="U6" s="18">
        <f>R6-Q6</f>
        <v>-3</v>
      </c>
      <c r="V6" s="292">
        <f t="shared" si="1"/>
        <v>3</v>
      </c>
      <c r="W6">
        <v>1</v>
      </c>
      <c r="X6">
        <v>1</v>
      </c>
      <c r="AA6" s="18">
        <f>X6-W6</f>
        <v>0</v>
      </c>
      <c r="AB6" s="292">
        <f t="shared" si="2"/>
        <v>0</v>
      </c>
      <c r="AC6">
        <v>4</v>
      </c>
      <c r="AD6">
        <v>1</v>
      </c>
      <c r="AG6" s="18">
        <f>AD6-AC6</f>
        <v>-3</v>
      </c>
      <c r="AH6" s="292">
        <f t="shared" si="3"/>
        <v>3</v>
      </c>
      <c r="AI6" s="18">
        <v>23.5</v>
      </c>
      <c r="AJ6" s="24">
        <v>7</v>
      </c>
      <c r="AK6" s="24">
        <v>7</v>
      </c>
      <c r="AL6" s="24">
        <v>23.5</v>
      </c>
      <c r="AM6" s="24">
        <f t="shared" ref="AM6:AM22" si="12">AK6-AL6</f>
        <v>-16.5</v>
      </c>
      <c r="AN6" s="292">
        <f t="shared" si="4"/>
        <v>16.5</v>
      </c>
      <c r="AO6" s="18">
        <v>4</v>
      </c>
      <c r="AP6" s="24">
        <v>3</v>
      </c>
      <c r="AQ6" s="24"/>
      <c r="AR6" s="24"/>
      <c r="AS6" s="24">
        <f>AP6-AO6</f>
        <v>-1</v>
      </c>
      <c r="AT6" s="292">
        <f t="shared" si="5"/>
        <v>1</v>
      </c>
      <c r="AU6" s="18">
        <v>1</v>
      </c>
      <c r="AV6" s="24">
        <v>3</v>
      </c>
      <c r="AW6" s="24"/>
      <c r="AX6" s="24"/>
      <c r="AY6" s="24">
        <f>AV6-AU6</f>
        <v>2</v>
      </c>
      <c r="AZ6" s="292">
        <f t="shared" si="6"/>
        <v>-2</v>
      </c>
      <c r="BA6" s="18">
        <v>5</v>
      </c>
      <c r="BB6" s="24">
        <v>6</v>
      </c>
      <c r="BC6" s="24"/>
      <c r="BD6" s="24"/>
      <c r="BE6" s="24">
        <f>BB6-BA6</f>
        <v>1</v>
      </c>
      <c r="BF6" s="292">
        <f t="shared" si="7"/>
        <v>-1</v>
      </c>
      <c r="BG6" s="18">
        <v>11</v>
      </c>
      <c r="BH6" s="24">
        <v>8</v>
      </c>
      <c r="BI6" s="24"/>
      <c r="BJ6" s="24"/>
      <c r="BK6" s="24">
        <f>BH6-BG6</f>
        <v>-3</v>
      </c>
      <c r="BL6" s="292">
        <f t="shared" si="8"/>
        <v>3</v>
      </c>
      <c r="BM6" s="18">
        <v>8</v>
      </c>
      <c r="BN6" s="24">
        <v>15</v>
      </c>
      <c r="BO6" s="24"/>
      <c r="BP6" s="24"/>
      <c r="BQ6" s="24">
        <f>BN6-BM6</f>
        <v>7</v>
      </c>
      <c r="BR6" s="292">
        <f t="shared" si="9"/>
        <v>-7</v>
      </c>
      <c r="BS6" s="18">
        <v>6</v>
      </c>
      <c r="BT6" s="24">
        <v>11</v>
      </c>
      <c r="BU6" s="24"/>
      <c r="BV6" s="24"/>
      <c r="BW6" s="24">
        <f>BT6-BS6</f>
        <v>5</v>
      </c>
      <c r="BX6" s="292">
        <f t="shared" si="10"/>
        <v>-5</v>
      </c>
      <c r="BY6" s="18">
        <v>17</v>
      </c>
      <c r="BZ6" s="24">
        <v>19</v>
      </c>
      <c r="CA6" s="24">
        <v>19</v>
      </c>
      <c r="CB6" s="24">
        <v>17</v>
      </c>
      <c r="CC6" s="519">
        <f t="shared" ref="CC6:CC22" si="13">CA6-CB6</f>
        <v>2</v>
      </c>
      <c r="CD6" s="292">
        <f t="shared" si="11"/>
        <v>-2</v>
      </c>
      <c r="CF6" s="24">
        <v>19</v>
      </c>
      <c r="CG6" s="24">
        <v>17</v>
      </c>
    </row>
    <row r="7" spans="1:85" x14ac:dyDescent="0.2">
      <c r="A7" s="3" t="s">
        <v>2</v>
      </c>
      <c r="B7" s="18">
        <v>3</v>
      </c>
      <c r="C7" s="5">
        <v>1</v>
      </c>
      <c r="D7" s="292">
        <v>2</v>
      </c>
      <c r="E7" s="292">
        <v>2</v>
      </c>
      <c r="F7" s="292">
        <v>5.52</v>
      </c>
      <c r="G7" s="292">
        <v>1</v>
      </c>
      <c r="H7" s="292">
        <v>6.59</v>
      </c>
      <c r="J7" s="520" t="s">
        <v>791</v>
      </c>
      <c r="K7">
        <v>16</v>
      </c>
      <c r="L7">
        <v>3</v>
      </c>
      <c r="M7" s="18">
        <v>3</v>
      </c>
      <c r="N7" s="24">
        <v>16</v>
      </c>
      <c r="O7" s="18">
        <f>L7-K7</f>
        <v>-13</v>
      </c>
      <c r="P7" s="292">
        <f t="shared" si="0"/>
        <v>13</v>
      </c>
      <c r="Q7">
        <v>4</v>
      </c>
      <c r="R7">
        <v>0</v>
      </c>
      <c r="U7" s="18">
        <f>R7-Q7</f>
        <v>-4</v>
      </c>
      <c r="V7" s="292">
        <f t="shared" si="1"/>
        <v>4</v>
      </c>
      <c r="W7">
        <v>10</v>
      </c>
      <c r="X7">
        <v>0</v>
      </c>
      <c r="AA7" s="18">
        <f>X7-W7</f>
        <v>-10</v>
      </c>
      <c r="AB7" s="292">
        <f t="shared" si="2"/>
        <v>10</v>
      </c>
      <c r="AC7">
        <v>14</v>
      </c>
      <c r="AD7">
        <v>0</v>
      </c>
      <c r="AG7" s="18">
        <f>AD7-AC7</f>
        <v>-14</v>
      </c>
      <c r="AH7" s="292">
        <f t="shared" si="3"/>
        <v>14</v>
      </c>
      <c r="AI7" s="18">
        <v>14.5</v>
      </c>
      <c r="AJ7" s="24">
        <v>2</v>
      </c>
      <c r="AK7" s="24">
        <v>2</v>
      </c>
      <c r="AL7" s="24">
        <v>14.5</v>
      </c>
      <c r="AM7" s="24">
        <f t="shared" si="12"/>
        <v>-12.5</v>
      </c>
      <c r="AN7" s="292">
        <f t="shared" si="4"/>
        <v>12.5</v>
      </c>
      <c r="AO7" s="18">
        <v>6</v>
      </c>
      <c r="AP7" s="24">
        <v>0</v>
      </c>
      <c r="AQ7" s="24"/>
      <c r="AR7" s="24"/>
      <c r="AS7" s="24">
        <f>AP7-AO7</f>
        <v>-6</v>
      </c>
      <c r="AT7" s="292">
        <f t="shared" si="5"/>
        <v>6</v>
      </c>
      <c r="AU7" s="18">
        <v>10</v>
      </c>
      <c r="AV7" s="24">
        <v>3</v>
      </c>
      <c r="AW7" s="24"/>
      <c r="AX7" s="24"/>
      <c r="AY7" s="24">
        <f>AV7-AU7</f>
        <v>-7</v>
      </c>
      <c r="AZ7" s="292">
        <f t="shared" si="6"/>
        <v>7</v>
      </c>
      <c r="BA7" s="18">
        <v>16</v>
      </c>
      <c r="BB7" s="24">
        <v>3</v>
      </c>
      <c r="BC7" s="24"/>
      <c r="BD7" s="24"/>
      <c r="BE7" s="24">
        <f>BB7-BA7</f>
        <v>-13</v>
      </c>
      <c r="BF7" s="292">
        <f t="shared" si="7"/>
        <v>13</v>
      </c>
      <c r="BG7" s="18">
        <v>10</v>
      </c>
      <c r="BH7" s="24">
        <v>5</v>
      </c>
      <c r="BI7" s="24"/>
      <c r="BJ7" s="24"/>
      <c r="BK7" s="24">
        <f>BH7-BG7</f>
        <v>-5</v>
      </c>
      <c r="BL7" s="292">
        <f t="shared" si="8"/>
        <v>5</v>
      </c>
      <c r="BM7" s="18">
        <v>10</v>
      </c>
      <c r="BN7" s="24">
        <v>13</v>
      </c>
      <c r="BO7" s="24"/>
      <c r="BP7" s="24"/>
      <c r="BQ7" s="24">
        <f>BN7-BM7</f>
        <v>3</v>
      </c>
      <c r="BR7" s="292">
        <f t="shared" si="9"/>
        <v>-3</v>
      </c>
      <c r="BS7" s="18">
        <v>3</v>
      </c>
      <c r="BT7" s="24">
        <v>14</v>
      </c>
      <c r="BU7" s="24"/>
      <c r="BV7" s="24"/>
      <c r="BW7" s="24">
        <f>BT7-BS7</f>
        <v>11</v>
      </c>
      <c r="BX7" s="292">
        <f t="shared" si="10"/>
        <v>-11</v>
      </c>
      <c r="BY7" s="18">
        <v>13</v>
      </c>
      <c r="BZ7" s="24">
        <v>19</v>
      </c>
      <c r="CA7" s="24">
        <v>19</v>
      </c>
      <c r="CB7" s="24">
        <v>13</v>
      </c>
      <c r="CC7" s="519">
        <f t="shared" si="13"/>
        <v>6</v>
      </c>
      <c r="CD7" s="292">
        <f t="shared" si="11"/>
        <v>-6</v>
      </c>
      <c r="CF7" s="24">
        <v>19</v>
      </c>
      <c r="CG7" s="24">
        <v>13</v>
      </c>
    </row>
    <row r="8" spans="1:85" x14ac:dyDescent="0.2">
      <c r="A8" s="170" t="s">
        <v>3</v>
      </c>
      <c r="B8" s="18">
        <v>4</v>
      </c>
      <c r="C8" s="24">
        <v>2</v>
      </c>
      <c r="D8" s="292">
        <v>2</v>
      </c>
      <c r="E8" s="292">
        <v>2.5</v>
      </c>
      <c r="F8" s="292">
        <v>5.2</v>
      </c>
      <c r="G8" s="292">
        <v>2</v>
      </c>
      <c r="H8" s="292">
        <v>6.3</v>
      </c>
      <c r="J8" s="520" t="s">
        <v>792</v>
      </c>
      <c r="K8">
        <v>3</v>
      </c>
      <c r="L8">
        <v>21</v>
      </c>
      <c r="M8" s="18">
        <v>3</v>
      </c>
      <c r="N8" s="24">
        <v>21</v>
      </c>
      <c r="O8" s="18">
        <v>-18</v>
      </c>
      <c r="P8" s="292">
        <f t="shared" si="0"/>
        <v>-18</v>
      </c>
      <c r="Q8">
        <v>0</v>
      </c>
      <c r="R8">
        <v>1</v>
      </c>
      <c r="U8" s="18">
        <v>-1</v>
      </c>
      <c r="V8" s="292">
        <f t="shared" si="1"/>
        <v>-1</v>
      </c>
      <c r="W8">
        <v>2</v>
      </c>
      <c r="X8">
        <v>2</v>
      </c>
      <c r="AA8" s="18">
        <f>X8-W8</f>
        <v>0</v>
      </c>
      <c r="AB8" s="292">
        <f t="shared" si="2"/>
        <v>0</v>
      </c>
      <c r="AC8">
        <v>2</v>
      </c>
      <c r="AD8">
        <v>3</v>
      </c>
      <c r="AG8" s="18">
        <v>-1</v>
      </c>
      <c r="AH8" s="292">
        <f t="shared" si="3"/>
        <v>-1</v>
      </c>
      <c r="AI8" s="18">
        <v>3</v>
      </c>
      <c r="AJ8" s="24">
        <v>19</v>
      </c>
      <c r="AK8" s="24">
        <v>3</v>
      </c>
      <c r="AL8" s="24">
        <v>19</v>
      </c>
      <c r="AM8" s="24">
        <f t="shared" si="12"/>
        <v>-16</v>
      </c>
      <c r="AN8" s="292">
        <f t="shared" si="4"/>
        <v>-16</v>
      </c>
      <c r="AO8" s="18">
        <v>0</v>
      </c>
      <c r="AP8" s="24">
        <v>2</v>
      </c>
      <c r="AQ8" s="24"/>
      <c r="AR8" s="24"/>
      <c r="AS8" s="24">
        <v>-2</v>
      </c>
      <c r="AT8" s="292">
        <f t="shared" si="5"/>
        <v>-2</v>
      </c>
      <c r="AU8" s="18">
        <v>1</v>
      </c>
      <c r="AV8" s="24">
        <v>1</v>
      </c>
      <c r="AW8" s="24"/>
      <c r="AX8" s="24"/>
      <c r="AY8" s="24">
        <f>AV8-AU8</f>
        <v>0</v>
      </c>
      <c r="AZ8" s="292">
        <f t="shared" si="6"/>
        <v>0</v>
      </c>
      <c r="BA8" s="18">
        <v>1</v>
      </c>
      <c r="BB8" s="24">
        <v>3</v>
      </c>
      <c r="BC8" s="24"/>
      <c r="BD8" s="24"/>
      <c r="BE8" s="24">
        <v>-2</v>
      </c>
      <c r="BF8" s="292">
        <f t="shared" si="7"/>
        <v>-2</v>
      </c>
      <c r="BG8" s="18">
        <v>11</v>
      </c>
      <c r="BH8" s="24">
        <v>15</v>
      </c>
      <c r="BI8" s="24"/>
      <c r="BJ8" s="24"/>
      <c r="BK8" s="24">
        <v>-4</v>
      </c>
      <c r="BL8" s="292">
        <f t="shared" si="8"/>
        <v>-4</v>
      </c>
      <c r="BM8" s="18">
        <v>10</v>
      </c>
      <c r="BN8" s="24">
        <v>13</v>
      </c>
      <c r="BO8" s="24"/>
      <c r="BP8" s="24"/>
      <c r="BQ8" s="24">
        <v>-3</v>
      </c>
      <c r="BR8" s="292">
        <f t="shared" si="9"/>
        <v>-3</v>
      </c>
      <c r="BS8" s="39">
        <v>6</v>
      </c>
      <c r="BT8" s="24">
        <v>3</v>
      </c>
      <c r="BU8" s="24"/>
      <c r="BV8" s="24"/>
      <c r="BW8" s="24">
        <v>3</v>
      </c>
      <c r="BX8" s="292">
        <f t="shared" si="10"/>
        <v>3</v>
      </c>
      <c r="BY8" s="18">
        <v>17</v>
      </c>
      <c r="BZ8" s="24">
        <v>18</v>
      </c>
      <c r="CA8" s="24">
        <v>18</v>
      </c>
      <c r="CB8" s="24">
        <v>17</v>
      </c>
      <c r="CC8" s="519">
        <f t="shared" si="13"/>
        <v>1</v>
      </c>
      <c r="CD8" s="292">
        <f t="shared" si="11"/>
        <v>-1</v>
      </c>
      <c r="CF8" s="24">
        <v>18</v>
      </c>
      <c r="CG8" s="24">
        <v>17</v>
      </c>
    </row>
    <row r="9" spans="1:85" x14ac:dyDescent="0.2">
      <c r="A9" s="170" t="s">
        <v>4</v>
      </c>
      <c r="B9" s="18">
        <v>5</v>
      </c>
      <c r="C9" s="5">
        <v>1</v>
      </c>
      <c r="D9" s="292">
        <v>1</v>
      </c>
      <c r="E9" s="292">
        <v>1.5</v>
      </c>
      <c r="F9" s="292">
        <v>5.5</v>
      </c>
      <c r="G9" s="292">
        <v>0</v>
      </c>
      <c r="H9" s="292">
        <v>6.47</v>
      </c>
      <c r="J9" s="520" t="s">
        <v>789</v>
      </c>
      <c r="K9">
        <v>23.5</v>
      </c>
      <c r="L9">
        <v>28.5</v>
      </c>
      <c r="M9" s="18">
        <v>23.5</v>
      </c>
      <c r="N9" s="24">
        <v>28.5</v>
      </c>
      <c r="O9" s="18">
        <f>K9-L9</f>
        <v>-5</v>
      </c>
      <c r="P9" s="292">
        <f t="shared" si="0"/>
        <v>-5</v>
      </c>
      <c r="Q9">
        <v>3</v>
      </c>
      <c r="R9">
        <v>0</v>
      </c>
      <c r="U9" s="18">
        <f>Q9-R9</f>
        <v>3</v>
      </c>
      <c r="V9" s="292">
        <f t="shared" si="1"/>
        <v>3</v>
      </c>
      <c r="W9">
        <v>3</v>
      </c>
      <c r="X9">
        <v>3</v>
      </c>
      <c r="AA9" s="18">
        <f>W9-X9</f>
        <v>0</v>
      </c>
      <c r="AB9" s="292">
        <f t="shared" si="2"/>
        <v>0</v>
      </c>
      <c r="AC9">
        <v>6</v>
      </c>
      <c r="AD9">
        <v>3</v>
      </c>
      <c r="AG9" s="18">
        <f>AC9-AD9</f>
        <v>3</v>
      </c>
      <c r="AH9" s="292">
        <f t="shared" si="3"/>
        <v>3</v>
      </c>
      <c r="AI9" s="18">
        <v>22.5</v>
      </c>
      <c r="AJ9" s="24">
        <v>30</v>
      </c>
      <c r="AK9" s="24">
        <v>22.5</v>
      </c>
      <c r="AL9" s="24">
        <v>30</v>
      </c>
      <c r="AM9" s="24">
        <f t="shared" si="12"/>
        <v>-7.5</v>
      </c>
      <c r="AN9" s="292">
        <f t="shared" si="4"/>
        <v>-7.5</v>
      </c>
      <c r="AO9" s="18">
        <v>3</v>
      </c>
      <c r="AP9" s="24">
        <v>2</v>
      </c>
      <c r="AQ9" s="24"/>
      <c r="AR9" s="24"/>
      <c r="AS9" s="18">
        <f>AO9-AP9</f>
        <v>1</v>
      </c>
      <c r="AT9" s="292">
        <f t="shared" si="5"/>
        <v>1</v>
      </c>
      <c r="AU9" s="18">
        <v>3</v>
      </c>
      <c r="AV9" s="24">
        <v>2</v>
      </c>
      <c r="AW9" s="24"/>
      <c r="AX9" s="24"/>
      <c r="AY9" s="18">
        <f>AU9-AV9</f>
        <v>1</v>
      </c>
      <c r="AZ9" s="292">
        <f t="shared" si="6"/>
        <v>1</v>
      </c>
      <c r="BA9" s="18">
        <v>6</v>
      </c>
      <c r="BB9" s="24">
        <v>4</v>
      </c>
      <c r="BC9" s="24"/>
      <c r="BD9" s="24"/>
      <c r="BE9" s="18">
        <f>BA9-BB9</f>
        <v>2</v>
      </c>
      <c r="BF9" s="292">
        <f t="shared" si="7"/>
        <v>2</v>
      </c>
      <c r="BG9" s="18">
        <v>5</v>
      </c>
      <c r="BH9" s="24">
        <v>9</v>
      </c>
      <c r="BI9" s="24"/>
      <c r="BJ9" s="24"/>
      <c r="BK9" s="18">
        <f>BG9-BH9</f>
        <v>-4</v>
      </c>
      <c r="BL9" s="292">
        <f t="shared" si="8"/>
        <v>-4</v>
      </c>
      <c r="BM9" s="18">
        <v>7</v>
      </c>
      <c r="BN9" s="24">
        <v>9</v>
      </c>
      <c r="BO9" s="24"/>
      <c r="BP9" s="24"/>
      <c r="BQ9" s="18">
        <f>BM9-BN9</f>
        <v>-2</v>
      </c>
      <c r="BR9" s="292">
        <f t="shared" si="9"/>
        <v>-2</v>
      </c>
      <c r="BS9" s="18">
        <v>9</v>
      </c>
      <c r="BT9" s="24">
        <v>4</v>
      </c>
      <c r="BU9" s="24"/>
      <c r="BV9" s="24"/>
      <c r="BW9" s="18">
        <f>BS9-BT9</f>
        <v>5</v>
      </c>
      <c r="BX9" s="292">
        <f t="shared" si="10"/>
        <v>5</v>
      </c>
      <c r="BY9" s="18">
        <v>14</v>
      </c>
      <c r="BZ9" s="24">
        <v>13</v>
      </c>
      <c r="CA9" s="24">
        <v>14</v>
      </c>
      <c r="CB9" s="24">
        <v>13</v>
      </c>
      <c r="CC9" s="519">
        <f t="shared" si="13"/>
        <v>1</v>
      </c>
      <c r="CD9" s="292">
        <f t="shared" si="11"/>
        <v>1</v>
      </c>
      <c r="CF9" s="24">
        <v>14</v>
      </c>
      <c r="CG9" s="24">
        <v>13</v>
      </c>
    </row>
    <row r="10" spans="1:85" x14ac:dyDescent="0.2">
      <c r="A10" s="531" t="s">
        <v>5</v>
      </c>
      <c r="B10" s="18">
        <v>6</v>
      </c>
      <c r="C10" s="5">
        <v>2</v>
      </c>
      <c r="D10" s="292">
        <v>1</v>
      </c>
      <c r="E10" s="292">
        <v>2</v>
      </c>
      <c r="F10" s="292">
        <v>5.3</v>
      </c>
      <c r="G10" s="292">
        <v>1.5</v>
      </c>
      <c r="H10" s="292">
        <v>6.49</v>
      </c>
      <c r="I10" s="292" t="s">
        <v>796</v>
      </c>
      <c r="J10" s="528" t="s">
        <v>790</v>
      </c>
      <c r="K10">
        <v>19</v>
      </c>
      <c r="L10">
        <v>28</v>
      </c>
      <c r="M10" s="18">
        <v>28</v>
      </c>
      <c r="N10" s="24">
        <v>19</v>
      </c>
      <c r="O10" s="18">
        <f>L10-K10</f>
        <v>9</v>
      </c>
      <c r="P10" s="292">
        <f t="shared" si="0"/>
        <v>-9</v>
      </c>
      <c r="Q10">
        <v>3</v>
      </c>
      <c r="R10">
        <v>1</v>
      </c>
      <c r="U10" s="18">
        <f>R10-Q10</f>
        <v>-2</v>
      </c>
      <c r="V10" s="292">
        <f t="shared" si="1"/>
        <v>2</v>
      </c>
      <c r="W10">
        <v>1</v>
      </c>
      <c r="X10">
        <v>0</v>
      </c>
      <c r="AA10" s="18">
        <f>X10-W10</f>
        <v>-1</v>
      </c>
      <c r="AB10" s="292">
        <f t="shared" si="2"/>
        <v>1</v>
      </c>
      <c r="AC10">
        <v>4</v>
      </c>
      <c r="AD10">
        <v>1</v>
      </c>
      <c r="AG10" s="18">
        <f>AD10-AC10</f>
        <v>-3</v>
      </c>
      <c r="AH10" s="292">
        <f t="shared" si="3"/>
        <v>3</v>
      </c>
      <c r="AI10" s="18">
        <v>29</v>
      </c>
      <c r="AJ10" s="24">
        <v>28.5</v>
      </c>
      <c r="AK10" s="24">
        <v>28.5</v>
      </c>
      <c r="AL10" s="24">
        <v>29</v>
      </c>
      <c r="AM10" s="24">
        <f t="shared" si="12"/>
        <v>-0.5</v>
      </c>
      <c r="AN10" s="292">
        <f t="shared" si="4"/>
        <v>0.5</v>
      </c>
      <c r="AO10" s="18">
        <v>0</v>
      </c>
      <c r="AP10" s="24">
        <v>1</v>
      </c>
      <c r="AQ10" s="24"/>
      <c r="AR10" s="24"/>
      <c r="AS10" s="18">
        <f>AP10-AO10</f>
        <v>1</v>
      </c>
      <c r="AT10" s="292">
        <f t="shared" si="5"/>
        <v>-1</v>
      </c>
      <c r="AU10" s="18">
        <v>3</v>
      </c>
      <c r="AV10" s="24">
        <v>1</v>
      </c>
      <c r="AW10" s="24"/>
      <c r="AX10" s="24"/>
      <c r="AY10" s="18">
        <f>AV10-AU10</f>
        <v>-2</v>
      </c>
      <c r="AZ10" s="292">
        <f t="shared" si="6"/>
        <v>2</v>
      </c>
      <c r="BA10" s="18">
        <v>3</v>
      </c>
      <c r="BB10" s="24">
        <v>2</v>
      </c>
      <c r="BC10" s="24"/>
      <c r="BD10" s="24"/>
      <c r="BE10" s="18">
        <f>AZ10-BA10</f>
        <v>-1</v>
      </c>
      <c r="BF10" s="292">
        <f t="shared" si="7"/>
        <v>1</v>
      </c>
      <c r="BG10" s="18">
        <v>1</v>
      </c>
      <c r="BH10" s="24">
        <v>3</v>
      </c>
      <c r="BI10" s="24"/>
      <c r="BJ10" s="24"/>
      <c r="BK10" s="18">
        <f>BH10-BG10</f>
        <v>2</v>
      </c>
      <c r="BL10" s="292">
        <f t="shared" si="8"/>
        <v>-2</v>
      </c>
      <c r="BM10" s="18">
        <v>7</v>
      </c>
      <c r="BN10" s="24">
        <v>2</v>
      </c>
      <c r="BO10" s="24"/>
      <c r="BP10" s="24"/>
      <c r="BQ10" s="18">
        <f>BN10-BM10</f>
        <v>-5</v>
      </c>
      <c r="BR10" s="292">
        <f t="shared" si="9"/>
        <v>5</v>
      </c>
      <c r="BS10" s="18">
        <v>9</v>
      </c>
      <c r="BT10" s="24">
        <v>1</v>
      </c>
      <c r="BU10" s="24"/>
      <c r="BV10" s="24"/>
      <c r="BW10" s="18">
        <f>BT10-BS10</f>
        <v>-8</v>
      </c>
      <c r="BX10" s="292">
        <f t="shared" si="10"/>
        <v>8</v>
      </c>
      <c r="BY10" s="18">
        <v>10</v>
      </c>
      <c r="BZ10" s="24">
        <v>4</v>
      </c>
      <c r="CA10" s="24">
        <v>4</v>
      </c>
      <c r="CB10" s="24">
        <v>10</v>
      </c>
      <c r="CC10" s="519">
        <f t="shared" si="13"/>
        <v>-6</v>
      </c>
      <c r="CD10" s="292">
        <f t="shared" si="11"/>
        <v>6</v>
      </c>
      <c r="CF10" s="24">
        <v>4</v>
      </c>
      <c r="CG10" s="24">
        <v>10</v>
      </c>
    </row>
    <row r="11" spans="1:85" x14ac:dyDescent="0.2">
      <c r="A11" s="532" t="s">
        <v>6</v>
      </c>
      <c r="B11" s="18">
        <v>7</v>
      </c>
      <c r="C11" s="5">
        <v>1</v>
      </c>
      <c r="D11" s="292">
        <v>2</v>
      </c>
      <c r="E11" s="292">
        <v>2</v>
      </c>
      <c r="F11" s="292">
        <v>5.43</v>
      </c>
      <c r="G11" s="292">
        <v>1</v>
      </c>
      <c r="H11" s="292">
        <v>6.4</v>
      </c>
      <c r="J11" s="520" t="s">
        <v>791</v>
      </c>
      <c r="K11">
        <v>26</v>
      </c>
      <c r="L11">
        <v>12.5</v>
      </c>
      <c r="M11" s="18">
        <v>12.5</v>
      </c>
      <c r="N11" s="24">
        <v>26</v>
      </c>
      <c r="O11" s="18">
        <f>L11-K11</f>
        <v>-13.5</v>
      </c>
      <c r="P11" s="292">
        <f t="shared" si="0"/>
        <v>13.5</v>
      </c>
      <c r="Q11">
        <v>4</v>
      </c>
      <c r="R11">
        <v>1</v>
      </c>
      <c r="U11" s="18">
        <f>R11-Q11</f>
        <v>-3</v>
      </c>
      <c r="V11" s="292">
        <f t="shared" si="1"/>
        <v>3</v>
      </c>
      <c r="W11">
        <v>1</v>
      </c>
      <c r="X11">
        <v>5</v>
      </c>
      <c r="AA11" s="18">
        <f>X11-W11</f>
        <v>4</v>
      </c>
      <c r="AB11" s="292">
        <f t="shared" si="2"/>
        <v>-4</v>
      </c>
      <c r="AC11">
        <v>5</v>
      </c>
      <c r="AD11">
        <v>6</v>
      </c>
      <c r="AG11" s="18">
        <f>AD11-AC11</f>
        <v>1</v>
      </c>
      <c r="AH11" s="292">
        <f t="shared" si="3"/>
        <v>-1</v>
      </c>
      <c r="AI11" s="18">
        <v>25</v>
      </c>
      <c r="AJ11" s="24">
        <v>10.5</v>
      </c>
      <c r="AK11" s="24">
        <v>10.5</v>
      </c>
      <c r="AL11" s="24">
        <v>25</v>
      </c>
      <c r="AM11" s="24">
        <f t="shared" si="12"/>
        <v>-14.5</v>
      </c>
      <c r="AN11" s="292">
        <f t="shared" si="4"/>
        <v>14.5</v>
      </c>
      <c r="AO11" s="18">
        <v>1</v>
      </c>
      <c r="AP11" s="24">
        <v>0</v>
      </c>
      <c r="AQ11" s="24"/>
      <c r="AR11" s="24"/>
      <c r="AS11" s="18">
        <f>AP11-AO11</f>
        <v>-1</v>
      </c>
      <c r="AT11" s="292">
        <f t="shared" si="5"/>
        <v>1</v>
      </c>
      <c r="AU11" s="18">
        <v>5</v>
      </c>
      <c r="AV11" s="24">
        <v>9</v>
      </c>
      <c r="AW11" s="24"/>
      <c r="AX11" s="24"/>
      <c r="AY11" s="18">
        <f>AV11-AU11</f>
        <v>4</v>
      </c>
      <c r="AZ11" s="292">
        <f t="shared" si="6"/>
        <v>-4</v>
      </c>
      <c r="BA11" s="18">
        <v>6</v>
      </c>
      <c r="BB11" s="24">
        <v>9</v>
      </c>
      <c r="BC11" s="24"/>
      <c r="BD11" s="24"/>
      <c r="BF11" s="292">
        <f t="shared" si="7"/>
        <v>-3</v>
      </c>
      <c r="BG11" s="138"/>
      <c r="BH11" s="261"/>
      <c r="BI11" s="261"/>
      <c r="BJ11" s="261"/>
      <c r="BK11" s="138"/>
      <c r="BL11" s="529"/>
      <c r="BM11" s="138"/>
      <c r="BN11" s="261"/>
      <c r="BO11" s="261"/>
      <c r="BP11" s="261"/>
      <c r="BQ11" s="138"/>
      <c r="BR11" s="529"/>
      <c r="BS11" s="138"/>
      <c r="BT11" s="261"/>
      <c r="BU11" s="261"/>
      <c r="BV11" s="261"/>
      <c r="BW11" s="138"/>
      <c r="BX11" s="529"/>
      <c r="BY11" s="138"/>
      <c r="BZ11" s="261"/>
      <c r="CA11" s="261"/>
      <c r="CB11" s="261"/>
      <c r="CC11" s="519"/>
      <c r="CD11" s="529"/>
      <c r="CF11" s="24">
        <v>9</v>
      </c>
      <c r="CG11" s="24">
        <v>8</v>
      </c>
    </row>
    <row r="12" spans="1:85" x14ac:dyDescent="0.2">
      <c r="A12" s="188" t="s">
        <v>8</v>
      </c>
      <c r="B12" s="18">
        <v>8</v>
      </c>
      <c r="C12" s="24">
        <v>1</v>
      </c>
      <c r="D12" s="292">
        <v>1</v>
      </c>
      <c r="E12" s="292">
        <v>3</v>
      </c>
      <c r="F12" s="292">
        <v>5.37</v>
      </c>
      <c r="G12" s="292">
        <v>0.5</v>
      </c>
      <c r="H12" s="292">
        <v>6.32</v>
      </c>
      <c r="J12" s="520" t="s">
        <v>789</v>
      </c>
      <c r="K12">
        <v>18</v>
      </c>
      <c r="L12">
        <v>28.5</v>
      </c>
      <c r="M12" s="18">
        <v>18</v>
      </c>
      <c r="N12" s="24">
        <v>28.5</v>
      </c>
      <c r="O12" s="18">
        <f>K12-L12</f>
        <v>-10.5</v>
      </c>
      <c r="P12" s="292">
        <f t="shared" si="0"/>
        <v>-10.5</v>
      </c>
      <c r="Q12">
        <v>2</v>
      </c>
      <c r="R12">
        <v>2</v>
      </c>
      <c r="U12" s="18">
        <f>Q12-R12</f>
        <v>0</v>
      </c>
      <c r="V12" s="292">
        <f t="shared" si="1"/>
        <v>0</v>
      </c>
      <c r="W12">
        <v>2</v>
      </c>
      <c r="X12">
        <v>2</v>
      </c>
      <c r="AA12" s="18">
        <f>W12-X12</f>
        <v>0</v>
      </c>
      <c r="AB12" s="292">
        <f t="shared" si="2"/>
        <v>0</v>
      </c>
      <c r="AC12">
        <v>4</v>
      </c>
      <c r="AD12">
        <v>4</v>
      </c>
      <c r="AG12" s="18">
        <f>AC12-AD12</f>
        <v>0</v>
      </c>
      <c r="AH12" s="292">
        <f t="shared" si="3"/>
        <v>0</v>
      </c>
      <c r="AI12" s="18">
        <v>20</v>
      </c>
      <c r="AJ12" s="24">
        <v>25</v>
      </c>
      <c r="AK12" s="24">
        <v>20</v>
      </c>
      <c r="AL12" s="24">
        <v>25</v>
      </c>
      <c r="AM12" s="24">
        <f t="shared" si="12"/>
        <v>-5</v>
      </c>
      <c r="AN12" s="292">
        <f t="shared" si="4"/>
        <v>-5</v>
      </c>
      <c r="AO12" s="18">
        <v>3</v>
      </c>
      <c r="AP12" s="24">
        <v>2</v>
      </c>
      <c r="AQ12" s="24"/>
      <c r="AR12" s="24"/>
      <c r="AS12" s="18">
        <f>AO12-AP12</f>
        <v>1</v>
      </c>
      <c r="AT12" s="292">
        <f t="shared" si="5"/>
        <v>1</v>
      </c>
      <c r="AU12" s="18">
        <v>5</v>
      </c>
      <c r="AV12" s="24">
        <v>2</v>
      </c>
      <c r="AW12" s="24"/>
      <c r="AX12" s="24"/>
      <c r="AY12" s="18">
        <f>AU12-AV12</f>
        <v>3</v>
      </c>
      <c r="AZ12" s="292">
        <f t="shared" si="6"/>
        <v>3</v>
      </c>
      <c r="BA12" s="18">
        <v>8</v>
      </c>
      <c r="BB12" s="24">
        <v>4</v>
      </c>
      <c r="BC12" s="24"/>
      <c r="BD12" s="24"/>
      <c r="BE12" s="18">
        <f>BA12-BB12</f>
        <v>4</v>
      </c>
      <c r="BF12" s="292">
        <f t="shared" si="7"/>
        <v>4</v>
      </c>
      <c r="BG12" s="18">
        <v>6</v>
      </c>
      <c r="BH12" s="24">
        <v>4</v>
      </c>
      <c r="BI12" s="24"/>
      <c r="BJ12" s="24"/>
      <c r="BK12" s="18">
        <f>BG12-BH12</f>
        <v>2</v>
      </c>
      <c r="BL12" s="292">
        <f t="shared" ref="BL12:BL14" si="14">BG12-BH12</f>
        <v>2</v>
      </c>
      <c r="BM12" s="18">
        <v>4</v>
      </c>
      <c r="BN12" s="24">
        <v>8</v>
      </c>
      <c r="BO12" s="24"/>
      <c r="BP12" s="24"/>
      <c r="BQ12" s="18">
        <f>BM12-BN12</f>
        <v>-4</v>
      </c>
      <c r="BR12" s="292">
        <f t="shared" ref="BR12:BR22" si="15">BM12-BN12</f>
        <v>-4</v>
      </c>
      <c r="BS12" s="18">
        <v>3</v>
      </c>
      <c r="BT12" s="24">
        <v>4</v>
      </c>
      <c r="BU12" s="24"/>
      <c r="BV12" s="24"/>
      <c r="BW12" s="18">
        <f>BS12-BT12</f>
        <v>-1</v>
      </c>
      <c r="BX12" s="292">
        <f t="shared" ref="BX12:BX22" si="16">BS12-BT12</f>
        <v>-1</v>
      </c>
      <c r="BY12" s="18">
        <v>9</v>
      </c>
      <c r="BZ12" s="24">
        <v>8</v>
      </c>
      <c r="CA12" s="24">
        <v>9</v>
      </c>
      <c r="CB12" s="24">
        <v>8</v>
      </c>
      <c r="CC12" s="519">
        <f t="shared" si="13"/>
        <v>1</v>
      </c>
      <c r="CD12" s="292">
        <f t="shared" ref="CD12:CD22" si="17">BY12-BZ12</f>
        <v>1</v>
      </c>
      <c r="CF12" s="24">
        <v>6</v>
      </c>
      <c r="CG12" s="24">
        <v>5</v>
      </c>
    </row>
    <row r="13" spans="1:85" x14ac:dyDescent="0.2">
      <c r="A13" s="3" t="s">
        <v>9</v>
      </c>
      <c r="B13" s="18">
        <v>9</v>
      </c>
      <c r="C13" s="5">
        <v>2</v>
      </c>
      <c r="D13" s="292">
        <v>1</v>
      </c>
      <c r="E13" s="533">
        <v>2.5</v>
      </c>
      <c r="F13" s="292">
        <v>5.15</v>
      </c>
      <c r="G13" s="292">
        <v>2</v>
      </c>
      <c r="H13" s="292">
        <v>6.09</v>
      </c>
      <c r="J13" s="520" t="s">
        <v>790</v>
      </c>
      <c r="K13">
        <v>19</v>
      </c>
      <c r="L13">
        <v>9.5</v>
      </c>
      <c r="M13" s="18">
        <v>9.5</v>
      </c>
      <c r="N13" s="24">
        <v>19</v>
      </c>
      <c r="O13" s="18">
        <v>-9.5</v>
      </c>
      <c r="P13" s="292">
        <f t="shared" si="0"/>
        <v>9.5</v>
      </c>
      <c r="Q13">
        <v>6</v>
      </c>
      <c r="R13">
        <v>2</v>
      </c>
      <c r="U13" s="18">
        <v>-4</v>
      </c>
      <c r="V13" s="292">
        <f t="shared" si="1"/>
        <v>4</v>
      </c>
      <c r="W13">
        <v>1</v>
      </c>
      <c r="X13">
        <v>6</v>
      </c>
      <c r="AA13" s="18">
        <v>5</v>
      </c>
      <c r="AB13" s="292">
        <f t="shared" si="2"/>
        <v>-5</v>
      </c>
      <c r="AC13">
        <v>7</v>
      </c>
      <c r="AD13">
        <v>8</v>
      </c>
      <c r="AG13" s="18">
        <v>1</v>
      </c>
      <c r="AH13" s="292">
        <f t="shared" si="3"/>
        <v>-1</v>
      </c>
      <c r="AI13" s="18">
        <v>19.5</v>
      </c>
      <c r="AJ13" s="24">
        <v>11.5</v>
      </c>
      <c r="AK13" s="24">
        <v>11.5</v>
      </c>
      <c r="AL13" s="24">
        <v>19.5</v>
      </c>
      <c r="AM13" s="24">
        <f t="shared" si="12"/>
        <v>-8</v>
      </c>
      <c r="AN13" s="292">
        <f t="shared" si="4"/>
        <v>8</v>
      </c>
      <c r="AO13" s="18">
        <v>8</v>
      </c>
      <c r="AP13" s="24">
        <v>3</v>
      </c>
      <c r="AQ13" s="24"/>
      <c r="AR13" s="24"/>
      <c r="AS13" s="24">
        <v>-5</v>
      </c>
      <c r="AT13" s="292">
        <f t="shared" si="5"/>
        <v>5</v>
      </c>
      <c r="AU13" s="18">
        <v>2</v>
      </c>
      <c r="AV13" s="24">
        <v>2</v>
      </c>
      <c r="AW13" s="24"/>
      <c r="AX13" s="24"/>
      <c r="AY13" s="24">
        <v>0</v>
      </c>
      <c r="AZ13" s="292">
        <f t="shared" si="6"/>
        <v>0</v>
      </c>
      <c r="BA13" s="18">
        <v>10</v>
      </c>
      <c r="BB13" s="24">
        <v>5</v>
      </c>
      <c r="BC13" s="24"/>
      <c r="BD13" s="24"/>
      <c r="BE13" s="24">
        <v>-5</v>
      </c>
      <c r="BF13" s="292">
        <f t="shared" si="7"/>
        <v>5</v>
      </c>
      <c r="BG13" s="18">
        <v>3</v>
      </c>
      <c r="BH13" s="24">
        <v>4</v>
      </c>
      <c r="BI13" s="24"/>
      <c r="BJ13" s="24"/>
      <c r="BK13" s="24">
        <v>1</v>
      </c>
      <c r="BL13" s="292">
        <f t="shared" si="14"/>
        <v>-1</v>
      </c>
      <c r="BM13" s="18">
        <v>1</v>
      </c>
      <c r="BN13" s="24">
        <v>3</v>
      </c>
      <c r="BO13" s="24"/>
      <c r="BP13" s="24"/>
      <c r="BQ13" s="24">
        <v>2</v>
      </c>
      <c r="BR13" s="292">
        <f t="shared" si="15"/>
        <v>-2</v>
      </c>
      <c r="BS13" s="18">
        <v>2</v>
      </c>
      <c r="BT13" s="24">
        <v>2</v>
      </c>
      <c r="BU13" s="24"/>
      <c r="BV13" s="24"/>
      <c r="BW13" s="24">
        <v>0</v>
      </c>
      <c r="BX13" s="292">
        <f t="shared" si="16"/>
        <v>0</v>
      </c>
      <c r="BY13" s="18">
        <v>5</v>
      </c>
      <c r="BZ13" s="24">
        <v>6</v>
      </c>
      <c r="CA13" s="24">
        <v>6</v>
      </c>
      <c r="CB13" s="24">
        <v>5</v>
      </c>
      <c r="CC13" s="519">
        <f t="shared" si="13"/>
        <v>1</v>
      </c>
      <c r="CD13" s="292">
        <f t="shared" si="17"/>
        <v>-1</v>
      </c>
      <c r="CF13" s="24">
        <v>12</v>
      </c>
      <c r="CG13" s="24">
        <v>5</v>
      </c>
    </row>
    <row r="14" spans="1:85" x14ac:dyDescent="0.2">
      <c r="A14" s="3" t="s">
        <v>10</v>
      </c>
      <c r="B14" s="18">
        <v>10</v>
      </c>
      <c r="C14" s="5">
        <v>1</v>
      </c>
      <c r="D14" s="292">
        <v>2</v>
      </c>
      <c r="E14" s="292">
        <v>5</v>
      </c>
      <c r="F14" s="534">
        <v>5.21</v>
      </c>
      <c r="G14" s="292">
        <v>3</v>
      </c>
      <c r="H14" s="534">
        <v>6</v>
      </c>
      <c r="J14" s="520" t="s">
        <v>791</v>
      </c>
      <c r="K14">
        <v>31.5</v>
      </c>
      <c r="L14">
        <v>10.5</v>
      </c>
      <c r="M14" s="18">
        <v>10.5</v>
      </c>
      <c r="N14" s="24">
        <v>31.5</v>
      </c>
      <c r="O14" s="18">
        <f>L14-K14</f>
        <v>-21</v>
      </c>
      <c r="P14" s="292">
        <f t="shared" si="0"/>
        <v>21</v>
      </c>
      <c r="Q14">
        <v>0</v>
      </c>
      <c r="R14">
        <v>1</v>
      </c>
      <c r="U14" s="18">
        <v>1</v>
      </c>
      <c r="V14" s="292">
        <f t="shared" si="1"/>
        <v>-1</v>
      </c>
      <c r="W14">
        <v>0</v>
      </c>
      <c r="X14">
        <v>2</v>
      </c>
      <c r="AA14" s="18">
        <v>2</v>
      </c>
      <c r="AB14" s="292">
        <f t="shared" si="2"/>
        <v>-2</v>
      </c>
      <c r="AC14">
        <v>0</v>
      </c>
      <c r="AD14">
        <v>3</v>
      </c>
      <c r="AG14" s="18">
        <v>3</v>
      </c>
      <c r="AH14" s="292">
        <f t="shared" si="3"/>
        <v>-3</v>
      </c>
      <c r="AI14" s="18">
        <v>29</v>
      </c>
      <c r="AJ14" s="24">
        <v>10.5</v>
      </c>
      <c r="AK14" s="24">
        <v>10.5</v>
      </c>
      <c r="AL14" s="24">
        <v>29</v>
      </c>
      <c r="AM14" s="24">
        <f t="shared" si="12"/>
        <v>-18.5</v>
      </c>
      <c r="AN14" s="292">
        <f t="shared" si="4"/>
        <v>18.5</v>
      </c>
      <c r="AO14" s="18">
        <v>5</v>
      </c>
      <c r="AP14" s="24">
        <v>1</v>
      </c>
      <c r="AQ14" s="24"/>
      <c r="AR14" s="24"/>
      <c r="AS14" s="24">
        <v>-4</v>
      </c>
      <c r="AT14" s="292">
        <f t="shared" si="5"/>
        <v>4</v>
      </c>
      <c r="AU14" s="18">
        <v>0</v>
      </c>
      <c r="AV14" s="24">
        <v>2</v>
      </c>
      <c r="AW14" s="24"/>
      <c r="AX14" s="24"/>
      <c r="AY14" s="24">
        <v>2</v>
      </c>
      <c r="AZ14" s="292">
        <f t="shared" si="6"/>
        <v>-2</v>
      </c>
      <c r="BA14" s="18">
        <v>5</v>
      </c>
      <c r="BB14" s="24">
        <v>3</v>
      </c>
      <c r="BC14" s="24"/>
      <c r="BD14" s="24"/>
      <c r="BE14" s="24">
        <v>-2</v>
      </c>
      <c r="BF14" s="292">
        <f t="shared" si="7"/>
        <v>2</v>
      </c>
      <c r="BG14" s="18">
        <v>3</v>
      </c>
      <c r="BH14" s="24">
        <v>8</v>
      </c>
      <c r="BI14" s="24"/>
      <c r="BJ14" s="24"/>
      <c r="BK14" s="24">
        <v>5</v>
      </c>
      <c r="BL14" s="292">
        <f t="shared" si="14"/>
        <v>-5</v>
      </c>
      <c r="BM14" s="18">
        <v>4</v>
      </c>
      <c r="BN14" s="24">
        <v>10</v>
      </c>
      <c r="BO14" s="24"/>
      <c r="BP14" s="24"/>
      <c r="BQ14" s="24">
        <v>6</v>
      </c>
      <c r="BR14" s="292">
        <f t="shared" si="15"/>
        <v>-6</v>
      </c>
      <c r="BS14" s="18">
        <v>2</v>
      </c>
      <c r="BT14" s="24">
        <v>4</v>
      </c>
      <c r="BU14" s="24"/>
      <c r="BV14" s="24"/>
      <c r="BW14" s="24">
        <v>2</v>
      </c>
      <c r="BX14" s="292">
        <f t="shared" si="16"/>
        <v>-2</v>
      </c>
      <c r="BY14" s="18">
        <v>5</v>
      </c>
      <c r="BZ14" s="24">
        <v>12</v>
      </c>
      <c r="CA14" s="24">
        <v>12</v>
      </c>
      <c r="CB14" s="24">
        <v>5</v>
      </c>
      <c r="CC14" s="519">
        <f t="shared" si="13"/>
        <v>7</v>
      </c>
      <c r="CD14" s="292">
        <f t="shared" si="17"/>
        <v>-7</v>
      </c>
      <c r="CF14" s="24">
        <v>10</v>
      </c>
      <c r="CG14" s="24">
        <v>8</v>
      </c>
    </row>
    <row r="15" spans="1:85" x14ac:dyDescent="0.2">
      <c r="A15" s="3" t="s">
        <v>11</v>
      </c>
      <c r="B15" s="18">
        <v>11</v>
      </c>
      <c r="C15" s="5">
        <v>2</v>
      </c>
      <c r="D15" s="292">
        <v>2</v>
      </c>
      <c r="E15" s="292">
        <v>2</v>
      </c>
      <c r="F15" s="292">
        <v>4.57</v>
      </c>
      <c r="G15" s="292">
        <v>1</v>
      </c>
      <c r="H15" s="292">
        <v>5.46</v>
      </c>
      <c r="J15" s="520" t="s">
        <v>792</v>
      </c>
      <c r="K15">
        <v>21.5</v>
      </c>
      <c r="L15">
        <v>20.5</v>
      </c>
      <c r="M15" s="18">
        <v>21.5</v>
      </c>
      <c r="N15" s="24">
        <v>20.5</v>
      </c>
      <c r="O15" s="18">
        <v>1</v>
      </c>
      <c r="P15" s="292">
        <f t="shared" si="0"/>
        <v>1</v>
      </c>
      <c r="Q15">
        <v>2</v>
      </c>
      <c r="R15">
        <v>1</v>
      </c>
      <c r="U15" s="18">
        <v>1</v>
      </c>
      <c r="V15" s="292">
        <f t="shared" si="1"/>
        <v>1</v>
      </c>
      <c r="W15">
        <v>1</v>
      </c>
      <c r="X15">
        <v>0</v>
      </c>
      <c r="AA15" s="18">
        <v>1</v>
      </c>
      <c r="AB15" s="292">
        <f t="shared" si="2"/>
        <v>1</v>
      </c>
      <c r="AC15">
        <v>3</v>
      </c>
      <c r="AD15">
        <v>1</v>
      </c>
      <c r="AG15" s="18">
        <v>2</v>
      </c>
      <c r="AH15" s="292">
        <f t="shared" si="3"/>
        <v>2</v>
      </c>
      <c r="AI15" s="18">
        <v>17.5</v>
      </c>
      <c r="AJ15" s="24">
        <v>20</v>
      </c>
      <c r="AK15" s="24">
        <v>17.5</v>
      </c>
      <c r="AL15" s="24">
        <v>20</v>
      </c>
      <c r="AM15" s="24">
        <f t="shared" si="12"/>
        <v>-2.5</v>
      </c>
      <c r="AN15" s="292">
        <f t="shared" si="4"/>
        <v>-2.5</v>
      </c>
      <c r="AO15" s="18">
        <v>1</v>
      </c>
      <c r="AP15" s="24">
        <v>3</v>
      </c>
      <c r="AQ15" s="24"/>
      <c r="AR15" s="24"/>
      <c r="AS15" s="24">
        <v>-2</v>
      </c>
      <c r="AT15" s="292">
        <f t="shared" si="5"/>
        <v>-2</v>
      </c>
      <c r="AU15" s="18">
        <v>1</v>
      </c>
      <c r="AV15" s="24">
        <v>0</v>
      </c>
      <c r="AW15" s="24"/>
      <c r="AX15" s="24"/>
      <c r="AY15" s="24">
        <v>1</v>
      </c>
      <c r="AZ15" s="292">
        <f t="shared" si="6"/>
        <v>1</v>
      </c>
      <c r="BA15" s="18">
        <v>2</v>
      </c>
      <c r="BB15" s="24">
        <v>3</v>
      </c>
      <c r="BC15" s="24"/>
      <c r="BD15" s="24"/>
      <c r="BE15" s="24">
        <v>-1</v>
      </c>
      <c r="BF15" s="292">
        <f t="shared" si="7"/>
        <v>-1</v>
      </c>
      <c r="BG15" s="18">
        <v>4</v>
      </c>
      <c r="BH15" s="24">
        <v>3</v>
      </c>
      <c r="BI15" s="24"/>
      <c r="BJ15" s="24"/>
      <c r="BK15" s="24">
        <v>1</v>
      </c>
      <c r="BL15" s="292">
        <v>1</v>
      </c>
      <c r="BM15" s="18">
        <v>8</v>
      </c>
      <c r="BN15" s="24">
        <v>5</v>
      </c>
      <c r="BO15" s="24"/>
      <c r="BP15" s="24"/>
      <c r="BQ15" s="24">
        <v>3</v>
      </c>
      <c r="BR15" s="292">
        <f t="shared" si="15"/>
        <v>3</v>
      </c>
      <c r="BS15" s="18">
        <v>6</v>
      </c>
      <c r="BT15" s="24">
        <v>5</v>
      </c>
      <c r="BU15" s="24"/>
      <c r="BV15" s="24"/>
      <c r="BW15" s="24">
        <v>1</v>
      </c>
      <c r="BX15" s="292">
        <f t="shared" si="16"/>
        <v>1</v>
      </c>
      <c r="BY15" s="18">
        <v>10</v>
      </c>
      <c r="BZ15" s="24">
        <v>8</v>
      </c>
      <c r="CA15" s="24">
        <v>10</v>
      </c>
      <c r="CB15" s="24">
        <v>8</v>
      </c>
      <c r="CC15" s="519">
        <f t="shared" si="13"/>
        <v>2</v>
      </c>
      <c r="CD15" s="292">
        <f t="shared" si="17"/>
        <v>2</v>
      </c>
      <c r="CF15" s="24">
        <v>6</v>
      </c>
      <c r="CG15" s="24">
        <v>2</v>
      </c>
    </row>
    <row r="16" spans="1:85" x14ac:dyDescent="0.2">
      <c r="A16" s="3" t="s">
        <v>13</v>
      </c>
      <c r="B16" s="18">
        <v>12</v>
      </c>
      <c r="C16" s="5">
        <v>2</v>
      </c>
      <c r="D16" s="292">
        <v>1</v>
      </c>
      <c r="E16" s="292">
        <v>3</v>
      </c>
      <c r="F16" s="534">
        <v>6</v>
      </c>
      <c r="G16" s="292">
        <v>2</v>
      </c>
      <c r="H16" s="534">
        <v>7</v>
      </c>
      <c r="J16" s="520" t="s">
        <v>790</v>
      </c>
      <c r="K16" s="24">
        <v>24</v>
      </c>
      <c r="L16" s="24">
        <v>15</v>
      </c>
      <c r="M16" s="24">
        <v>15</v>
      </c>
      <c r="N16" s="24">
        <v>24</v>
      </c>
      <c r="O16" s="24">
        <v>-9</v>
      </c>
      <c r="P16" s="292">
        <f t="shared" si="0"/>
        <v>9</v>
      </c>
      <c r="Q16">
        <v>1</v>
      </c>
      <c r="R16">
        <v>3</v>
      </c>
      <c r="U16" s="18">
        <v>2</v>
      </c>
      <c r="V16" s="292">
        <f t="shared" si="1"/>
        <v>-2</v>
      </c>
      <c r="W16">
        <v>2</v>
      </c>
      <c r="X16">
        <v>1</v>
      </c>
      <c r="AA16" s="18">
        <v>-1</v>
      </c>
      <c r="AB16" s="292">
        <f t="shared" si="2"/>
        <v>1</v>
      </c>
      <c r="AC16">
        <v>3</v>
      </c>
      <c r="AD16">
        <v>4</v>
      </c>
      <c r="AG16" s="18">
        <v>1</v>
      </c>
      <c r="AH16" s="292">
        <f t="shared" si="3"/>
        <v>-1</v>
      </c>
      <c r="AI16" s="18">
        <v>19</v>
      </c>
      <c r="AJ16" s="24">
        <v>11</v>
      </c>
      <c r="AK16" s="24">
        <v>11</v>
      </c>
      <c r="AL16" s="24">
        <v>19</v>
      </c>
      <c r="AM16" s="24">
        <f t="shared" si="12"/>
        <v>-8</v>
      </c>
      <c r="AN16" s="292">
        <f t="shared" si="4"/>
        <v>8</v>
      </c>
      <c r="AO16" s="18">
        <v>0</v>
      </c>
      <c r="AP16" s="24">
        <v>3</v>
      </c>
      <c r="AQ16" s="24"/>
      <c r="AR16" s="24"/>
      <c r="AS16" s="24">
        <v>3</v>
      </c>
      <c r="AT16" s="292">
        <f t="shared" si="5"/>
        <v>-3</v>
      </c>
      <c r="AU16" s="18">
        <v>3</v>
      </c>
      <c r="AV16" s="24">
        <v>1</v>
      </c>
      <c r="AW16" s="24"/>
      <c r="AX16" s="24"/>
      <c r="AY16" s="24">
        <v>-2</v>
      </c>
      <c r="AZ16" s="292">
        <f t="shared" si="6"/>
        <v>2</v>
      </c>
      <c r="BA16" s="18">
        <v>3</v>
      </c>
      <c r="BB16" s="24">
        <v>4</v>
      </c>
      <c r="BC16" s="24"/>
      <c r="BD16" s="24"/>
      <c r="BE16" s="24">
        <v>1</v>
      </c>
      <c r="BF16" s="292">
        <f t="shared" si="7"/>
        <v>-1</v>
      </c>
      <c r="BG16" s="18">
        <v>1</v>
      </c>
      <c r="BH16" s="24">
        <v>2</v>
      </c>
      <c r="BI16" s="24"/>
      <c r="BJ16" s="24"/>
      <c r="BK16" s="24">
        <v>1</v>
      </c>
      <c r="BL16" s="292">
        <f t="shared" ref="BL16:BL22" si="18">BG16-BH16</f>
        <v>-1</v>
      </c>
      <c r="BM16" s="18">
        <v>0</v>
      </c>
      <c r="BN16" s="24">
        <v>6</v>
      </c>
      <c r="BO16" s="24"/>
      <c r="BP16" s="24"/>
      <c r="BQ16" s="24">
        <v>6</v>
      </c>
      <c r="BR16" s="292">
        <f t="shared" si="15"/>
        <v>-6</v>
      </c>
      <c r="BS16" s="18">
        <v>1</v>
      </c>
      <c r="BT16" s="24">
        <v>4</v>
      </c>
      <c r="BU16" s="24"/>
      <c r="BV16" s="24"/>
      <c r="BW16" s="24">
        <v>3</v>
      </c>
      <c r="BX16" s="292">
        <f t="shared" si="16"/>
        <v>-3</v>
      </c>
      <c r="BY16" s="18">
        <v>2</v>
      </c>
      <c r="BZ16" s="24">
        <v>6</v>
      </c>
      <c r="CA16" s="24">
        <v>6</v>
      </c>
      <c r="CB16" s="24">
        <v>2</v>
      </c>
      <c r="CC16" s="519">
        <f t="shared" si="13"/>
        <v>4</v>
      </c>
      <c r="CD16" s="292">
        <f t="shared" si="17"/>
        <v>-4</v>
      </c>
      <c r="CF16" s="24">
        <v>11</v>
      </c>
      <c r="CG16" s="24">
        <v>4</v>
      </c>
    </row>
    <row r="17" spans="1:85" x14ac:dyDescent="0.2">
      <c r="A17" s="3" t="s">
        <v>14</v>
      </c>
      <c r="B17" s="18">
        <v>13</v>
      </c>
      <c r="C17" s="5">
        <v>1</v>
      </c>
      <c r="D17" s="292">
        <v>2</v>
      </c>
      <c r="E17" s="292">
        <v>2.5</v>
      </c>
      <c r="F17" s="292">
        <v>6.25</v>
      </c>
      <c r="G17" s="292">
        <v>2</v>
      </c>
      <c r="H17" s="292">
        <v>7.3</v>
      </c>
      <c r="J17" s="520" t="s">
        <v>791</v>
      </c>
      <c r="K17" s="24">
        <v>20</v>
      </c>
      <c r="L17" s="24">
        <v>8.5</v>
      </c>
      <c r="M17" s="24">
        <v>8.5</v>
      </c>
      <c r="N17" s="24">
        <v>20</v>
      </c>
      <c r="O17" s="24">
        <v>-11.5</v>
      </c>
      <c r="P17" s="292">
        <f t="shared" si="0"/>
        <v>11.5</v>
      </c>
      <c r="Q17">
        <v>3</v>
      </c>
      <c r="R17">
        <v>1</v>
      </c>
      <c r="U17" s="18">
        <v>-2</v>
      </c>
      <c r="V17" s="292">
        <f t="shared" si="1"/>
        <v>2</v>
      </c>
      <c r="W17">
        <v>0</v>
      </c>
      <c r="X17">
        <v>1</v>
      </c>
      <c r="AA17" s="18">
        <v>1</v>
      </c>
      <c r="AB17" s="292">
        <f t="shared" si="2"/>
        <v>-1</v>
      </c>
      <c r="AC17">
        <v>3</v>
      </c>
      <c r="AD17">
        <v>2</v>
      </c>
      <c r="AG17" s="18">
        <v>-1</v>
      </c>
      <c r="AH17" s="292">
        <f t="shared" si="3"/>
        <v>1</v>
      </c>
      <c r="AI17" s="18">
        <v>16</v>
      </c>
      <c r="AJ17" s="24">
        <v>7</v>
      </c>
      <c r="AK17" s="24">
        <v>7</v>
      </c>
      <c r="AL17" s="24">
        <v>16</v>
      </c>
      <c r="AM17" s="24">
        <f t="shared" si="12"/>
        <v>-9</v>
      </c>
      <c r="AN17" s="292">
        <f t="shared" si="4"/>
        <v>9</v>
      </c>
      <c r="AO17" s="18">
        <v>3</v>
      </c>
      <c r="AP17" s="24">
        <v>1</v>
      </c>
      <c r="AQ17" s="24"/>
      <c r="AR17" s="24"/>
      <c r="AS17" s="24">
        <v>-2</v>
      </c>
      <c r="AT17" s="292">
        <f t="shared" si="5"/>
        <v>2</v>
      </c>
      <c r="AU17" s="18">
        <v>0</v>
      </c>
      <c r="AV17" s="24">
        <v>2</v>
      </c>
      <c r="AW17" s="24"/>
      <c r="AX17" s="24"/>
      <c r="AY17" s="24">
        <v>2</v>
      </c>
      <c r="AZ17" s="292">
        <f t="shared" si="6"/>
        <v>-2</v>
      </c>
      <c r="BA17" s="18">
        <v>3</v>
      </c>
      <c r="BB17" s="24">
        <v>3</v>
      </c>
      <c r="BC17" s="24"/>
      <c r="BD17" s="24"/>
      <c r="BE17" s="24">
        <v>0</v>
      </c>
      <c r="BF17" s="292">
        <f t="shared" si="7"/>
        <v>0</v>
      </c>
      <c r="BG17" s="18">
        <v>3</v>
      </c>
      <c r="BH17" s="24">
        <v>7</v>
      </c>
      <c r="BI17" s="24"/>
      <c r="BJ17" s="24"/>
      <c r="BK17" s="24">
        <v>4</v>
      </c>
      <c r="BL17" s="292">
        <f t="shared" si="18"/>
        <v>-4</v>
      </c>
      <c r="BM17" s="18">
        <v>4</v>
      </c>
      <c r="BN17" s="24">
        <v>9</v>
      </c>
      <c r="BO17" s="24"/>
      <c r="BP17" s="24"/>
      <c r="BQ17" s="24">
        <v>5</v>
      </c>
      <c r="BR17" s="292">
        <f t="shared" si="15"/>
        <v>-5</v>
      </c>
      <c r="BS17" s="18">
        <v>1</v>
      </c>
      <c r="BT17" s="24">
        <v>4</v>
      </c>
      <c r="BU17" s="24"/>
      <c r="BV17" s="24"/>
      <c r="BW17" s="24">
        <v>3</v>
      </c>
      <c r="BX17" s="292">
        <f t="shared" si="16"/>
        <v>-3</v>
      </c>
      <c r="BY17" s="18">
        <v>4</v>
      </c>
      <c r="BZ17" s="24">
        <v>11</v>
      </c>
      <c r="CA17" s="24">
        <v>11</v>
      </c>
      <c r="CB17" s="24">
        <v>4</v>
      </c>
      <c r="CC17" s="519">
        <f t="shared" si="13"/>
        <v>7</v>
      </c>
      <c r="CD17" s="292">
        <f t="shared" si="17"/>
        <v>-7</v>
      </c>
      <c r="CF17" s="261">
        <v>10</v>
      </c>
      <c r="CG17" s="261">
        <v>19</v>
      </c>
    </row>
    <row r="18" spans="1:85" x14ac:dyDescent="0.2">
      <c r="A18" s="3" t="s">
        <v>15</v>
      </c>
      <c r="B18" s="18">
        <v>14</v>
      </c>
      <c r="C18" s="5">
        <v>2</v>
      </c>
      <c r="D18" s="292">
        <v>2</v>
      </c>
      <c r="E18" s="292">
        <v>3</v>
      </c>
      <c r="F18" s="534">
        <v>5.3</v>
      </c>
      <c r="G18" s="292">
        <v>2</v>
      </c>
      <c r="H18" s="534">
        <v>6.1</v>
      </c>
      <c r="I18" s="292" t="s">
        <v>796</v>
      </c>
      <c r="J18" s="520" t="s">
        <v>792</v>
      </c>
      <c r="K18" s="24">
        <v>14</v>
      </c>
      <c r="L18" s="24">
        <v>9</v>
      </c>
      <c r="M18" s="24">
        <v>14</v>
      </c>
      <c r="N18" s="24">
        <v>9</v>
      </c>
      <c r="O18" s="24">
        <v>5</v>
      </c>
      <c r="P18" s="292">
        <f t="shared" si="0"/>
        <v>5</v>
      </c>
      <c r="Q18">
        <v>3</v>
      </c>
      <c r="R18">
        <v>2</v>
      </c>
      <c r="U18" s="18">
        <v>1</v>
      </c>
      <c r="V18" s="292">
        <f t="shared" si="1"/>
        <v>1</v>
      </c>
      <c r="W18">
        <v>3</v>
      </c>
      <c r="X18">
        <v>1</v>
      </c>
      <c r="AA18" s="18">
        <v>2</v>
      </c>
      <c r="AB18" s="292">
        <f t="shared" si="2"/>
        <v>2</v>
      </c>
      <c r="AC18">
        <v>6</v>
      </c>
      <c r="AD18">
        <v>3</v>
      </c>
      <c r="AG18" s="18">
        <v>3</v>
      </c>
      <c r="AH18" s="292">
        <f t="shared" si="3"/>
        <v>3</v>
      </c>
      <c r="AI18" s="18">
        <v>10.5</v>
      </c>
      <c r="AJ18" s="24">
        <v>7</v>
      </c>
      <c r="AK18" s="24">
        <v>10.5</v>
      </c>
      <c r="AL18" s="24">
        <v>7</v>
      </c>
      <c r="AM18" s="24">
        <f t="shared" si="12"/>
        <v>3.5</v>
      </c>
      <c r="AN18" s="292">
        <f t="shared" si="4"/>
        <v>3.5</v>
      </c>
      <c r="AO18" s="18">
        <v>2</v>
      </c>
      <c r="AP18" s="24">
        <v>3</v>
      </c>
      <c r="AQ18" s="24"/>
      <c r="AR18" s="24"/>
      <c r="AS18" s="24">
        <v>-1</v>
      </c>
      <c r="AT18" s="292">
        <f t="shared" si="5"/>
        <v>-1</v>
      </c>
      <c r="AU18" s="18">
        <v>2</v>
      </c>
      <c r="AV18" s="24">
        <v>1</v>
      </c>
      <c r="AW18" s="24"/>
      <c r="AX18" s="24"/>
      <c r="AY18" s="24">
        <v>1</v>
      </c>
      <c r="AZ18" s="292">
        <f t="shared" si="6"/>
        <v>1</v>
      </c>
      <c r="BA18" s="18">
        <v>4</v>
      </c>
      <c r="BB18" s="24">
        <v>4</v>
      </c>
      <c r="BC18" s="24"/>
      <c r="BD18" s="24"/>
      <c r="BE18" s="24">
        <v>0</v>
      </c>
      <c r="BF18" s="292">
        <f t="shared" si="7"/>
        <v>0</v>
      </c>
      <c r="BG18" s="138">
        <v>6</v>
      </c>
      <c r="BH18" s="261">
        <v>4</v>
      </c>
      <c r="BI18" s="261"/>
      <c r="BJ18" s="261"/>
      <c r="BK18" s="261">
        <v>2</v>
      </c>
      <c r="BL18" s="529">
        <f t="shared" si="18"/>
        <v>2</v>
      </c>
      <c r="BM18" s="138">
        <v>7</v>
      </c>
      <c r="BN18" s="261">
        <v>14</v>
      </c>
      <c r="BO18" s="261"/>
      <c r="BP18" s="261"/>
      <c r="BQ18" s="261">
        <v>-7</v>
      </c>
      <c r="BR18" s="529">
        <f t="shared" si="15"/>
        <v>-7</v>
      </c>
      <c r="BS18" s="138">
        <v>4</v>
      </c>
      <c r="BT18" s="261">
        <v>15</v>
      </c>
      <c r="BU18" s="261"/>
      <c r="BV18" s="261"/>
      <c r="BW18" s="261">
        <v>-11</v>
      </c>
      <c r="BX18" s="529">
        <f t="shared" si="16"/>
        <v>-11</v>
      </c>
      <c r="BY18" s="138">
        <v>10</v>
      </c>
      <c r="BZ18" s="261">
        <v>19</v>
      </c>
      <c r="CA18" s="261">
        <v>10</v>
      </c>
      <c r="CB18" s="261">
        <v>19</v>
      </c>
      <c r="CC18" s="519">
        <f t="shared" si="13"/>
        <v>-9</v>
      </c>
      <c r="CD18" s="529">
        <f t="shared" si="17"/>
        <v>-9</v>
      </c>
      <c r="CF18" s="24">
        <v>10</v>
      </c>
      <c r="CG18" s="24">
        <v>18</v>
      </c>
    </row>
    <row r="19" spans="1:85" x14ac:dyDescent="0.2">
      <c r="A19" s="3" t="s">
        <v>16</v>
      </c>
      <c r="B19" s="18">
        <v>15</v>
      </c>
      <c r="C19" s="24">
        <v>1</v>
      </c>
      <c r="D19" s="292">
        <v>1</v>
      </c>
      <c r="E19" s="292">
        <v>6</v>
      </c>
      <c r="F19" s="534">
        <v>6.3</v>
      </c>
      <c r="G19" s="292">
        <v>4</v>
      </c>
      <c r="H19" s="534">
        <v>8.25</v>
      </c>
      <c r="J19" s="520" t="s">
        <v>789</v>
      </c>
      <c r="K19" s="24">
        <v>10.5</v>
      </c>
      <c r="L19" s="24">
        <v>23.5</v>
      </c>
      <c r="M19" s="24">
        <v>10.5</v>
      </c>
      <c r="N19" s="24">
        <v>23.5</v>
      </c>
      <c r="O19" s="24">
        <v>-13</v>
      </c>
      <c r="P19" s="292">
        <f t="shared" si="0"/>
        <v>-13</v>
      </c>
      <c r="Q19">
        <v>3</v>
      </c>
      <c r="R19">
        <v>2</v>
      </c>
      <c r="U19" s="18">
        <v>1</v>
      </c>
      <c r="V19" s="292">
        <f t="shared" si="1"/>
        <v>1</v>
      </c>
      <c r="W19">
        <v>1</v>
      </c>
      <c r="X19">
        <v>1</v>
      </c>
      <c r="AA19" s="18">
        <v>0</v>
      </c>
      <c r="AB19" s="292">
        <f t="shared" si="2"/>
        <v>0</v>
      </c>
      <c r="AC19">
        <v>4</v>
      </c>
      <c r="AD19">
        <v>3</v>
      </c>
      <c r="AG19" s="18">
        <v>1</v>
      </c>
      <c r="AH19" s="292">
        <f t="shared" si="3"/>
        <v>1</v>
      </c>
      <c r="AI19" s="18">
        <v>11.5</v>
      </c>
      <c r="AJ19" s="24">
        <v>21</v>
      </c>
      <c r="AK19" s="24">
        <v>11.5</v>
      </c>
      <c r="AL19" s="24">
        <v>21</v>
      </c>
      <c r="AM19" s="24">
        <f t="shared" si="12"/>
        <v>-9.5</v>
      </c>
      <c r="AN19" s="292">
        <f t="shared" si="4"/>
        <v>-9.5</v>
      </c>
      <c r="AO19" s="18">
        <v>5</v>
      </c>
      <c r="AP19" s="24">
        <v>2</v>
      </c>
      <c r="AQ19" s="24"/>
      <c r="AR19" s="24"/>
      <c r="AS19" s="24">
        <v>3</v>
      </c>
      <c r="AT19" s="292">
        <f t="shared" si="5"/>
        <v>3</v>
      </c>
      <c r="AU19" s="18">
        <v>1</v>
      </c>
      <c r="AV19" s="24">
        <v>3</v>
      </c>
      <c r="AW19" s="24"/>
      <c r="AX19" s="24"/>
      <c r="AY19" s="24">
        <v>-2</v>
      </c>
      <c r="AZ19" s="292">
        <f t="shared" si="6"/>
        <v>-2</v>
      </c>
      <c r="BA19" s="18">
        <v>6</v>
      </c>
      <c r="BB19" s="24">
        <v>5</v>
      </c>
      <c r="BC19" s="24"/>
      <c r="BD19" s="24"/>
      <c r="BE19" s="24">
        <v>1</v>
      </c>
      <c r="BF19" s="292">
        <f t="shared" si="7"/>
        <v>1</v>
      </c>
      <c r="BG19" s="18">
        <v>8</v>
      </c>
      <c r="BH19" s="24">
        <v>11</v>
      </c>
      <c r="BI19" s="24"/>
      <c r="BJ19" s="24"/>
      <c r="BK19" s="24">
        <v>-3</v>
      </c>
      <c r="BL19" s="292">
        <f t="shared" si="18"/>
        <v>-3</v>
      </c>
      <c r="BM19" s="18">
        <v>10</v>
      </c>
      <c r="BN19" s="24">
        <v>12</v>
      </c>
      <c r="BO19" s="24"/>
      <c r="BP19" s="24"/>
      <c r="BQ19" s="24">
        <v>-2</v>
      </c>
      <c r="BR19" s="292">
        <f t="shared" si="15"/>
        <v>-2</v>
      </c>
      <c r="BS19" s="18">
        <v>2</v>
      </c>
      <c r="BT19" s="24">
        <v>7</v>
      </c>
      <c r="BU19" s="24"/>
      <c r="BV19" s="24"/>
      <c r="BW19" s="18">
        <f>BS19-BT19</f>
        <v>-5</v>
      </c>
      <c r="BX19" s="292">
        <f t="shared" si="16"/>
        <v>-5</v>
      </c>
      <c r="BY19" s="18">
        <v>10</v>
      </c>
      <c r="BZ19" s="24">
        <v>18</v>
      </c>
      <c r="CA19" s="24">
        <v>10</v>
      </c>
      <c r="CB19" s="24">
        <v>18</v>
      </c>
      <c r="CC19" s="519">
        <f t="shared" si="13"/>
        <v>-8</v>
      </c>
      <c r="CD19" s="292">
        <f t="shared" si="17"/>
        <v>-8</v>
      </c>
      <c r="CF19" s="24">
        <v>21</v>
      </c>
      <c r="CG19" s="24">
        <v>10</v>
      </c>
    </row>
    <row r="20" spans="1:85" x14ac:dyDescent="0.2">
      <c r="A20" s="3" t="s">
        <v>17</v>
      </c>
      <c r="B20" s="18">
        <v>16</v>
      </c>
      <c r="C20" s="5">
        <v>2</v>
      </c>
      <c r="D20" s="292">
        <v>1</v>
      </c>
      <c r="E20" s="292">
        <v>2</v>
      </c>
      <c r="F20" s="534">
        <v>5.4</v>
      </c>
      <c r="G20" s="292">
        <v>1</v>
      </c>
      <c r="H20" s="534">
        <v>6.3</v>
      </c>
      <c r="J20" s="520" t="s">
        <v>790</v>
      </c>
      <c r="K20" s="24">
        <v>21.5</v>
      </c>
      <c r="L20" s="24">
        <v>12.5</v>
      </c>
      <c r="M20" s="24">
        <v>12.5</v>
      </c>
      <c r="N20" s="24">
        <v>21.5</v>
      </c>
      <c r="O20" s="24">
        <v>-9</v>
      </c>
      <c r="P20" s="292">
        <f t="shared" si="0"/>
        <v>9</v>
      </c>
      <c r="Q20">
        <v>1</v>
      </c>
      <c r="R20">
        <v>3</v>
      </c>
      <c r="U20" s="18">
        <v>2</v>
      </c>
      <c r="V20" s="292">
        <f t="shared" si="1"/>
        <v>-2</v>
      </c>
      <c r="W20">
        <v>3</v>
      </c>
      <c r="X20">
        <v>3</v>
      </c>
      <c r="AA20" s="18">
        <v>0</v>
      </c>
      <c r="AB20" s="292">
        <f t="shared" si="2"/>
        <v>0</v>
      </c>
      <c r="AC20">
        <v>4</v>
      </c>
      <c r="AD20">
        <v>6</v>
      </c>
      <c r="AG20" s="18">
        <v>2</v>
      </c>
      <c r="AH20" s="292">
        <f t="shared" si="3"/>
        <v>-2</v>
      </c>
      <c r="AI20" s="18">
        <v>20.5</v>
      </c>
      <c r="AJ20" s="24">
        <v>14.5</v>
      </c>
      <c r="AK20" s="24">
        <v>14.5</v>
      </c>
      <c r="AL20" s="24">
        <v>20.5</v>
      </c>
      <c r="AM20" s="24">
        <f t="shared" si="12"/>
        <v>-6</v>
      </c>
      <c r="AN20" s="292">
        <f t="shared" si="4"/>
        <v>6</v>
      </c>
      <c r="AO20" s="18">
        <v>2</v>
      </c>
      <c r="AP20" s="24">
        <v>3</v>
      </c>
      <c r="AQ20" s="24"/>
      <c r="AR20" s="24"/>
      <c r="AS20" s="24">
        <v>1</v>
      </c>
      <c r="AT20" s="292">
        <f t="shared" si="5"/>
        <v>-1</v>
      </c>
      <c r="AU20" s="18">
        <v>5</v>
      </c>
      <c r="AV20" s="24">
        <v>5</v>
      </c>
      <c r="AW20" s="24"/>
      <c r="AX20" s="24"/>
      <c r="AY20" s="24">
        <v>0</v>
      </c>
      <c r="AZ20" s="292">
        <f t="shared" si="6"/>
        <v>0</v>
      </c>
      <c r="BA20" s="18">
        <v>7</v>
      </c>
      <c r="BB20" s="24">
        <v>8</v>
      </c>
      <c r="BC20" s="24"/>
      <c r="BD20" s="24"/>
      <c r="BE20" s="24">
        <v>1</v>
      </c>
      <c r="BF20" s="292">
        <f t="shared" si="7"/>
        <v>-1</v>
      </c>
      <c r="BG20" s="18">
        <v>3</v>
      </c>
      <c r="BH20" s="24">
        <v>12</v>
      </c>
      <c r="BI20" s="24"/>
      <c r="BJ20" s="24"/>
      <c r="BK20" s="24">
        <v>9</v>
      </c>
      <c r="BL20" s="292">
        <f t="shared" si="18"/>
        <v>-9</v>
      </c>
      <c r="BM20" s="18">
        <v>13</v>
      </c>
      <c r="BN20" s="24">
        <v>7</v>
      </c>
      <c r="BO20" s="24"/>
      <c r="BP20" s="24"/>
      <c r="BQ20" s="24">
        <v>-6</v>
      </c>
      <c r="BR20" s="292">
        <f t="shared" si="15"/>
        <v>6</v>
      </c>
      <c r="BS20" s="18">
        <v>7</v>
      </c>
      <c r="BT20" s="24">
        <v>9</v>
      </c>
      <c r="BU20" s="24"/>
      <c r="BV20" s="24"/>
      <c r="BW20" s="24">
        <v>2</v>
      </c>
      <c r="BX20" s="292">
        <f t="shared" si="16"/>
        <v>-2</v>
      </c>
      <c r="BY20" s="18">
        <v>10</v>
      </c>
      <c r="BZ20" s="24">
        <v>21</v>
      </c>
      <c r="CA20" s="24">
        <v>21</v>
      </c>
      <c r="CB20" s="24">
        <v>10</v>
      </c>
      <c r="CC20" s="519">
        <f t="shared" si="13"/>
        <v>11</v>
      </c>
      <c r="CD20" s="292">
        <f t="shared" si="17"/>
        <v>-11</v>
      </c>
      <c r="CF20" s="24">
        <v>14</v>
      </c>
      <c r="CG20" s="24">
        <v>9</v>
      </c>
    </row>
    <row r="21" spans="1:85" x14ac:dyDescent="0.2">
      <c r="A21" s="3" t="s">
        <v>18</v>
      </c>
      <c r="B21" s="18">
        <v>17</v>
      </c>
      <c r="C21" s="5">
        <v>1</v>
      </c>
      <c r="D21" s="292">
        <v>2</v>
      </c>
      <c r="E21" s="292">
        <v>4</v>
      </c>
      <c r="F21" s="534">
        <v>6.1</v>
      </c>
      <c r="G21" s="292">
        <v>3</v>
      </c>
      <c r="H21" s="292">
        <v>7</v>
      </c>
      <c r="J21" s="520" t="s">
        <v>791</v>
      </c>
      <c r="K21" s="24">
        <v>25.5</v>
      </c>
      <c r="L21" s="24">
        <v>19.5</v>
      </c>
      <c r="M21" s="24">
        <v>19.5</v>
      </c>
      <c r="N21" s="24">
        <v>25.5</v>
      </c>
      <c r="O21" s="24">
        <v>-6</v>
      </c>
      <c r="P21" s="292">
        <f t="shared" si="0"/>
        <v>6</v>
      </c>
      <c r="Q21">
        <v>1</v>
      </c>
      <c r="R21">
        <v>1</v>
      </c>
      <c r="U21" s="18">
        <v>0</v>
      </c>
      <c r="V21" s="292">
        <f t="shared" si="1"/>
        <v>0</v>
      </c>
      <c r="W21">
        <v>0</v>
      </c>
      <c r="X21">
        <v>2</v>
      </c>
      <c r="AA21" s="18">
        <v>2</v>
      </c>
      <c r="AB21" s="292">
        <f t="shared" si="2"/>
        <v>-2</v>
      </c>
      <c r="AC21">
        <v>1</v>
      </c>
      <c r="AD21">
        <v>3</v>
      </c>
      <c r="AG21" s="18">
        <v>2</v>
      </c>
      <c r="AH21" s="292">
        <f t="shared" si="3"/>
        <v>-2</v>
      </c>
      <c r="AI21" s="18">
        <v>25</v>
      </c>
      <c r="AJ21" s="24">
        <v>20.5</v>
      </c>
      <c r="AK21" s="24">
        <v>20.5</v>
      </c>
      <c r="AL21" s="24">
        <v>25</v>
      </c>
      <c r="AM21" s="24">
        <f t="shared" si="12"/>
        <v>-4.5</v>
      </c>
      <c r="AN21" s="292">
        <f t="shared" si="4"/>
        <v>4.5</v>
      </c>
      <c r="AO21" s="18">
        <v>5</v>
      </c>
      <c r="AP21" s="24">
        <v>2</v>
      </c>
      <c r="AQ21" s="24"/>
      <c r="AR21" s="24"/>
      <c r="AS21" s="24">
        <v>-3</v>
      </c>
      <c r="AT21" s="292">
        <f t="shared" si="5"/>
        <v>3</v>
      </c>
      <c r="AU21" s="18">
        <v>3</v>
      </c>
      <c r="AV21" s="24">
        <v>3</v>
      </c>
      <c r="AW21" s="24"/>
      <c r="AX21" s="24"/>
      <c r="AY21" s="24">
        <v>0</v>
      </c>
      <c r="AZ21" s="292">
        <f t="shared" si="6"/>
        <v>0</v>
      </c>
      <c r="BA21" s="18">
        <v>8</v>
      </c>
      <c r="BB21" s="24">
        <v>5</v>
      </c>
      <c r="BC21" s="24"/>
      <c r="BD21" s="24"/>
      <c r="BE21" s="24">
        <v>-3</v>
      </c>
      <c r="BF21" s="292">
        <f t="shared" si="7"/>
        <v>3</v>
      </c>
      <c r="BG21" s="18">
        <v>6</v>
      </c>
      <c r="BH21" s="24">
        <v>9</v>
      </c>
      <c r="BI21" s="24"/>
      <c r="BJ21" s="24"/>
      <c r="BK21" s="24">
        <v>3</v>
      </c>
      <c r="BL21" s="292">
        <f t="shared" si="18"/>
        <v>-3</v>
      </c>
      <c r="BM21" s="18">
        <v>6</v>
      </c>
      <c r="BN21" s="24">
        <v>9</v>
      </c>
      <c r="BO21" s="24"/>
      <c r="BP21" s="24"/>
      <c r="BQ21" s="24">
        <v>3</v>
      </c>
      <c r="BR21" s="292">
        <f t="shared" si="15"/>
        <v>-3</v>
      </c>
      <c r="BS21" s="18">
        <v>3</v>
      </c>
      <c r="BT21" s="24">
        <v>5</v>
      </c>
      <c r="BU21" s="24"/>
      <c r="BV21" s="24"/>
      <c r="BW21" s="24">
        <v>2</v>
      </c>
      <c r="BX21" s="292">
        <f t="shared" si="16"/>
        <v>-2</v>
      </c>
      <c r="BY21" s="18">
        <v>9</v>
      </c>
      <c r="BZ21" s="24">
        <v>14</v>
      </c>
      <c r="CA21" s="24">
        <v>14</v>
      </c>
      <c r="CB21" s="24">
        <v>9</v>
      </c>
      <c r="CC21" s="519">
        <f t="shared" si="13"/>
        <v>5</v>
      </c>
      <c r="CD21" s="292">
        <f t="shared" si="17"/>
        <v>-5</v>
      </c>
      <c r="CF21" s="24">
        <v>13</v>
      </c>
      <c r="CG21" s="24">
        <v>15</v>
      </c>
    </row>
    <row r="22" spans="1:85" ht="16" thickBot="1" x14ac:dyDescent="0.25">
      <c r="A22" s="3" t="s">
        <v>19</v>
      </c>
      <c r="B22" s="18">
        <v>18</v>
      </c>
      <c r="C22" s="5">
        <v>2</v>
      </c>
      <c r="D22" s="292">
        <v>2</v>
      </c>
      <c r="E22" s="292">
        <v>1</v>
      </c>
      <c r="F22" s="534">
        <v>5.45</v>
      </c>
      <c r="G22" s="292">
        <v>0.5</v>
      </c>
      <c r="J22" s="520" t="s">
        <v>792</v>
      </c>
      <c r="K22" s="24">
        <v>11.5</v>
      </c>
      <c r="L22" s="24">
        <v>15.5</v>
      </c>
      <c r="M22" s="24">
        <v>11.5</v>
      </c>
      <c r="N22" s="24">
        <v>15.5</v>
      </c>
      <c r="O22" s="24">
        <f>K22-L22</f>
        <v>-4</v>
      </c>
      <c r="P22" s="292">
        <f t="shared" si="0"/>
        <v>-4</v>
      </c>
      <c r="Q22">
        <v>3</v>
      </c>
      <c r="R22">
        <v>4</v>
      </c>
      <c r="U22" s="18">
        <v>-1</v>
      </c>
      <c r="V22" s="292">
        <f t="shared" si="1"/>
        <v>-1</v>
      </c>
      <c r="W22">
        <v>3</v>
      </c>
      <c r="X22">
        <v>1</v>
      </c>
      <c r="AA22" s="18">
        <v>2</v>
      </c>
      <c r="AB22" s="292">
        <f t="shared" si="2"/>
        <v>2</v>
      </c>
      <c r="AC22">
        <v>6</v>
      </c>
      <c r="AD22">
        <v>5</v>
      </c>
      <c r="AG22" s="18">
        <v>1</v>
      </c>
      <c r="AH22" s="292">
        <f t="shared" si="3"/>
        <v>1</v>
      </c>
      <c r="AI22" s="18">
        <v>13</v>
      </c>
      <c r="AJ22" s="24">
        <v>13</v>
      </c>
      <c r="AK22" s="24">
        <v>13</v>
      </c>
      <c r="AL22" s="24">
        <v>13</v>
      </c>
      <c r="AM22" s="24">
        <f t="shared" si="12"/>
        <v>0</v>
      </c>
      <c r="AN22" s="292">
        <f t="shared" si="4"/>
        <v>0</v>
      </c>
      <c r="AO22" s="18">
        <v>2</v>
      </c>
      <c r="AP22" s="24">
        <v>2</v>
      </c>
      <c r="AQ22" s="24"/>
      <c r="AR22" s="24"/>
      <c r="AS22" s="24">
        <v>0</v>
      </c>
      <c r="AT22" s="292">
        <f t="shared" si="5"/>
        <v>0</v>
      </c>
      <c r="AU22" s="18">
        <v>1</v>
      </c>
      <c r="AV22" s="24">
        <v>1</v>
      </c>
      <c r="AW22" s="24"/>
      <c r="AX22" s="24"/>
      <c r="AY22" s="24">
        <v>0</v>
      </c>
      <c r="AZ22" s="292">
        <f t="shared" si="6"/>
        <v>0</v>
      </c>
      <c r="BA22" s="18">
        <v>3</v>
      </c>
      <c r="BB22" s="24">
        <v>3</v>
      </c>
      <c r="BC22" s="24"/>
      <c r="BD22" s="24"/>
      <c r="BE22" s="24">
        <v>0</v>
      </c>
      <c r="BF22" s="292">
        <f t="shared" si="7"/>
        <v>0</v>
      </c>
      <c r="BG22" s="18">
        <v>9</v>
      </c>
      <c r="BH22" s="24">
        <v>12</v>
      </c>
      <c r="BI22" s="24"/>
      <c r="BJ22" s="24"/>
      <c r="BK22" s="24">
        <v>-3</v>
      </c>
      <c r="BL22" s="292">
        <f t="shared" si="18"/>
        <v>-3</v>
      </c>
      <c r="BM22" s="18">
        <v>11</v>
      </c>
      <c r="BN22" s="24">
        <v>12</v>
      </c>
      <c r="BO22" s="24"/>
      <c r="BP22" s="24"/>
      <c r="BQ22" s="24">
        <v>-1</v>
      </c>
      <c r="BR22" s="292">
        <f t="shared" si="15"/>
        <v>-1</v>
      </c>
      <c r="BS22" s="18">
        <v>4</v>
      </c>
      <c r="BT22" s="24">
        <v>3</v>
      </c>
      <c r="BU22" s="24"/>
      <c r="BV22" s="24"/>
      <c r="BW22" s="24">
        <v>1</v>
      </c>
      <c r="BX22" s="292">
        <f t="shared" si="16"/>
        <v>1</v>
      </c>
      <c r="BY22" s="18">
        <v>13</v>
      </c>
      <c r="BZ22" s="24">
        <v>15</v>
      </c>
      <c r="CA22" s="24">
        <v>13</v>
      </c>
      <c r="CB22" s="24">
        <v>15</v>
      </c>
      <c r="CC22" s="519">
        <f t="shared" si="13"/>
        <v>-2</v>
      </c>
      <c r="CD22" s="292">
        <f t="shared" si="17"/>
        <v>-2</v>
      </c>
    </row>
    <row r="23" spans="1:85" s="101" customFormat="1" ht="16" thickBot="1" x14ac:dyDescent="0.25">
      <c r="A23" s="103" t="s">
        <v>238</v>
      </c>
      <c r="C23" s="240" t="s">
        <v>793</v>
      </c>
      <c r="D23" s="516" t="s">
        <v>793</v>
      </c>
      <c r="E23" s="516">
        <f>AVERAGE(E6:E22)</f>
        <v>2.8823529411764706</v>
      </c>
      <c r="F23" s="516"/>
      <c r="G23" s="516">
        <f>AVERAGE(G6:G22)</f>
        <v>1.7941176470588236</v>
      </c>
      <c r="H23" s="516"/>
      <c r="I23" s="516"/>
      <c r="J23" s="524"/>
      <c r="K23" s="101">
        <f>AVERAGE(K5:K22)</f>
        <v>18.833333333333332</v>
      </c>
      <c r="L23" s="101">
        <f>AVERAGE(L5:L22)</f>
        <v>16.277777777777779</v>
      </c>
      <c r="M23" s="101">
        <f t="shared" ref="M23:N23" si="19">AVERAGE(M5:M22)</f>
        <v>13.333333333333334</v>
      </c>
      <c r="N23" s="101">
        <f t="shared" si="19"/>
        <v>21.777777777777779</v>
      </c>
      <c r="O23" s="101">
        <f>AVERAGE(O5:O22)</f>
        <v>-8.4444444444444446</v>
      </c>
      <c r="P23" s="101">
        <f>AVERAGE(P5:P22)</f>
        <v>2.5555555555555554</v>
      </c>
      <c r="Q23" s="101">
        <f>AVERAGE(Q5:Q22)</f>
        <v>2.6666666666666665</v>
      </c>
      <c r="R23" s="101">
        <f>AVERAGE(R5:R22)</f>
        <v>1.5555555555555556</v>
      </c>
      <c r="U23" s="101">
        <f>AVERAGE(U5:U22)</f>
        <v>-0.33333333333333331</v>
      </c>
      <c r="V23" s="101">
        <f>AVERAGE(V5:V22)</f>
        <v>1.1111111111111112</v>
      </c>
      <c r="W23" s="101">
        <f>AVERAGE(W5:W22)</f>
        <v>2</v>
      </c>
      <c r="X23" s="101">
        <f>AVERAGE(X5:X22)</f>
        <v>1.8888888888888888</v>
      </c>
      <c r="AA23" s="101">
        <f>AVERAGE(AA5:AA22)</f>
        <v>0.33333333333333331</v>
      </c>
      <c r="AB23" s="101">
        <f>AVERAGE(AB5:AB22)</f>
        <v>0.1111111111111111</v>
      </c>
      <c r="AC23" s="101">
        <f>AVERAGE(AC5:AC22)</f>
        <v>4.666666666666667</v>
      </c>
      <c r="AD23" s="101">
        <f>AVERAGE(AD5:AD22)</f>
        <v>3.4444444444444446</v>
      </c>
      <c r="AG23" s="101">
        <f>AVERAGE(AG5:AG22)</f>
        <v>0</v>
      </c>
      <c r="AH23" s="101">
        <f>AVERAGE(AH5:AH22)</f>
        <v>1.2222222222222223</v>
      </c>
      <c r="AI23" s="101">
        <f>AVERAGE(AI5:AI22)</f>
        <v>18.416666666666668</v>
      </c>
      <c r="AJ23" s="101">
        <f>AVERAGE(AJ5:AJ22)</f>
        <v>15.527777777777779</v>
      </c>
      <c r="AK23" s="101">
        <f t="shared" ref="AK23:AL23" si="20">AVERAGE(AK5:AK22)</f>
        <v>12.972222222222221</v>
      </c>
      <c r="AL23" s="101">
        <f t="shared" si="20"/>
        <v>20.972222222222221</v>
      </c>
      <c r="AM23" s="101">
        <f>AVERAGE(AM5:AM22)</f>
        <v>-8</v>
      </c>
      <c r="AN23" s="101">
        <f>AVERAGE(AN5:AN22)</f>
        <v>2.8888888888888888</v>
      </c>
      <c r="AO23" s="101">
        <f>AVERAGE(AO5:AO22)</f>
        <v>2.9444444444444446</v>
      </c>
      <c r="AP23" s="101">
        <f>AVERAGE(AP5:AP22)</f>
        <v>1.8888888888888888</v>
      </c>
      <c r="AS23" s="101">
        <f>AVERAGE(AS5:AS22)</f>
        <v>-0.83333333333333337</v>
      </c>
      <c r="AT23" s="101">
        <f>AVERAGE(AT5:AT22)</f>
        <v>1.0555555555555556</v>
      </c>
      <c r="AU23" s="101">
        <f>AVERAGE(AU5:AU22)</f>
        <v>2.7222222222222223</v>
      </c>
      <c r="AV23" s="101">
        <f>AVERAGE(AV5:AV22)</f>
        <v>2.4444444444444446</v>
      </c>
      <c r="AY23" s="101">
        <f>AVERAGE(AY5:AY22)</f>
        <v>0.16666666666666666</v>
      </c>
      <c r="AZ23" s="101">
        <f>AVERAGE(AZ5:AZ22)</f>
        <v>0.27777777777777779</v>
      </c>
      <c r="BA23" s="101">
        <f>AVERAGE(BA5:BA22)</f>
        <v>5.666666666666667</v>
      </c>
      <c r="BB23" s="101">
        <f>AVERAGE(BB5:BB22)</f>
        <v>4.333333333333333</v>
      </c>
      <c r="BE23" s="101">
        <f>AVERAGE(BE5:BE22)</f>
        <v>-0.88235294117647056</v>
      </c>
      <c r="BF23" s="101">
        <f>AVERAGE(BF5:BF22)</f>
        <v>1.3333333333333333</v>
      </c>
      <c r="BG23" s="101">
        <f>AVERAGE(BG5:BG22)</f>
        <v>5.5882352941176467</v>
      </c>
      <c r="BH23" s="101">
        <f>AVERAGE(BH5:BH22)</f>
        <v>6.8235294117647056</v>
      </c>
      <c r="BK23" s="101">
        <f>AVERAGE(BK5:BK22)</f>
        <v>0.76470588235294112</v>
      </c>
      <c r="BL23" s="101">
        <f>AVERAGE(BL5:BL22)</f>
        <v>-1.2352941176470589</v>
      </c>
      <c r="BM23" s="101">
        <f>AVERAGE(BM5:BM22)</f>
        <v>6.8235294117647056</v>
      </c>
      <c r="BN23" s="101">
        <f>AVERAGE(BN5:BN22)</f>
        <v>8.6470588235294112</v>
      </c>
      <c r="BQ23" s="101">
        <f>AVERAGE(BQ5:BQ22)</f>
        <v>0.6470588235294118</v>
      </c>
      <c r="BR23" s="101">
        <f>AVERAGE(BR5:BR22)</f>
        <v>-1.8235294117647058</v>
      </c>
      <c r="BS23" s="101">
        <f>AVERAGE(BS5:BS22)</f>
        <v>4.117647058823529</v>
      </c>
      <c r="BT23" s="101">
        <f>AVERAGE(BT5:BT22)</f>
        <v>5.5882352941176467</v>
      </c>
      <c r="BW23" s="101">
        <f>AVERAGE(BW5:BW22)</f>
        <v>0.88235294117647056</v>
      </c>
      <c r="BX23" s="101">
        <f>AVERAGE(BX5:BX22)</f>
        <v>-1.4705882352941178</v>
      </c>
      <c r="BY23" s="101">
        <f>AVERAGE(BY5:BY22)</f>
        <v>9.7058823529411757</v>
      </c>
      <c r="BZ23" s="101">
        <f>AVERAGE(BZ5:BZ22)</f>
        <v>12.411764705882353</v>
      </c>
      <c r="CA23" s="101">
        <f t="shared" ref="CA23:CB23" si="21">AVERAGE(CA5:CA22)</f>
        <v>11.941176470588236</v>
      </c>
      <c r="CB23" s="101">
        <f t="shared" si="21"/>
        <v>10.176470588235293</v>
      </c>
      <c r="CC23" s="101">
        <f>AVERAGE(CC5:CC22)</f>
        <v>1.7647058823529411</v>
      </c>
      <c r="CD23" s="101">
        <f>AVERAGE(CD5:CD22)</f>
        <v>-2.7058823529411766</v>
      </c>
      <c r="CE23" s="101" t="s">
        <v>217</v>
      </c>
      <c r="CG23" s="101">
        <f>TTEST(CF5:CF21,CG5:CG21,1,1)</f>
        <v>0.10334887260945379</v>
      </c>
    </row>
    <row r="24" spans="1:85" s="5" customFormat="1" x14ac:dyDescent="0.2">
      <c r="A24" s="188" t="s">
        <v>53</v>
      </c>
      <c r="C24" s="24"/>
      <c r="D24" s="292"/>
      <c r="E24" s="292">
        <f>STDEV(E6:E22)</f>
        <v>1.363925994197287</v>
      </c>
      <c r="F24" s="292"/>
      <c r="G24" s="292">
        <f>STDEV(G6:G22)</f>
        <v>1.1733875043199147</v>
      </c>
      <c r="H24" s="292"/>
      <c r="I24" s="292"/>
      <c r="J24" s="520"/>
      <c r="K24" s="5">
        <f>STDEV(K5:K22)</f>
        <v>6.8018163664092652</v>
      </c>
      <c r="L24" s="5">
        <f t="shared" ref="L24:CD24" si="22">STDEV(L5:L22)</f>
        <v>7.8313514388946395</v>
      </c>
      <c r="M24" s="5">
        <f t="shared" ref="M24:N24" si="23">STDEV(M5:M22)</f>
        <v>6.6972338451386468</v>
      </c>
      <c r="N24" s="5">
        <f t="shared" si="23"/>
        <v>5.3336396970830968</v>
      </c>
      <c r="O24" s="5">
        <f t="shared" si="22"/>
        <v>7.6425451736987551</v>
      </c>
      <c r="P24" s="5">
        <f t="shared" si="22"/>
        <v>11.269282675758195</v>
      </c>
      <c r="Q24" s="5">
        <f t="shared" si="22"/>
        <v>1.7149858514250884</v>
      </c>
      <c r="R24" s="5">
        <f t="shared" si="22"/>
        <v>1.1490262999202832</v>
      </c>
      <c r="U24" s="5">
        <f t="shared" si="22"/>
        <v>2.2751858359780841</v>
      </c>
      <c r="V24" s="5">
        <f t="shared" si="22"/>
        <v>1.996729351858975</v>
      </c>
      <c r="W24" s="5">
        <f t="shared" si="22"/>
        <v>2.2491828581535485</v>
      </c>
      <c r="X24" s="5">
        <f t="shared" si="22"/>
        <v>1.6409785061104059</v>
      </c>
      <c r="AA24" s="5">
        <f t="shared" si="22"/>
        <v>3.0678599553894816</v>
      </c>
      <c r="AB24" s="5">
        <f t="shared" si="22"/>
        <v>3.08485653949759</v>
      </c>
      <c r="AC24" s="5">
        <f t="shared" si="22"/>
        <v>3.0869745325651592</v>
      </c>
      <c r="AD24" s="5">
        <f t="shared" si="22"/>
        <v>2.1205499348385533</v>
      </c>
      <c r="AG24" s="5">
        <f t="shared" si="22"/>
        <v>3.9407374645751121</v>
      </c>
      <c r="AH24" s="5">
        <f t="shared" si="22"/>
        <v>3.7346636285347912</v>
      </c>
      <c r="AI24" s="5">
        <f t="shared" si="22"/>
        <v>6.8433093129670217</v>
      </c>
      <c r="AJ24" s="5">
        <f t="shared" si="22"/>
        <v>7.9916725449282193</v>
      </c>
      <c r="AK24" s="5">
        <f t="shared" ref="AK24:AL24" si="24">STDEV(AK5:AK22)</f>
        <v>6.7681612374372202</v>
      </c>
      <c r="AL24" s="5">
        <f t="shared" si="24"/>
        <v>5.9519453622132028</v>
      </c>
      <c r="AM24" s="5">
        <f t="shared" si="22"/>
        <v>6.0463892968789041</v>
      </c>
      <c r="AN24" s="5">
        <f t="shared" si="22"/>
        <v>9.771741303604756</v>
      </c>
      <c r="AO24" s="5">
        <f t="shared" si="22"/>
        <v>2.2353371168894842</v>
      </c>
      <c r="AP24" s="5">
        <f t="shared" si="22"/>
        <v>1.022619985129827</v>
      </c>
      <c r="AS24" s="5">
        <f t="shared" si="22"/>
        <v>2.5952445198183272</v>
      </c>
      <c r="AT24" s="5">
        <f t="shared" si="22"/>
        <v>2.5081566285227512</v>
      </c>
      <c r="AU24" s="5">
        <f t="shared" si="22"/>
        <v>2.4206356859682554</v>
      </c>
      <c r="AV24" s="5">
        <f t="shared" si="22"/>
        <v>2.0065253028182011</v>
      </c>
      <c r="AY24" s="5">
        <f t="shared" si="22"/>
        <v>2.4314120806400452</v>
      </c>
      <c r="AZ24" s="5">
        <f t="shared" si="22"/>
        <v>2.4206356859682554</v>
      </c>
      <c r="BA24" s="5">
        <f t="shared" si="22"/>
        <v>3.4810410883561156</v>
      </c>
      <c r="BB24" s="5">
        <f t="shared" si="22"/>
        <v>1.8149704259460602</v>
      </c>
      <c r="BE24" s="5">
        <f t="shared" si="22"/>
        <v>3.7729688731351945</v>
      </c>
      <c r="BF24" s="5">
        <f t="shared" si="22"/>
        <v>3.5809955894645706</v>
      </c>
      <c r="BG24" s="5">
        <f t="shared" si="22"/>
        <v>3.2415047340974947</v>
      </c>
      <c r="BH24" s="5">
        <f t="shared" si="22"/>
        <v>4.1568511838536972</v>
      </c>
      <c r="BK24" s="5">
        <f t="shared" si="22"/>
        <v>3.9135886946111538</v>
      </c>
      <c r="BL24" s="5">
        <f t="shared" si="22"/>
        <v>3.7836723524359552</v>
      </c>
      <c r="BM24" s="5">
        <f t="shared" si="22"/>
        <v>3.4863177945657626</v>
      </c>
      <c r="BN24" s="5">
        <f t="shared" si="22"/>
        <v>4.3723731609760321</v>
      </c>
      <c r="BQ24" s="5">
        <f t="shared" si="22"/>
        <v>4.6762856049244395</v>
      </c>
      <c r="BR24" s="5">
        <f t="shared" si="22"/>
        <v>4.3335218661852721</v>
      </c>
      <c r="BS24" s="5">
        <f t="shared" si="22"/>
        <v>2.5952445198183267</v>
      </c>
      <c r="BT24" s="5">
        <f t="shared" si="22"/>
        <v>4.2874646285627209</v>
      </c>
      <c r="BW24" s="5">
        <f t="shared" si="22"/>
        <v>5.0853017725251135</v>
      </c>
      <c r="BX24" s="5">
        <f t="shared" si="22"/>
        <v>4.9385935125653884</v>
      </c>
      <c r="BY24" s="5">
        <f t="shared" si="22"/>
        <v>4.2685580979171549</v>
      </c>
      <c r="BZ24" s="5">
        <f t="shared" si="22"/>
        <v>6.2455866771005963</v>
      </c>
      <c r="CA24" s="5">
        <f t="shared" ref="CA24:CB24" si="25">STDEV(CA5:CA22)</f>
        <v>5.0431957655252457</v>
      </c>
      <c r="CB24" s="5">
        <f t="shared" si="25"/>
        <v>5.833473387674438</v>
      </c>
      <c r="CC24" s="5">
        <f t="shared" si="22"/>
        <v>5.5286685983687098</v>
      </c>
      <c r="CD24" s="5">
        <f t="shared" si="22"/>
        <v>5.1083841119569424</v>
      </c>
      <c r="CG24" s="101">
        <f>TTEST(CF5:CF21,CG5:CG21,2,1)</f>
        <v>0.20669774521890757</v>
      </c>
    </row>
    <row r="25" spans="1:85" s="5" customFormat="1" x14ac:dyDescent="0.2">
      <c r="A25" s="188" t="s">
        <v>54</v>
      </c>
      <c r="C25" s="24"/>
      <c r="D25" s="292"/>
      <c r="E25" s="292">
        <f>E24/SQRT(17)</f>
        <v>0.33080064350594085</v>
      </c>
      <c r="F25" s="292"/>
      <c r="G25" s="292">
        <f t="shared" ref="G25" si="26">G24/SQRT(17)</f>
        <v>0.28458827177005336</v>
      </c>
      <c r="H25" s="292"/>
      <c r="I25" s="292"/>
      <c r="J25" s="520"/>
      <c r="K25" s="5">
        <f>K24/SQRT(18)</f>
        <v>1.6032034923578782</v>
      </c>
      <c r="L25" s="5">
        <f t="shared" ref="L25:CD25" si="27">L24/SQRT(18)</f>
        <v>1.8458672360991422</v>
      </c>
      <c r="M25" s="5">
        <f t="shared" ref="M25" si="28">M24/SQRT(18)</f>
        <v>1.5785531556965313</v>
      </c>
      <c r="N25" s="5">
        <f t="shared" ref="N25" si="29">N24/SQRT(18)</f>
        <v>1.2571509327377404</v>
      </c>
      <c r="O25" s="5">
        <f t="shared" si="27"/>
        <v>1.801365172615637</v>
      </c>
      <c r="P25" s="5">
        <f t="shared" si="27"/>
        <v>2.6561953997122338</v>
      </c>
      <c r="Q25" s="5">
        <f t="shared" si="27"/>
        <v>0.40422604172722165</v>
      </c>
      <c r="R25" s="5">
        <f t="shared" si="27"/>
        <v>0.27082809614510667</v>
      </c>
      <c r="U25" s="5">
        <f t="shared" si="27"/>
        <v>0.53626644435989579</v>
      </c>
      <c r="V25" s="5">
        <f t="shared" si="27"/>
        <v>0.47063362163123373</v>
      </c>
      <c r="W25" s="5">
        <f t="shared" si="27"/>
        <v>0.53013748370963831</v>
      </c>
      <c r="X25" s="5">
        <f t="shared" si="27"/>
        <v>0.3867823431506795</v>
      </c>
      <c r="AA25" s="5">
        <f t="shared" si="27"/>
        <v>0.72310152606218725</v>
      </c>
      <c r="AB25" s="5">
        <f t="shared" si="27"/>
        <v>0.72710765935547095</v>
      </c>
      <c r="AC25" s="5">
        <f t="shared" si="27"/>
        <v>0.72760687510899902</v>
      </c>
      <c r="AD25" s="5">
        <f t="shared" si="27"/>
        <v>0.49981841292301088</v>
      </c>
      <c r="AG25" s="5">
        <f t="shared" si="27"/>
        <v>0.92884072802564799</v>
      </c>
      <c r="AH25" s="5">
        <f t="shared" si="27"/>
        <v>0.88026865906256946</v>
      </c>
      <c r="AI25" s="5">
        <f t="shared" si="27"/>
        <v>1.6129834736520117</v>
      </c>
      <c r="AJ25" s="5">
        <f t="shared" si="27"/>
        <v>1.8836552831803661</v>
      </c>
      <c r="AK25" s="5">
        <f t="shared" ref="AK25" si="30">AK24/SQRT(18)</f>
        <v>1.5952709023852645</v>
      </c>
      <c r="AL25" s="5">
        <f t="shared" ref="AL25" si="31">AL24/SQRT(18)</f>
        <v>1.4028869756242592</v>
      </c>
      <c r="AM25" s="5">
        <f t="shared" si="27"/>
        <v>1.4251476245056116</v>
      </c>
      <c r="AN25" s="5">
        <f t="shared" si="27"/>
        <v>2.3032215132598659</v>
      </c>
      <c r="AO25" s="5">
        <f t="shared" si="27"/>
        <v>0.52687401119684685</v>
      </c>
      <c r="AP25" s="5">
        <f t="shared" si="27"/>
        <v>0.24103384202072903</v>
      </c>
      <c r="AS25" s="5">
        <f t="shared" si="27"/>
        <v>0.61170499960025493</v>
      </c>
      <c r="AT25" s="5">
        <f t="shared" si="27"/>
        <v>0.59117818676880862</v>
      </c>
      <c r="AU25" s="5">
        <f t="shared" si="27"/>
        <v>0.57054930277676785</v>
      </c>
      <c r="AV25" s="5">
        <f t="shared" si="27"/>
        <v>0.47294254941504693</v>
      </c>
      <c r="AY25" s="5">
        <f t="shared" si="27"/>
        <v>0.57308932335982299</v>
      </c>
      <c r="AZ25" s="5">
        <f t="shared" si="27"/>
        <v>0.57054930277676785</v>
      </c>
      <c r="BA25" s="5">
        <f t="shared" si="27"/>
        <v>0.82048925305520315</v>
      </c>
      <c r="BB25" s="5">
        <f t="shared" si="27"/>
        <v>0.42779263194649864</v>
      </c>
      <c r="BE25" s="5">
        <f t="shared" si="27"/>
        <v>0.8892972917998877</v>
      </c>
      <c r="BF25" s="5">
        <f t="shared" si="27"/>
        <v>0.84404875490317199</v>
      </c>
      <c r="BG25" s="5">
        <f t="shared" si="27"/>
        <v>0.7640299929095451</v>
      </c>
      <c r="BH25" s="5">
        <f t="shared" si="27"/>
        <v>0.97977922016209251</v>
      </c>
      <c r="BK25" s="5">
        <f t="shared" si="27"/>
        <v>0.92244170157818517</v>
      </c>
      <c r="BL25" s="5">
        <f t="shared" si="27"/>
        <v>0.89182012606517358</v>
      </c>
      <c r="BM25" s="5">
        <f t="shared" si="27"/>
        <v>0.82173298463625999</v>
      </c>
      <c r="BN25" s="5">
        <f t="shared" si="27"/>
        <v>1.0305782373347374</v>
      </c>
      <c r="BQ25" s="5">
        <f t="shared" si="27"/>
        <v>1.1022110873357027</v>
      </c>
      <c r="BR25" s="5">
        <f t="shared" si="27"/>
        <v>1.021420899333263</v>
      </c>
      <c r="BS25" s="5">
        <f t="shared" si="27"/>
        <v>0.61170499960025482</v>
      </c>
      <c r="BT25" s="5">
        <f t="shared" si="27"/>
        <v>1.0105651043180541</v>
      </c>
      <c r="BW25" s="5">
        <f t="shared" si="27"/>
        <v>1.1986171225774926</v>
      </c>
      <c r="BX25" s="5">
        <f t="shared" si="27"/>
        <v>1.1640376540862925</v>
      </c>
      <c r="BY25" s="5">
        <f t="shared" si="27"/>
        <v>1.0061087923086571</v>
      </c>
      <c r="BZ25" s="5">
        <f t="shared" si="27"/>
        <v>1.4720988972887294</v>
      </c>
      <c r="CA25" s="5">
        <f t="shared" ref="CA25" si="32">CA24/SQRT(18)</f>
        <v>1.1886926415513945</v>
      </c>
      <c r="CB25" s="5">
        <f t="shared" ref="CB25" si="33">CB24/SQRT(18)</f>
        <v>1.3749628634319524</v>
      </c>
      <c r="CC25" s="5">
        <f t="shared" si="27"/>
        <v>1.3031196856132135</v>
      </c>
      <c r="CD25" s="5">
        <f t="shared" si="27"/>
        <v>1.2040576821567912</v>
      </c>
    </row>
    <row r="26" spans="1:85" s="5" customFormat="1" x14ac:dyDescent="0.2">
      <c r="A26" s="188" t="s">
        <v>308</v>
      </c>
      <c r="C26" s="24"/>
      <c r="D26" s="292"/>
      <c r="E26" s="292"/>
      <c r="F26" s="292"/>
      <c r="G26" s="292"/>
      <c r="H26" s="292"/>
      <c r="I26" s="292"/>
      <c r="J26" s="520"/>
      <c r="O26" s="5">
        <f>TTEST(M5:M22,N5:N22,1,1)</f>
        <v>1.0580688848226043E-4</v>
      </c>
      <c r="P26" s="5">
        <f>TTEST(K4:K21,L4:L21,2,1)</f>
        <v>0.30703402487927506</v>
      </c>
      <c r="V26" s="292"/>
      <c r="AB26" s="292"/>
      <c r="AH26" s="292"/>
      <c r="AK26" s="5" t="s">
        <v>217</v>
      </c>
      <c r="AM26" s="530">
        <f>TTEST(AK5:AK22,AL5:AL22,1,1)</f>
        <v>1.550756772159062E-5</v>
      </c>
      <c r="AN26" s="530">
        <f>TTEST(AI5:AI22,AJ5:AJ22,1,1)</f>
        <v>0.11335614782268941</v>
      </c>
      <c r="CC26" s="87">
        <f>TTEST(CA5:CA22,CB5:CB22,1,1)</f>
        <v>0.10334887260945379</v>
      </c>
    </row>
    <row r="27" spans="1:85" s="83" customFormat="1" ht="16" thickBot="1" x14ac:dyDescent="0.25">
      <c r="A27" s="104" t="s">
        <v>309</v>
      </c>
      <c r="C27" s="246"/>
      <c r="D27" s="517"/>
      <c r="E27" s="517"/>
      <c r="F27" s="517"/>
      <c r="G27" s="517"/>
      <c r="H27" s="517"/>
      <c r="I27" s="517"/>
      <c r="J27" s="525"/>
      <c r="O27" s="5">
        <f>TTEST(M5:M22,N5:N22,2,1)</f>
        <v>2.1161377696452086E-4</v>
      </c>
      <c r="P27" s="5">
        <f>TTEST(K5:K22,L5:L22,2,1)</f>
        <v>0.34948016983646468</v>
      </c>
      <c r="V27" s="517"/>
      <c r="AB27" s="517"/>
      <c r="AH27" s="517"/>
      <c r="AM27" s="530">
        <f>TTEST(AK6:AK23,AL6:AL23,2,1)</f>
        <v>3.3239471136177778E-5</v>
      </c>
      <c r="AN27" s="530">
        <f>TTEST(AI5:AI22,AJ5:AJ22,2,1)</f>
        <v>0.22671229564537881</v>
      </c>
      <c r="CB27" s="83" t="s">
        <v>217</v>
      </c>
      <c r="CC27" s="91"/>
    </row>
  </sheetData>
  <mergeCells count="3">
    <mergeCell ref="K2:AH2"/>
    <mergeCell ref="AI2:BF2"/>
    <mergeCell ref="BG2:C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21</vt:i4>
      </vt:variant>
    </vt:vector>
  </HeadingPairs>
  <TitlesOfParts>
    <vt:vector size="37" baseType="lpstr">
      <vt:lpstr>MRI_PQ</vt:lpstr>
      <vt:lpstr>MEG_PQ</vt:lpstr>
      <vt:lpstr>ASC_11</vt:lpstr>
      <vt:lpstr>PSI</vt:lpstr>
      <vt:lpstr>5DASC_5F</vt:lpstr>
      <vt:lpstr>RAT</vt:lpstr>
      <vt:lpstr>VFT</vt:lpstr>
      <vt:lpstr>CFT</vt:lpstr>
      <vt:lpstr>TTCT</vt:lpstr>
      <vt:lpstr>MASTER_DATA</vt:lpstr>
      <vt:lpstr>MASTER_DATA_2</vt:lpstr>
      <vt:lpstr>MASTER_DATA_2_fig3</vt:lpstr>
      <vt:lpstr>MASTER_DATA_3</vt:lpstr>
      <vt:lpstr>MASTER_DATA_4_IMAGING</vt:lpstr>
      <vt:lpstr>MASTER_5_n=19</vt:lpstr>
      <vt:lpstr>GSS_results</vt:lpstr>
      <vt:lpstr>MRI_PQ_chart</vt:lpstr>
      <vt:lpstr>MEG_PQ_chart</vt:lpstr>
      <vt:lpstr>ASC_11_Chart_Nature</vt:lpstr>
      <vt:lpstr>ASC_11_Chart</vt:lpstr>
      <vt:lpstr>PSI_Chart</vt:lpstr>
      <vt:lpstr>CBf_v_alpha</vt:lpstr>
      <vt:lpstr>alpha_v_V1_RSFC</vt:lpstr>
      <vt:lpstr>Int_v_Var</vt:lpstr>
      <vt:lpstr>Int_v_Power</vt:lpstr>
      <vt:lpstr>Int_v_Seg</vt:lpstr>
      <vt:lpstr>Power_v_Seg (2)</vt:lpstr>
      <vt:lpstr>EGO_DMN_chart</vt:lpstr>
      <vt:lpstr>JANA_DMN_chart</vt:lpstr>
      <vt:lpstr>Insight_DESEG_chart</vt:lpstr>
      <vt:lpstr>Optimism_ego</vt:lpstr>
      <vt:lpstr>Ego_Neurot</vt:lpstr>
      <vt:lpstr>LOTR_v_agree_chart</vt:lpstr>
      <vt:lpstr>Ego_PSI</vt:lpstr>
      <vt:lpstr>5DASC_chart</vt:lpstr>
      <vt:lpstr>5DASC_factors_chart</vt:lpstr>
      <vt:lpstr>Ego_Ocean</vt:lpstr>
    </vt:vector>
  </TitlesOfParts>
  <Company>Imperial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Carhart-Harris, Robin L</dc:creator>
  <cp:lastModifiedBy>Microsoft Office User</cp:lastModifiedBy>
  <dcterms:created xsi:type="dcterms:W3CDTF">2014-09-12T11:52:15Z</dcterms:created>
  <dcterms:modified xsi:type="dcterms:W3CDTF">2016-05-20T22:15:13Z</dcterms:modified>
</cp:coreProperties>
</file>